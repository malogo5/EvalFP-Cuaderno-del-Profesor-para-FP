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isabel/Documents/Claude/Projects/Cuaderno del profesor/src/"/>
    </mc:Choice>
  </mc:AlternateContent>
  <xr:revisionPtr revIDLastSave="0" documentId="8_{0F7C9C56-B382-A944-9376-47DD0EC46E63}" xr6:coauthVersionLast="47" xr6:coauthVersionMax="47" xr10:uidLastSave="{00000000-0000-0000-0000-000000000000}"/>
  <bookViews>
    <workbookView xWindow="0" yWindow="600" windowWidth="25600" windowHeight="16640" xr2:uid="{00000000-000D-0000-FFFF-FFFF00000000}"/>
  </bookViews>
  <sheets>
    <sheet name="Inicio" sheetId="1" r:id="rId1"/>
    <sheet name="Mis Módulos" sheetId="2" r:id="rId2"/>
    <sheet name="Configuración" sheetId="3" r:id="rId3"/>
    <sheet name="Biblioteca" sheetId="4" r:id="rId4"/>
    <sheet name="Calendario" sheetId="5" r:id="rId5"/>
    <sheet name="Hoy" sheetId="6" r:id="rId6"/>
    <sheet name="Dashboard Global" sheetId="7" r:id="rId7"/>
    <sheet name="_IA_Config" sheetId="8" state="hidden" r:id="rId8"/>
    <sheet name="ISO · Programación" sheetId="9" r:id="rId9"/>
    <sheet name="ISO · Alumnos" sheetId="10" r:id="rId10"/>
    <sheet name="ISO · Actividades" sheetId="11" r:id="rId11"/>
    <sheet name="ISO · Reg. Notas" sheetId="12" r:id="rId12"/>
    <sheet name="ISO · Resumen" sheetId="13" r:id="rId13"/>
    <sheet name="ISO · Evaluación 1" sheetId="14" r:id="rId14"/>
    <sheet name="ISO · Evaluación 2" sheetId="15" r:id="rId15"/>
    <sheet name="ISO · Evaluación 3" sheetId="16" r:id="rId16"/>
    <sheet name="ISO · 1ªORD" sheetId="17" r:id="rId17"/>
    <sheet name="ISO · 2ªORD" sheetId="18" r:id="rId18"/>
    <sheet name="ISO · Rúbricas" sheetId="19" r:id="rId19"/>
    <sheet name="ISO · Informe Grupo" sheetId="20" r:id="rId20"/>
    <sheet name="ISO · Boletín" sheetId="21" r:id="rId21"/>
    <sheet name="ISO · Dashboard" sheetId="22" r:id="rId22"/>
    <sheet name="ISO · _UTs" sheetId="23" state="hidden" r:id="rId23"/>
    <sheet name="ISO · _RAs" sheetId="24" state="hidden" r:id="rId24"/>
    <sheet name="ISO · _CEs" sheetId="25" state="hidden" r:id="rId25"/>
    <sheet name="ISO · _Asignaciones" sheetId="26" state="hidden" r:id="rId26"/>
    <sheet name="ISO · _Actividades" sheetId="27" state="hidden" r:id="rId27"/>
    <sheet name="ISO · _Alumnos" sheetId="28" state="hidden" r:id="rId28"/>
    <sheet name="ISO · _Grupos" sheetId="29" state="hidden" r:id="rId29"/>
    <sheet name="ISO · _Notas_Actividades" sheetId="30" state="hidden" r:id="rId30"/>
    <sheet name="ISO · _Evaluaciones" sheetId="31" state="hidden" r:id="rId31"/>
    <sheet name="PAR · Programación" sheetId="32" r:id="rId32"/>
    <sheet name="PAR · Alumnos" sheetId="33" r:id="rId33"/>
    <sheet name="PAR · Actividades" sheetId="34" r:id="rId34"/>
    <sheet name="PAR · Reg. Notas" sheetId="35" r:id="rId35"/>
    <sheet name="PAR · Resumen" sheetId="36" r:id="rId36"/>
    <sheet name="PAR · Evaluación 1" sheetId="37" r:id="rId37"/>
    <sheet name="PAR · Evaluación 2" sheetId="38" r:id="rId38"/>
    <sheet name="PAR · Evaluación 3" sheetId="39" r:id="rId39"/>
    <sheet name="PAR · 1ªORD" sheetId="40" r:id="rId40"/>
    <sheet name="PAR · 2ªORD" sheetId="41" r:id="rId41"/>
    <sheet name="PAR · Rúbricas" sheetId="42" r:id="rId42"/>
    <sheet name="PAR · Informe Grupo" sheetId="43" r:id="rId43"/>
    <sheet name="PAR · Boletín" sheetId="44" r:id="rId44"/>
    <sheet name="PAR · Dashboard" sheetId="45" r:id="rId45"/>
    <sheet name="PAR · _UTs" sheetId="46" state="hidden" r:id="rId46"/>
    <sheet name="PAR · _RAs" sheetId="47" state="hidden" r:id="rId47"/>
    <sheet name="PAR · _CEs" sheetId="48" state="hidden" r:id="rId48"/>
    <sheet name="PAR · _Asignaciones" sheetId="49" state="hidden" r:id="rId49"/>
    <sheet name="PAR · _Actividades" sheetId="50" state="hidden" r:id="rId50"/>
    <sheet name="PAR · _Alumnos" sheetId="51" state="hidden" r:id="rId51"/>
    <sheet name="PAR · _Grupos" sheetId="52" state="hidden" r:id="rId52"/>
    <sheet name="PAR · _Notas_Actividades" sheetId="53" state="hidden" r:id="rId53"/>
    <sheet name="PAR · _Evaluaciones" sheetId="54" state="hidden" r:id="rId54"/>
  </sheets>
  <definedNames>
    <definedName name="_xlnm.Print_Area" localSheetId="20">'ISO · Boletín'!$A$1:$L$30</definedName>
    <definedName name="_xlnm.Print_Area" localSheetId="19">'ISO · Informe Grupo'!$A$1:$N$55</definedName>
    <definedName name="_xlnm.Print_Area" localSheetId="43">'PAR · Boletín'!$A$1:$L$30</definedName>
    <definedName name="_xlnm.Print_Area" localSheetId="42">'PAR · Informe Grupo'!$A$1:$L$55</definedName>
    <definedName name="PESO_EXAMEN">Configuración!$C$26</definedName>
    <definedName name="PESO_PRACTICA">Configuración!$C$27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2" l="1"/>
  <c r="I31" i="51"/>
  <c r="H31" i="51"/>
  <c r="G31" i="51"/>
  <c r="F31" i="51"/>
  <c r="E31" i="51"/>
  <c r="D31" i="51"/>
  <c r="C31" i="51"/>
  <c r="B31" i="51"/>
  <c r="I30" i="51"/>
  <c r="H30" i="51"/>
  <c r="G30" i="51"/>
  <c r="F30" i="51"/>
  <c r="E30" i="51"/>
  <c r="D30" i="51"/>
  <c r="C30" i="51"/>
  <c r="B30" i="51"/>
  <c r="I29" i="51"/>
  <c r="H29" i="51"/>
  <c r="G29" i="51"/>
  <c r="F29" i="51"/>
  <c r="E29" i="51"/>
  <c r="D29" i="51"/>
  <c r="C29" i="51"/>
  <c r="B29" i="51"/>
  <c r="I28" i="51"/>
  <c r="H28" i="51"/>
  <c r="G28" i="51"/>
  <c r="F28" i="51"/>
  <c r="E28" i="51"/>
  <c r="D28" i="51"/>
  <c r="C28" i="51"/>
  <c r="B28" i="51"/>
  <c r="I27" i="51"/>
  <c r="H27" i="51"/>
  <c r="G27" i="51"/>
  <c r="F27" i="51"/>
  <c r="E27" i="51"/>
  <c r="D27" i="51"/>
  <c r="C27" i="51"/>
  <c r="B27" i="51"/>
  <c r="I26" i="51"/>
  <c r="H26" i="51"/>
  <c r="G26" i="51"/>
  <c r="F26" i="51"/>
  <c r="E26" i="51"/>
  <c r="D26" i="51"/>
  <c r="C26" i="51"/>
  <c r="B26" i="51"/>
  <c r="I25" i="51"/>
  <c r="H25" i="51"/>
  <c r="G25" i="51"/>
  <c r="F25" i="51"/>
  <c r="E25" i="51"/>
  <c r="D25" i="51"/>
  <c r="C25" i="51"/>
  <c r="B25" i="51"/>
  <c r="I24" i="51"/>
  <c r="H24" i="51"/>
  <c r="G24" i="51"/>
  <c r="F24" i="51"/>
  <c r="E24" i="51"/>
  <c r="D24" i="51"/>
  <c r="C24" i="51"/>
  <c r="B24" i="51"/>
  <c r="I23" i="51"/>
  <c r="H23" i="51"/>
  <c r="G23" i="51"/>
  <c r="F23" i="51"/>
  <c r="E23" i="51"/>
  <c r="D23" i="51"/>
  <c r="C23" i="51"/>
  <c r="B23" i="51"/>
  <c r="I22" i="51"/>
  <c r="H22" i="51"/>
  <c r="G22" i="51"/>
  <c r="F22" i="51"/>
  <c r="E22" i="51"/>
  <c r="D22" i="51"/>
  <c r="C22" i="51"/>
  <c r="B22" i="51"/>
  <c r="I21" i="51"/>
  <c r="H21" i="51"/>
  <c r="G21" i="51"/>
  <c r="F21" i="51"/>
  <c r="E21" i="51"/>
  <c r="D21" i="51"/>
  <c r="C21" i="51"/>
  <c r="B21" i="51"/>
  <c r="I20" i="51"/>
  <c r="H20" i="51"/>
  <c r="G20" i="51"/>
  <c r="F20" i="51"/>
  <c r="E20" i="51"/>
  <c r="D20" i="51"/>
  <c r="C20" i="51"/>
  <c r="B20" i="51"/>
  <c r="I19" i="51"/>
  <c r="H19" i="51"/>
  <c r="G19" i="51"/>
  <c r="F19" i="51"/>
  <c r="E19" i="51"/>
  <c r="D19" i="51"/>
  <c r="C19" i="51"/>
  <c r="B19" i="51"/>
  <c r="I18" i="51"/>
  <c r="H18" i="51"/>
  <c r="G18" i="51"/>
  <c r="F18" i="51"/>
  <c r="E18" i="51"/>
  <c r="D18" i="51"/>
  <c r="C18" i="51"/>
  <c r="B18" i="51"/>
  <c r="I17" i="51"/>
  <c r="H17" i="51"/>
  <c r="G17" i="51"/>
  <c r="F17" i="51"/>
  <c r="E17" i="51"/>
  <c r="D17" i="51"/>
  <c r="C17" i="51"/>
  <c r="B17" i="51"/>
  <c r="I16" i="51"/>
  <c r="H16" i="51"/>
  <c r="G16" i="51"/>
  <c r="F16" i="51"/>
  <c r="E16" i="51"/>
  <c r="D16" i="51"/>
  <c r="C16" i="51"/>
  <c r="B16" i="51"/>
  <c r="I15" i="51"/>
  <c r="H15" i="51"/>
  <c r="G15" i="51"/>
  <c r="F15" i="51"/>
  <c r="E15" i="51"/>
  <c r="D15" i="51"/>
  <c r="C15" i="51"/>
  <c r="B15" i="51"/>
  <c r="I14" i="51"/>
  <c r="H14" i="51"/>
  <c r="G14" i="51"/>
  <c r="F14" i="51"/>
  <c r="E14" i="51"/>
  <c r="D14" i="51"/>
  <c r="C14" i="51"/>
  <c r="B14" i="51"/>
  <c r="I13" i="51"/>
  <c r="H13" i="51"/>
  <c r="G13" i="51"/>
  <c r="F13" i="51"/>
  <c r="E13" i="51"/>
  <c r="D13" i="51"/>
  <c r="C13" i="51"/>
  <c r="B13" i="51"/>
  <c r="I12" i="51"/>
  <c r="H12" i="51"/>
  <c r="G12" i="51"/>
  <c r="F12" i="51"/>
  <c r="E12" i="51"/>
  <c r="D12" i="51"/>
  <c r="C12" i="51"/>
  <c r="B12" i="51"/>
  <c r="I11" i="51"/>
  <c r="H11" i="51"/>
  <c r="G11" i="51"/>
  <c r="F11" i="51"/>
  <c r="E11" i="51"/>
  <c r="D11" i="51"/>
  <c r="C11" i="51"/>
  <c r="B11" i="51"/>
  <c r="I10" i="51"/>
  <c r="H10" i="51"/>
  <c r="G10" i="51"/>
  <c r="F10" i="51"/>
  <c r="E10" i="51"/>
  <c r="D10" i="51"/>
  <c r="C10" i="51"/>
  <c r="B10" i="51"/>
  <c r="I9" i="51"/>
  <c r="H9" i="51"/>
  <c r="G9" i="51"/>
  <c r="F9" i="51"/>
  <c r="E9" i="51"/>
  <c r="D9" i="51"/>
  <c r="C9" i="51"/>
  <c r="B9" i="51"/>
  <c r="I8" i="51"/>
  <c r="H8" i="51"/>
  <c r="G8" i="51"/>
  <c r="F8" i="51"/>
  <c r="E8" i="51"/>
  <c r="D8" i="51"/>
  <c r="C8" i="51"/>
  <c r="B8" i="51"/>
  <c r="I7" i="51"/>
  <c r="H7" i="51"/>
  <c r="G7" i="51"/>
  <c r="F7" i="51"/>
  <c r="E7" i="51"/>
  <c r="D7" i="51"/>
  <c r="C7" i="51"/>
  <c r="B7" i="51"/>
  <c r="I6" i="51"/>
  <c r="H6" i="51"/>
  <c r="G6" i="51"/>
  <c r="F6" i="51"/>
  <c r="E6" i="51"/>
  <c r="D6" i="51"/>
  <c r="C6" i="51"/>
  <c r="B6" i="51"/>
  <c r="I5" i="51"/>
  <c r="H5" i="51"/>
  <c r="G5" i="51"/>
  <c r="F5" i="51"/>
  <c r="E5" i="51"/>
  <c r="D5" i="51"/>
  <c r="C5" i="51"/>
  <c r="B5" i="51"/>
  <c r="I4" i="51"/>
  <c r="H4" i="51"/>
  <c r="G4" i="51"/>
  <c r="F4" i="51"/>
  <c r="E4" i="51"/>
  <c r="D4" i="51"/>
  <c r="C4" i="51"/>
  <c r="B4" i="51"/>
  <c r="I3" i="51"/>
  <c r="H3" i="51"/>
  <c r="G3" i="51"/>
  <c r="F3" i="51"/>
  <c r="E3" i="51"/>
  <c r="D3" i="51"/>
  <c r="C3" i="51"/>
  <c r="B3" i="51"/>
  <c r="I2" i="51"/>
  <c r="H2" i="51"/>
  <c r="G2" i="51"/>
  <c r="F2" i="51"/>
  <c r="E2" i="51"/>
  <c r="D2" i="51"/>
  <c r="C2" i="51"/>
  <c r="B2" i="51"/>
  <c r="C47" i="45"/>
  <c r="C46" i="45"/>
  <c r="C45" i="45"/>
  <c r="C44" i="45"/>
  <c r="C43" i="45"/>
  <c r="C42" i="45"/>
  <c r="C41" i="45"/>
  <c r="C40" i="45"/>
  <c r="C39" i="45"/>
  <c r="C38" i="45"/>
  <c r="C37" i="45"/>
  <c r="C36" i="45"/>
  <c r="C35" i="45"/>
  <c r="C34" i="45"/>
  <c r="C33" i="45"/>
  <c r="C32" i="45"/>
  <c r="C31" i="45"/>
  <c r="C30" i="45"/>
  <c r="C29" i="45"/>
  <c r="C28" i="45"/>
  <c r="C27" i="45"/>
  <c r="C26" i="45"/>
  <c r="C25" i="45"/>
  <c r="C24" i="45"/>
  <c r="C23" i="45"/>
  <c r="C22" i="45"/>
  <c r="C21" i="45"/>
  <c r="C20" i="45"/>
  <c r="C19" i="45"/>
  <c r="C18" i="45"/>
  <c r="B10" i="45"/>
  <c r="O5" i="45"/>
  <c r="N5" i="45"/>
  <c r="M5" i="45"/>
  <c r="L5" i="45"/>
  <c r="K5" i="45"/>
  <c r="J5" i="45"/>
  <c r="I5" i="45"/>
  <c r="H5" i="45"/>
  <c r="G5" i="45"/>
  <c r="F5" i="45"/>
  <c r="E5" i="45"/>
  <c r="D5" i="45"/>
  <c r="C5" i="45"/>
  <c r="B5" i="45"/>
  <c r="D23" i="44"/>
  <c r="C23" i="44"/>
  <c r="G18" i="44"/>
  <c r="F18" i="44"/>
  <c r="E18" i="44"/>
  <c r="D18" i="44"/>
  <c r="C18" i="44"/>
  <c r="F13" i="44"/>
  <c r="E13" i="44"/>
  <c r="D13" i="44"/>
  <c r="C13" i="44"/>
  <c r="I9" i="44"/>
  <c r="G9" i="44"/>
  <c r="E9" i="44"/>
  <c r="C9" i="44"/>
  <c r="P5" i="44"/>
  <c r="N5" i="44"/>
  <c r="M5" i="44"/>
  <c r="L5" i="44"/>
  <c r="K5" i="44"/>
  <c r="J5" i="44"/>
  <c r="I5" i="44"/>
  <c r="H5" i="44"/>
  <c r="G5" i="44"/>
  <c r="F5" i="44"/>
  <c r="E5" i="44"/>
  <c r="D5" i="44"/>
  <c r="C5" i="44"/>
  <c r="B5" i="44"/>
  <c r="E52" i="43"/>
  <c r="C51" i="43"/>
  <c r="C50" i="43"/>
  <c r="C49" i="43"/>
  <c r="C48" i="43"/>
  <c r="C47" i="43"/>
  <c r="C46" i="43"/>
  <c r="C45" i="43"/>
  <c r="F41" i="43"/>
  <c r="C41" i="43"/>
  <c r="C40" i="43"/>
  <c r="C38" i="43"/>
  <c r="C31" i="43"/>
  <c r="C28" i="43"/>
  <c r="C26" i="43"/>
  <c r="C24" i="43"/>
  <c r="C15" i="43"/>
  <c r="P5" i="43"/>
  <c r="O5" i="43"/>
  <c r="M5" i="43"/>
  <c r="L5" i="43"/>
  <c r="K5" i="43"/>
  <c r="J5" i="43"/>
  <c r="I5" i="43"/>
  <c r="H5" i="43"/>
  <c r="G5" i="43"/>
  <c r="F5" i="43"/>
  <c r="E5" i="43"/>
  <c r="D5" i="43"/>
  <c r="C5" i="43"/>
  <c r="B5" i="43"/>
  <c r="P5" i="42"/>
  <c r="O5" i="42"/>
  <c r="N5" i="42"/>
  <c r="L5" i="42"/>
  <c r="K5" i="42"/>
  <c r="J5" i="42"/>
  <c r="I5" i="42"/>
  <c r="H5" i="42"/>
  <c r="G5" i="42"/>
  <c r="F5" i="42"/>
  <c r="E5" i="42"/>
  <c r="D5" i="42"/>
  <c r="C5" i="42"/>
  <c r="B5" i="42"/>
  <c r="F30" i="41"/>
  <c r="G30" i="41" s="1"/>
  <c r="D30" i="41"/>
  <c r="C30" i="41"/>
  <c r="G29" i="41"/>
  <c r="F29" i="41"/>
  <c r="D29" i="41"/>
  <c r="C29" i="41"/>
  <c r="D28" i="41"/>
  <c r="F28" i="41" s="1"/>
  <c r="G28" i="41" s="1"/>
  <c r="C28" i="41"/>
  <c r="G27" i="41"/>
  <c r="F27" i="41"/>
  <c r="D27" i="41"/>
  <c r="C27" i="41"/>
  <c r="D26" i="41"/>
  <c r="F26" i="41" s="1"/>
  <c r="G26" i="41" s="1"/>
  <c r="C26" i="41"/>
  <c r="D25" i="41"/>
  <c r="F25" i="41" s="1"/>
  <c r="G25" i="41" s="1"/>
  <c r="C25" i="41"/>
  <c r="G24" i="41"/>
  <c r="F24" i="41"/>
  <c r="D24" i="41"/>
  <c r="C24" i="41"/>
  <c r="D23" i="41"/>
  <c r="F23" i="41" s="1"/>
  <c r="G23" i="41" s="1"/>
  <c r="C23" i="41"/>
  <c r="D22" i="41"/>
  <c r="F22" i="41" s="1"/>
  <c r="G22" i="41" s="1"/>
  <c r="C22" i="41"/>
  <c r="G21" i="41"/>
  <c r="D21" i="41"/>
  <c r="F21" i="41" s="1"/>
  <c r="C21" i="41"/>
  <c r="F20" i="41"/>
  <c r="G20" i="41" s="1"/>
  <c r="D20" i="41"/>
  <c r="C20" i="41"/>
  <c r="G19" i="41"/>
  <c r="F19" i="41"/>
  <c r="D19" i="41"/>
  <c r="C19" i="41"/>
  <c r="D18" i="41"/>
  <c r="F18" i="41" s="1"/>
  <c r="G18" i="41" s="1"/>
  <c r="C18" i="41"/>
  <c r="F17" i="41"/>
  <c r="G17" i="41" s="1"/>
  <c r="D17" i="41"/>
  <c r="C17" i="41"/>
  <c r="G16" i="41"/>
  <c r="D16" i="41"/>
  <c r="F16" i="41" s="1"/>
  <c r="C16" i="41"/>
  <c r="D15" i="41"/>
  <c r="F15" i="41" s="1"/>
  <c r="G15" i="41" s="1"/>
  <c r="C15" i="41"/>
  <c r="G14" i="41"/>
  <c r="F14" i="41"/>
  <c r="D14" i="41"/>
  <c r="C14" i="41"/>
  <c r="F13" i="41"/>
  <c r="G13" i="41" s="1"/>
  <c r="D13" i="41"/>
  <c r="C13" i="41"/>
  <c r="D12" i="41"/>
  <c r="F12" i="41" s="1"/>
  <c r="G12" i="41" s="1"/>
  <c r="C12" i="41"/>
  <c r="D11" i="41"/>
  <c r="F11" i="41" s="1"/>
  <c r="G11" i="41" s="1"/>
  <c r="C11" i="41"/>
  <c r="P5" i="41"/>
  <c r="O5" i="41"/>
  <c r="N5" i="41"/>
  <c r="M5" i="41"/>
  <c r="K5" i="41"/>
  <c r="J5" i="41"/>
  <c r="I5" i="41"/>
  <c r="H5" i="41"/>
  <c r="G5" i="41"/>
  <c r="F5" i="41"/>
  <c r="E5" i="41"/>
  <c r="D5" i="41"/>
  <c r="C5" i="41"/>
  <c r="B5" i="41"/>
  <c r="D40" i="40"/>
  <c r="C40" i="40"/>
  <c r="C53" i="43" s="1"/>
  <c r="C39" i="40"/>
  <c r="C52" i="43" s="1"/>
  <c r="F38" i="40"/>
  <c r="C38" i="40"/>
  <c r="D37" i="40"/>
  <c r="C37" i="40"/>
  <c r="C36" i="40"/>
  <c r="C35" i="40"/>
  <c r="G34" i="40"/>
  <c r="G47" i="43" s="1"/>
  <c r="F34" i="40"/>
  <c r="F47" i="43" s="1"/>
  <c r="C34" i="40"/>
  <c r="F33" i="40"/>
  <c r="F46" i="43" s="1"/>
  <c r="E33" i="40"/>
  <c r="E46" i="43" s="1"/>
  <c r="C33" i="40"/>
  <c r="C32" i="40"/>
  <c r="I31" i="40"/>
  <c r="I44" i="43" s="1"/>
  <c r="C31" i="40"/>
  <c r="C44" i="43" s="1"/>
  <c r="I30" i="40"/>
  <c r="I43" i="43" s="1"/>
  <c r="C30" i="40"/>
  <c r="C43" i="43" s="1"/>
  <c r="G29" i="40"/>
  <c r="G42" i="43" s="1"/>
  <c r="F29" i="40"/>
  <c r="F42" i="43" s="1"/>
  <c r="C29" i="40"/>
  <c r="C42" i="43" s="1"/>
  <c r="C28" i="40"/>
  <c r="C27" i="40"/>
  <c r="I26" i="40"/>
  <c r="I39" i="43" s="1"/>
  <c r="G26" i="40"/>
  <c r="G39" i="43" s="1"/>
  <c r="F26" i="40"/>
  <c r="F39" i="43" s="1"/>
  <c r="C26" i="40"/>
  <c r="C39" i="43" s="1"/>
  <c r="C25" i="40"/>
  <c r="C24" i="40"/>
  <c r="C37" i="43" s="1"/>
  <c r="C23" i="40"/>
  <c r="C36" i="43" s="1"/>
  <c r="C22" i="40"/>
  <c r="C35" i="43" s="1"/>
  <c r="I21" i="40"/>
  <c r="I34" i="43" s="1"/>
  <c r="C21" i="40"/>
  <c r="C34" i="43" s="1"/>
  <c r="I20" i="40"/>
  <c r="I33" i="43" s="1"/>
  <c r="H20" i="40"/>
  <c r="H33" i="43" s="1"/>
  <c r="G20" i="40"/>
  <c r="G33" i="43" s="1"/>
  <c r="C20" i="40"/>
  <c r="C33" i="43" s="1"/>
  <c r="C19" i="40"/>
  <c r="C32" i="43" s="1"/>
  <c r="F18" i="40"/>
  <c r="F31" i="43" s="1"/>
  <c r="E18" i="40"/>
  <c r="E31" i="43" s="1"/>
  <c r="D18" i="40"/>
  <c r="C18" i="40"/>
  <c r="C17" i="40"/>
  <c r="C30" i="43" s="1"/>
  <c r="C16" i="40"/>
  <c r="C29" i="43" s="1"/>
  <c r="C15" i="40"/>
  <c r="C14" i="40"/>
  <c r="C27" i="43" s="1"/>
  <c r="C13" i="40"/>
  <c r="C12" i="40"/>
  <c r="C25" i="43" s="1"/>
  <c r="I11" i="40"/>
  <c r="C11" i="40"/>
  <c r="P5" i="40"/>
  <c r="O5" i="40"/>
  <c r="N5" i="40"/>
  <c r="M5" i="40"/>
  <c r="L5" i="40"/>
  <c r="J5" i="40"/>
  <c r="I5" i="40"/>
  <c r="H5" i="40"/>
  <c r="G5" i="40"/>
  <c r="F5" i="40"/>
  <c r="E5" i="40"/>
  <c r="D5" i="40"/>
  <c r="C5" i="40"/>
  <c r="B5" i="40"/>
  <c r="C40" i="39"/>
  <c r="C39" i="39"/>
  <c r="C38" i="39"/>
  <c r="C37" i="39"/>
  <c r="F36" i="39"/>
  <c r="G36" i="39" s="1"/>
  <c r="C36" i="39"/>
  <c r="C35" i="39"/>
  <c r="C34" i="39"/>
  <c r="C33" i="39"/>
  <c r="C32" i="39"/>
  <c r="F31" i="39"/>
  <c r="G31" i="39" s="1"/>
  <c r="C31" i="39"/>
  <c r="C30" i="39"/>
  <c r="C29" i="39"/>
  <c r="C28" i="39"/>
  <c r="C27" i="39"/>
  <c r="C26" i="39"/>
  <c r="C25" i="39"/>
  <c r="C24" i="39"/>
  <c r="G23" i="39"/>
  <c r="F23" i="39"/>
  <c r="C23" i="39"/>
  <c r="C22" i="39"/>
  <c r="C21" i="39"/>
  <c r="G20" i="39"/>
  <c r="C20" i="39"/>
  <c r="C19" i="39"/>
  <c r="C18" i="39"/>
  <c r="C17" i="39"/>
  <c r="G16" i="39"/>
  <c r="F16" i="39"/>
  <c r="C16" i="39"/>
  <c r="C15" i="39"/>
  <c r="C14" i="39"/>
  <c r="C13" i="39"/>
  <c r="C12" i="39"/>
  <c r="C11" i="39"/>
  <c r="P5" i="39"/>
  <c r="O5" i="39"/>
  <c r="N5" i="39"/>
  <c r="M5" i="39"/>
  <c r="L5" i="39"/>
  <c r="K5" i="39"/>
  <c r="I5" i="39"/>
  <c r="H5" i="39"/>
  <c r="G5" i="39"/>
  <c r="F5" i="39"/>
  <c r="E5" i="39"/>
  <c r="D5" i="39"/>
  <c r="C5" i="39"/>
  <c r="B5" i="39"/>
  <c r="C40" i="38"/>
  <c r="C39" i="38"/>
  <c r="C38" i="38"/>
  <c r="C37" i="38"/>
  <c r="C36" i="38"/>
  <c r="I35" i="38"/>
  <c r="H35" i="38"/>
  <c r="C35" i="38"/>
  <c r="J34" i="38"/>
  <c r="C34" i="38"/>
  <c r="G33" i="38"/>
  <c r="C33" i="38"/>
  <c r="H32" i="38"/>
  <c r="C32" i="38"/>
  <c r="I31" i="38"/>
  <c r="C31" i="38"/>
  <c r="I30" i="38"/>
  <c r="H30" i="38"/>
  <c r="C30" i="38"/>
  <c r="H29" i="38"/>
  <c r="C29" i="38"/>
  <c r="C28" i="38"/>
  <c r="G27" i="38"/>
  <c r="C27" i="38"/>
  <c r="H26" i="38"/>
  <c r="C26" i="38"/>
  <c r="C25" i="38"/>
  <c r="H24" i="38"/>
  <c r="C24" i="38"/>
  <c r="G23" i="38"/>
  <c r="C23" i="38"/>
  <c r="C22" i="38"/>
  <c r="C21" i="38"/>
  <c r="I20" i="38"/>
  <c r="H20" i="38"/>
  <c r="C20" i="38"/>
  <c r="C19" i="38"/>
  <c r="G18" i="38"/>
  <c r="C18" i="38"/>
  <c r="C17" i="38"/>
  <c r="C16" i="38"/>
  <c r="C15" i="38"/>
  <c r="H14" i="38"/>
  <c r="C14" i="38"/>
  <c r="C13" i="38"/>
  <c r="C12" i="38"/>
  <c r="C11" i="38"/>
  <c r="P5" i="38"/>
  <c r="O5" i="38"/>
  <c r="N5" i="38"/>
  <c r="M5" i="38"/>
  <c r="L5" i="38"/>
  <c r="K5" i="38"/>
  <c r="J5" i="38"/>
  <c r="H5" i="38"/>
  <c r="G5" i="38"/>
  <c r="F5" i="38"/>
  <c r="E5" i="38"/>
  <c r="D5" i="38"/>
  <c r="C5" i="38"/>
  <c r="B5" i="38"/>
  <c r="G40" i="37"/>
  <c r="C40" i="37"/>
  <c r="C39" i="37"/>
  <c r="G38" i="37"/>
  <c r="F38" i="37"/>
  <c r="C38" i="37"/>
  <c r="C37" i="37"/>
  <c r="C36" i="37"/>
  <c r="C35" i="37"/>
  <c r="G34" i="37"/>
  <c r="C34" i="37"/>
  <c r="C33" i="37"/>
  <c r="F32" i="37"/>
  <c r="C32" i="37"/>
  <c r="G31" i="37"/>
  <c r="C31" i="37"/>
  <c r="G30" i="37"/>
  <c r="C30" i="37"/>
  <c r="G29" i="37"/>
  <c r="C29" i="37"/>
  <c r="F28" i="37"/>
  <c r="C28" i="37"/>
  <c r="F27" i="37"/>
  <c r="C27" i="37"/>
  <c r="C26" i="37"/>
  <c r="C25" i="37"/>
  <c r="C24" i="37"/>
  <c r="I23" i="37"/>
  <c r="D38" i="54" s="1"/>
  <c r="G23" i="37"/>
  <c r="F23" i="37"/>
  <c r="H23" i="37" s="1"/>
  <c r="C38" i="54" s="1"/>
  <c r="C23" i="37"/>
  <c r="C22" i="37"/>
  <c r="G21" i="37"/>
  <c r="C21" i="37"/>
  <c r="G20" i="37"/>
  <c r="C20" i="37"/>
  <c r="F19" i="37"/>
  <c r="C19" i="37"/>
  <c r="G18" i="37"/>
  <c r="F18" i="37"/>
  <c r="C18" i="37"/>
  <c r="C17" i="37"/>
  <c r="C16" i="37"/>
  <c r="C15" i="37"/>
  <c r="C14" i="37"/>
  <c r="C13" i="37"/>
  <c r="F12" i="37"/>
  <c r="C12" i="37"/>
  <c r="C11" i="37"/>
  <c r="P5" i="37"/>
  <c r="O5" i="37"/>
  <c r="N5" i="37"/>
  <c r="M5" i="37"/>
  <c r="L5" i="37"/>
  <c r="K5" i="37"/>
  <c r="J5" i="37"/>
  <c r="I5" i="37"/>
  <c r="G5" i="37"/>
  <c r="F5" i="37"/>
  <c r="E5" i="37"/>
  <c r="D5" i="37"/>
  <c r="C5" i="37"/>
  <c r="B5" i="37"/>
  <c r="P5" i="36"/>
  <c r="O5" i="36"/>
  <c r="N5" i="36"/>
  <c r="M5" i="36"/>
  <c r="L5" i="36"/>
  <c r="K5" i="36"/>
  <c r="J5" i="36"/>
  <c r="I5" i="36"/>
  <c r="H5" i="36"/>
  <c r="F5" i="36"/>
  <c r="E5" i="36"/>
  <c r="D5" i="36"/>
  <c r="C5" i="36"/>
  <c r="B5" i="36"/>
  <c r="T40" i="35"/>
  <c r="S40" i="35"/>
  <c r="R40" i="35"/>
  <c r="G40" i="40" s="1"/>
  <c r="G53" i="43" s="1"/>
  <c r="Q40" i="35"/>
  <c r="P40" i="35"/>
  <c r="E40" i="40" s="1"/>
  <c r="E53" i="43" s="1"/>
  <c r="O40" i="35"/>
  <c r="F40" i="37" s="1"/>
  <c r="H40" i="37" s="1"/>
  <c r="C40" i="35"/>
  <c r="T39" i="35"/>
  <c r="S39" i="35"/>
  <c r="R39" i="35"/>
  <c r="Q39" i="35"/>
  <c r="P39" i="35"/>
  <c r="E39" i="40" s="1"/>
  <c r="O39" i="35"/>
  <c r="C39" i="35"/>
  <c r="T38" i="35"/>
  <c r="F38" i="39" s="1"/>
  <c r="G38" i="39" s="1"/>
  <c r="S38" i="35"/>
  <c r="R38" i="35"/>
  <c r="Q38" i="35"/>
  <c r="G38" i="38" s="1"/>
  <c r="P38" i="35"/>
  <c r="E38" i="40" s="1"/>
  <c r="E51" i="43" s="1"/>
  <c r="O38" i="35"/>
  <c r="D38" i="40" s="1"/>
  <c r="D51" i="43" s="1"/>
  <c r="C38" i="35"/>
  <c r="T37" i="35"/>
  <c r="S37" i="35"/>
  <c r="I37" i="38" s="1"/>
  <c r="R37" i="35"/>
  <c r="G37" i="40" s="1"/>
  <c r="G50" i="43" s="1"/>
  <c r="Q37" i="35"/>
  <c r="P37" i="35"/>
  <c r="O37" i="35"/>
  <c r="F37" i="37" s="1"/>
  <c r="C37" i="35"/>
  <c r="T36" i="35"/>
  <c r="I36" i="40" s="1"/>
  <c r="I49" i="43" s="1"/>
  <c r="S36" i="35"/>
  <c r="R36" i="35"/>
  <c r="G36" i="40" s="1"/>
  <c r="G49" i="43" s="1"/>
  <c r="Q36" i="35"/>
  <c r="G36" i="38" s="1"/>
  <c r="P36" i="35"/>
  <c r="E36" i="40" s="1"/>
  <c r="E49" i="43" s="1"/>
  <c r="O36" i="35"/>
  <c r="U36" i="35" s="1"/>
  <c r="C36" i="35"/>
  <c r="T35" i="35"/>
  <c r="F35" i="39" s="1"/>
  <c r="G35" i="39" s="1"/>
  <c r="S35" i="35"/>
  <c r="H35" i="40" s="1"/>
  <c r="H48" i="43" s="1"/>
  <c r="R35" i="35"/>
  <c r="G35" i="40" s="1"/>
  <c r="G48" i="43" s="1"/>
  <c r="Q35" i="35"/>
  <c r="P35" i="35"/>
  <c r="E35" i="40" s="1"/>
  <c r="E48" i="43" s="1"/>
  <c r="O35" i="35"/>
  <c r="D35" i="40" s="1"/>
  <c r="C35" i="35"/>
  <c r="T34" i="35"/>
  <c r="S34" i="35"/>
  <c r="I34" i="38" s="1"/>
  <c r="R34" i="35"/>
  <c r="H34" i="38" s="1"/>
  <c r="Q34" i="35"/>
  <c r="G34" i="38" s="1"/>
  <c r="P34" i="35"/>
  <c r="E34" i="40" s="1"/>
  <c r="E47" i="43" s="1"/>
  <c r="O34" i="35"/>
  <c r="C34" i="35"/>
  <c r="T33" i="35"/>
  <c r="I33" i="40" s="1"/>
  <c r="I46" i="43" s="1"/>
  <c r="S33" i="35"/>
  <c r="R33" i="35"/>
  <c r="Q33" i="35"/>
  <c r="P33" i="35"/>
  <c r="G33" i="37" s="1"/>
  <c r="O33" i="35"/>
  <c r="D33" i="40" s="1"/>
  <c r="C33" i="35"/>
  <c r="T32" i="35"/>
  <c r="S32" i="35"/>
  <c r="R32" i="35"/>
  <c r="G32" i="40" s="1"/>
  <c r="G45" i="43" s="1"/>
  <c r="Q32" i="35"/>
  <c r="P32" i="35"/>
  <c r="O32" i="35"/>
  <c r="D32" i="40" s="1"/>
  <c r="C32" i="35"/>
  <c r="T31" i="35"/>
  <c r="S31" i="35"/>
  <c r="H31" i="40" s="1"/>
  <c r="H44" i="43" s="1"/>
  <c r="R31" i="35"/>
  <c r="G31" i="40" s="1"/>
  <c r="G44" i="43" s="1"/>
  <c r="Q31" i="35"/>
  <c r="P31" i="35"/>
  <c r="E31" i="40" s="1"/>
  <c r="E44" i="43" s="1"/>
  <c r="O31" i="35"/>
  <c r="C31" i="35"/>
  <c r="T30" i="35"/>
  <c r="F30" i="39" s="1"/>
  <c r="G30" i="39" s="1"/>
  <c r="S30" i="35"/>
  <c r="H30" i="40" s="1"/>
  <c r="H43" i="43" s="1"/>
  <c r="R30" i="35"/>
  <c r="G30" i="40" s="1"/>
  <c r="G43" i="43" s="1"/>
  <c r="Q30" i="35"/>
  <c r="P30" i="35"/>
  <c r="E30" i="40" s="1"/>
  <c r="E43" i="43" s="1"/>
  <c r="O30" i="35"/>
  <c r="C30" i="35"/>
  <c r="T29" i="35"/>
  <c r="S29" i="35"/>
  <c r="R29" i="35"/>
  <c r="Q29" i="35"/>
  <c r="G29" i="38" s="1"/>
  <c r="P29" i="35"/>
  <c r="E29" i="40" s="1"/>
  <c r="E42" i="43" s="1"/>
  <c r="O29" i="35"/>
  <c r="C29" i="35"/>
  <c r="T28" i="35"/>
  <c r="I28" i="40" s="1"/>
  <c r="I41" i="43" s="1"/>
  <c r="S28" i="35"/>
  <c r="H28" i="40" s="1"/>
  <c r="H41" i="43" s="1"/>
  <c r="R28" i="35"/>
  <c r="Q28" i="35"/>
  <c r="F28" i="40" s="1"/>
  <c r="P28" i="35"/>
  <c r="E28" i="40" s="1"/>
  <c r="E41" i="43" s="1"/>
  <c r="O28" i="35"/>
  <c r="D28" i="40" s="1"/>
  <c r="D41" i="43" s="1"/>
  <c r="C28" i="35"/>
  <c r="U27" i="35"/>
  <c r="T27" i="35"/>
  <c r="F27" i="39" s="1"/>
  <c r="G27" i="39" s="1"/>
  <c r="S27" i="35"/>
  <c r="I27" i="38" s="1"/>
  <c r="R27" i="35"/>
  <c r="G27" i="40" s="1"/>
  <c r="G40" i="43" s="1"/>
  <c r="Q27" i="35"/>
  <c r="F27" i="40" s="1"/>
  <c r="F40" i="43" s="1"/>
  <c r="P27" i="35"/>
  <c r="O27" i="35"/>
  <c r="D27" i="40" s="1"/>
  <c r="D40" i="43" s="1"/>
  <c r="C27" i="35"/>
  <c r="T26" i="35"/>
  <c r="F26" i="39" s="1"/>
  <c r="G26" i="39" s="1"/>
  <c r="S26" i="35"/>
  <c r="H26" i="40" s="1"/>
  <c r="H39" i="43" s="1"/>
  <c r="R26" i="35"/>
  <c r="Q26" i="35"/>
  <c r="G26" i="38" s="1"/>
  <c r="P26" i="35"/>
  <c r="E26" i="40" s="1"/>
  <c r="E39" i="43" s="1"/>
  <c r="O26" i="35"/>
  <c r="C26" i="35"/>
  <c r="T25" i="35"/>
  <c r="S25" i="35"/>
  <c r="H25" i="40" s="1"/>
  <c r="H38" i="43" s="1"/>
  <c r="R25" i="35"/>
  <c r="G25" i="40" s="1"/>
  <c r="G38" i="43" s="1"/>
  <c r="Q25" i="35"/>
  <c r="P25" i="35"/>
  <c r="E25" i="40" s="1"/>
  <c r="E38" i="43" s="1"/>
  <c r="O25" i="35"/>
  <c r="U25" i="35" s="1"/>
  <c r="C25" i="35"/>
  <c r="T24" i="35"/>
  <c r="S24" i="35"/>
  <c r="R24" i="35"/>
  <c r="G24" i="40" s="1"/>
  <c r="G37" i="43" s="1"/>
  <c r="Q24" i="35"/>
  <c r="P24" i="35"/>
  <c r="E24" i="40" s="1"/>
  <c r="E37" i="43" s="1"/>
  <c r="O24" i="35"/>
  <c r="C24" i="35"/>
  <c r="T23" i="35"/>
  <c r="I23" i="40" s="1"/>
  <c r="I36" i="43" s="1"/>
  <c r="S23" i="35"/>
  <c r="R23" i="35"/>
  <c r="Q23" i="35"/>
  <c r="F23" i="40" s="1"/>
  <c r="F36" i="43" s="1"/>
  <c r="P23" i="35"/>
  <c r="E23" i="40" s="1"/>
  <c r="E36" i="43" s="1"/>
  <c r="O23" i="35"/>
  <c r="D23" i="40" s="1"/>
  <c r="D36" i="43" s="1"/>
  <c r="C23" i="35"/>
  <c r="T22" i="35"/>
  <c r="F22" i="39" s="1"/>
  <c r="G22" i="39" s="1"/>
  <c r="S22" i="35"/>
  <c r="I22" i="38" s="1"/>
  <c r="R22" i="35"/>
  <c r="G22" i="40" s="1"/>
  <c r="G35" i="43" s="1"/>
  <c r="Q22" i="35"/>
  <c r="P22" i="35"/>
  <c r="O22" i="35"/>
  <c r="D22" i="40" s="1"/>
  <c r="D35" i="43" s="1"/>
  <c r="C22" i="35"/>
  <c r="T21" i="35"/>
  <c r="F21" i="39" s="1"/>
  <c r="G21" i="39" s="1"/>
  <c r="S21" i="35"/>
  <c r="R21" i="35"/>
  <c r="G21" i="40" s="1"/>
  <c r="G34" i="43" s="1"/>
  <c r="Q21" i="35"/>
  <c r="P21" i="35"/>
  <c r="E21" i="40" s="1"/>
  <c r="E34" i="43" s="1"/>
  <c r="O21" i="35"/>
  <c r="C21" i="35"/>
  <c r="T20" i="35"/>
  <c r="F20" i="39" s="1"/>
  <c r="S20" i="35"/>
  <c r="R20" i="35"/>
  <c r="Q20" i="35"/>
  <c r="F20" i="40" s="1"/>
  <c r="F33" i="43" s="1"/>
  <c r="P20" i="35"/>
  <c r="E20" i="40" s="1"/>
  <c r="E33" i="43" s="1"/>
  <c r="O20" i="35"/>
  <c r="D20" i="40" s="1"/>
  <c r="D33" i="43" s="1"/>
  <c r="C20" i="35"/>
  <c r="T19" i="35"/>
  <c r="S19" i="35"/>
  <c r="I19" i="38" s="1"/>
  <c r="R19" i="35"/>
  <c r="G19" i="40" s="1"/>
  <c r="G32" i="43" s="1"/>
  <c r="Q19" i="35"/>
  <c r="G19" i="38" s="1"/>
  <c r="P19" i="35"/>
  <c r="E19" i="40" s="1"/>
  <c r="E32" i="43" s="1"/>
  <c r="O19" i="35"/>
  <c r="D19" i="40" s="1"/>
  <c r="C19" i="35"/>
  <c r="T18" i="35"/>
  <c r="I18" i="40" s="1"/>
  <c r="I31" i="43" s="1"/>
  <c r="S18" i="35"/>
  <c r="R18" i="35"/>
  <c r="Q18" i="35"/>
  <c r="P18" i="35"/>
  <c r="O18" i="35"/>
  <c r="C18" i="35"/>
  <c r="T17" i="35"/>
  <c r="S17" i="35"/>
  <c r="R17" i="35"/>
  <c r="G17" i="40" s="1"/>
  <c r="G30" i="43" s="1"/>
  <c r="Q17" i="35"/>
  <c r="P17" i="35"/>
  <c r="O17" i="35"/>
  <c r="F17" i="37" s="1"/>
  <c r="C17" i="35"/>
  <c r="T16" i="35"/>
  <c r="I16" i="40" s="1"/>
  <c r="I29" i="43" s="1"/>
  <c r="S16" i="35"/>
  <c r="R16" i="35"/>
  <c r="G16" i="40" s="1"/>
  <c r="G29" i="43" s="1"/>
  <c r="Q16" i="35"/>
  <c r="G16" i="38" s="1"/>
  <c r="P16" i="35"/>
  <c r="E16" i="40" s="1"/>
  <c r="E29" i="43" s="1"/>
  <c r="O16" i="35"/>
  <c r="C16" i="35"/>
  <c r="T15" i="35"/>
  <c r="S15" i="35"/>
  <c r="H15" i="40" s="1"/>
  <c r="H28" i="43" s="1"/>
  <c r="R15" i="35"/>
  <c r="G15" i="40" s="1"/>
  <c r="G28" i="43" s="1"/>
  <c r="Q15" i="35"/>
  <c r="P15" i="35"/>
  <c r="E15" i="40" s="1"/>
  <c r="E28" i="43" s="1"/>
  <c r="O15" i="35"/>
  <c r="U15" i="35" s="1"/>
  <c r="C15" i="35"/>
  <c r="T14" i="35"/>
  <c r="S14" i="35"/>
  <c r="R14" i="35"/>
  <c r="G14" i="40" s="1"/>
  <c r="G27" i="43" s="1"/>
  <c r="Q14" i="35"/>
  <c r="P14" i="35"/>
  <c r="O14" i="35"/>
  <c r="C14" i="35"/>
  <c r="T13" i="35"/>
  <c r="I13" i="40" s="1"/>
  <c r="I26" i="43" s="1"/>
  <c r="S13" i="35"/>
  <c r="R13" i="35"/>
  <c r="Q13" i="35"/>
  <c r="F13" i="40" s="1"/>
  <c r="F26" i="43" s="1"/>
  <c r="P13" i="35"/>
  <c r="E13" i="40" s="1"/>
  <c r="E26" i="43" s="1"/>
  <c r="O13" i="35"/>
  <c r="D13" i="40" s="1"/>
  <c r="D26" i="43" s="1"/>
  <c r="C13" i="35"/>
  <c r="U12" i="35"/>
  <c r="T12" i="35"/>
  <c r="F12" i="39" s="1"/>
  <c r="G12" i="39" s="1"/>
  <c r="H12" i="39" s="1"/>
  <c r="D7" i="54" s="1"/>
  <c r="S12" i="35"/>
  <c r="I12" i="38" s="1"/>
  <c r="R12" i="35"/>
  <c r="G12" i="40" s="1"/>
  <c r="G25" i="43" s="1"/>
  <c r="Q12" i="35"/>
  <c r="P12" i="35"/>
  <c r="O12" i="35"/>
  <c r="D12" i="40" s="1"/>
  <c r="D25" i="43" s="1"/>
  <c r="C12" i="35"/>
  <c r="T11" i="35"/>
  <c r="S11" i="35"/>
  <c r="R11" i="35"/>
  <c r="Q11" i="35"/>
  <c r="P11" i="35"/>
  <c r="G11" i="37" s="1"/>
  <c r="O11" i="35"/>
  <c r="C11" i="35"/>
  <c r="P5" i="35"/>
  <c r="O5" i="35"/>
  <c r="N5" i="35"/>
  <c r="M5" i="35"/>
  <c r="L5" i="35"/>
  <c r="K5" i="35"/>
  <c r="J5" i="35"/>
  <c r="I5" i="35"/>
  <c r="H5" i="35"/>
  <c r="G5" i="35"/>
  <c r="E5" i="35"/>
  <c r="D5" i="35"/>
  <c r="C5" i="35"/>
  <c r="B5" i="35"/>
  <c r="P5" i="34"/>
  <c r="O5" i="34"/>
  <c r="N5" i="34"/>
  <c r="M5" i="34"/>
  <c r="L5" i="34"/>
  <c r="K5" i="34"/>
  <c r="J5" i="34"/>
  <c r="I5" i="34"/>
  <c r="H5" i="34"/>
  <c r="G5" i="34"/>
  <c r="F5" i="34"/>
  <c r="D5" i="34"/>
  <c r="C5" i="34"/>
  <c r="B5" i="34"/>
  <c r="G8" i="33"/>
  <c r="E8" i="33"/>
  <c r="C8" i="33"/>
  <c r="P5" i="33"/>
  <c r="O5" i="33"/>
  <c r="N5" i="33"/>
  <c r="M5" i="33"/>
  <c r="L5" i="33"/>
  <c r="K5" i="33"/>
  <c r="J5" i="33"/>
  <c r="I5" i="33"/>
  <c r="H5" i="33"/>
  <c r="G5" i="33"/>
  <c r="F5" i="33"/>
  <c r="E5" i="33"/>
  <c r="C5" i="33"/>
  <c r="B5" i="33"/>
  <c r="N24" i="32"/>
  <c r="N22" i="32"/>
  <c r="N19" i="32"/>
  <c r="N17" i="32"/>
  <c r="N15" i="32"/>
  <c r="N12" i="32"/>
  <c r="N10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B5" i="32"/>
  <c r="H2" i="29"/>
  <c r="I31" i="28"/>
  <c r="H31" i="28"/>
  <c r="G31" i="28"/>
  <c r="F31" i="28"/>
  <c r="E31" i="28"/>
  <c r="D31" i="28"/>
  <c r="C31" i="28"/>
  <c r="B31" i="28"/>
  <c r="I30" i="28"/>
  <c r="H30" i="28"/>
  <c r="G30" i="28"/>
  <c r="F30" i="28"/>
  <c r="E30" i="28"/>
  <c r="D30" i="28"/>
  <c r="C30" i="28"/>
  <c r="B30" i="28"/>
  <c r="I29" i="28"/>
  <c r="H29" i="28"/>
  <c r="G29" i="28"/>
  <c r="F29" i="28"/>
  <c r="E29" i="28"/>
  <c r="D29" i="28"/>
  <c r="C29" i="28"/>
  <c r="B29" i="28"/>
  <c r="I28" i="28"/>
  <c r="H28" i="28"/>
  <c r="G28" i="28"/>
  <c r="F28" i="28"/>
  <c r="E28" i="28"/>
  <c r="D28" i="28"/>
  <c r="C28" i="28"/>
  <c r="B28" i="28"/>
  <c r="I27" i="28"/>
  <c r="H27" i="28"/>
  <c r="G27" i="28"/>
  <c r="F27" i="28"/>
  <c r="E27" i="28"/>
  <c r="D27" i="28"/>
  <c r="C27" i="28"/>
  <c r="B27" i="28"/>
  <c r="I26" i="28"/>
  <c r="H26" i="28"/>
  <c r="G26" i="28"/>
  <c r="F26" i="28"/>
  <c r="E26" i="28"/>
  <c r="D26" i="28"/>
  <c r="C26" i="28"/>
  <c r="B26" i="28"/>
  <c r="I25" i="28"/>
  <c r="H25" i="28"/>
  <c r="G25" i="28"/>
  <c r="F25" i="28"/>
  <c r="E25" i="28"/>
  <c r="D25" i="28"/>
  <c r="C25" i="28"/>
  <c r="B25" i="28"/>
  <c r="I24" i="28"/>
  <c r="H24" i="28"/>
  <c r="G24" i="28"/>
  <c r="F24" i="28"/>
  <c r="E24" i="28"/>
  <c r="D24" i="28"/>
  <c r="C24" i="28"/>
  <c r="B24" i="28"/>
  <c r="I23" i="28"/>
  <c r="H23" i="28"/>
  <c r="G23" i="28"/>
  <c r="F23" i="28"/>
  <c r="E23" i="28"/>
  <c r="D23" i="28"/>
  <c r="C23" i="28"/>
  <c r="B23" i="28"/>
  <c r="I22" i="28"/>
  <c r="H22" i="28"/>
  <c r="G22" i="28"/>
  <c r="F22" i="28"/>
  <c r="E22" i="28"/>
  <c r="D22" i="28"/>
  <c r="C22" i="28"/>
  <c r="B22" i="28"/>
  <c r="I21" i="28"/>
  <c r="H21" i="28"/>
  <c r="G21" i="28"/>
  <c r="F21" i="28"/>
  <c r="E21" i="28"/>
  <c r="D21" i="28"/>
  <c r="C21" i="28"/>
  <c r="B21" i="28"/>
  <c r="I20" i="28"/>
  <c r="H20" i="28"/>
  <c r="G20" i="28"/>
  <c r="F20" i="28"/>
  <c r="E20" i="28"/>
  <c r="D20" i="28"/>
  <c r="C20" i="28"/>
  <c r="B20" i="28"/>
  <c r="I19" i="28"/>
  <c r="H19" i="28"/>
  <c r="G19" i="28"/>
  <c r="F19" i="28"/>
  <c r="E19" i="28"/>
  <c r="D19" i="28"/>
  <c r="C19" i="28"/>
  <c r="B19" i="28"/>
  <c r="I18" i="28"/>
  <c r="H18" i="28"/>
  <c r="G18" i="28"/>
  <c r="F18" i="28"/>
  <c r="E18" i="28"/>
  <c r="D18" i="28"/>
  <c r="C18" i="28"/>
  <c r="B18" i="28"/>
  <c r="I17" i="28"/>
  <c r="H17" i="28"/>
  <c r="G17" i="28"/>
  <c r="F17" i="28"/>
  <c r="E17" i="28"/>
  <c r="D17" i="28"/>
  <c r="C17" i="28"/>
  <c r="B17" i="28"/>
  <c r="I16" i="28"/>
  <c r="H16" i="28"/>
  <c r="G16" i="28"/>
  <c r="F16" i="28"/>
  <c r="E16" i="28"/>
  <c r="D16" i="28"/>
  <c r="C16" i="28"/>
  <c r="B16" i="28"/>
  <c r="I15" i="28"/>
  <c r="H15" i="28"/>
  <c r="G15" i="28"/>
  <c r="F15" i="28"/>
  <c r="E15" i="28"/>
  <c r="D15" i="28"/>
  <c r="C15" i="28"/>
  <c r="B15" i="28"/>
  <c r="I14" i="28"/>
  <c r="H14" i="28"/>
  <c r="G14" i="28"/>
  <c r="F14" i="28"/>
  <c r="E14" i="28"/>
  <c r="D14" i="28"/>
  <c r="C14" i="28"/>
  <c r="B14" i="28"/>
  <c r="I13" i="28"/>
  <c r="H13" i="28"/>
  <c r="G13" i="28"/>
  <c r="F13" i="28"/>
  <c r="E13" i="28"/>
  <c r="D13" i="28"/>
  <c r="C13" i="28"/>
  <c r="B13" i="28"/>
  <c r="I12" i="28"/>
  <c r="H12" i="28"/>
  <c r="G12" i="28"/>
  <c r="F12" i="28"/>
  <c r="E12" i="28"/>
  <c r="D12" i="28"/>
  <c r="C12" i="28"/>
  <c r="B12" i="28"/>
  <c r="I11" i="28"/>
  <c r="H11" i="28"/>
  <c r="G11" i="28"/>
  <c r="F11" i="28"/>
  <c r="E11" i="28"/>
  <c r="D11" i="28"/>
  <c r="C11" i="28"/>
  <c r="B11" i="28"/>
  <c r="I10" i="28"/>
  <c r="H10" i="28"/>
  <c r="G10" i="28"/>
  <c r="F10" i="28"/>
  <c r="E10" i="28"/>
  <c r="D10" i="28"/>
  <c r="C10" i="28"/>
  <c r="B10" i="28"/>
  <c r="I9" i="28"/>
  <c r="H9" i="28"/>
  <c r="G9" i="28"/>
  <c r="F9" i="28"/>
  <c r="E9" i="28"/>
  <c r="D9" i="28"/>
  <c r="C9" i="28"/>
  <c r="B9" i="28"/>
  <c r="I8" i="28"/>
  <c r="H8" i="28"/>
  <c r="G8" i="28"/>
  <c r="F8" i="28"/>
  <c r="E8" i="28"/>
  <c r="D8" i="28"/>
  <c r="C8" i="28"/>
  <c r="B8" i="28"/>
  <c r="I7" i="28"/>
  <c r="H7" i="28"/>
  <c r="G7" i="28"/>
  <c r="F7" i="28"/>
  <c r="E7" i="28"/>
  <c r="D7" i="28"/>
  <c r="C7" i="28"/>
  <c r="B7" i="28"/>
  <c r="I6" i="28"/>
  <c r="H6" i="28"/>
  <c r="G6" i="28"/>
  <c r="F6" i="28"/>
  <c r="E6" i="28"/>
  <c r="D6" i="28"/>
  <c r="C6" i="28"/>
  <c r="B6" i="28"/>
  <c r="I5" i="28"/>
  <c r="H5" i="28"/>
  <c r="G5" i="28"/>
  <c r="F5" i="28"/>
  <c r="E5" i="28"/>
  <c r="D5" i="28"/>
  <c r="C5" i="28"/>
  <c r="B5" i="28"/>
  <c r="I4" i="28"/>
  <c r="H4" i="28"/>
  <c r="G4" i="28"/>
  <c r="F4" i="28"/>
  <c r="E4" i="28"/>
  <c r="D4" i="28"/>
  <c r="C4" i="28"/>
  <c r="B4" i="28"/>
  <c r="I3" i="28"/>
  <c r="H3" i="28"/>
  <c r="G3" i="28"/>
  <c r="F3" i="28"/>
  <c r="E3" i="28"/>
  <c r="D3" i="28"/>
  <c r="C3" i="28"/>
  <c r="B3" i="28"/>
  <c r="I2" i="28"/>
  <c r="H2" i="28"/>
  <c r="G2" i="28"/>
  <c r="F2" i="28"/>
  <c r="E2" i="28"/>
  <c r="D2" i="28"/>
  <c r="C2" i="28"/>
  <c r="B2" i="28"/>
  <c r="C47" i="22"/>
  <c r="C46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C33" i="22"/>
  <c r="C32" i="22"/>
  <c r="C31" i="22"/>
  <c r="C30" i="22"/>
  <c r="C29" i="22"/>
  <c r="C28" i="22"/>
  <c r="C27" i="22"/>
  <c r="C26" i="22"/>
  <c r="C25" i="22"/>
  <c r="C24" i="22"/>
  <c r="C23" i="22"/>
  <c r="C22" i="22"/>
  <c r="C21" i="22"/>
  <c r="C20" i="22"/>
  <c r="C19" i="22"/>
  <c r="C18" i="22"/>
  <c r="B10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F23" i="21"/>
  <c r="E23" i="21"/>
  <c r="D23" i="21"/>
  <c r="C23" i="21"/>
  <c r="F18" i="21"/>
  <c r="E18" i="21"/>
  <c r="D18" i="21"/>
  <c r="C18" i="21"/>
  <c r="F13" i="21"/>
  <c r="E13" i="21"/>
  <c r="D13" i="21"/>
  <c r="C13" i="21"/>
  <c r="I9" i="21"/>
  <c r="G9" i="21"/>
  <c r="E9" i="21"/>
  <c r="C9" i="21"/>
  <c r="P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F51" i="20"/>
  <c r="C51" i="20"/>
  <c r="C48" i="20"/>
  <c r="C47" i="20"/>
  <c r="J46" i="20"/>
  <c r="C46" i="20"/>
  <c r="C41" i="20"/>
  <c r="J39" i="20"/>
  <c r="C38" i="20"/>
  <c r="C36" i="20"/>
  <c r="C33" i="20"/>
  <c r="H28" i="20"/>
  <c r="C27" i="20"/>
  <c r="C25" i="20"/>
  <c r="C15" i="20"/>
  <c r="P5" i="20"/>
  <c r="O5" i="20"/>
  <c r="M5" i="20"/>
  <c r="L5" i="20"/>
  <c r="K5" i="20"/>
  <c r="J5" i="20"/>
  <c r="I5" i="20"/>
  <c r="H5" i="20"/>
  <c r="G5" i="20"/>
  <c r="F5" i="20"/>
  <c r="E5" i="20"/>
  <c r="D5" i="20"/>
  <c r="C5" i="20"/>
  <c r="B5" i="20"/>
  <c r="P5" i="19"/>
  <c r="O5" i="19"/>
  <c r="N5" i="19"/>
  <c r="L5" i="19"/>
  <c r="K5" i="19"/>
  <c r="J5" i="19"/>
  <c r="I5" i="19"/>
  <c r="H5" i="19"/>
  <c r="G5" i="19"/>
  <c r="F5" i="19"/>
  <c r="E5" i="19"/>
  <c r="D5" i="19"/>
  <c r="C5" i="19"/>
  <c r="B5" i="19"/>
  <c r="D30" i="18"/>
  <c r="F30" i="18" s="1"/>
  <c r="G30" i="18" s="1"/>
  <c r="C30" i="18"/>
  <c r="F29" i="18"/>
  <c r="G29" i="18" s="1"/>
  <c r="D29" i="18"/>
  <c r="C29" i="18"/>
  <c r="G28" i="18"/>
  <c r="D28" i="18"/>
  <c r="F28" i="18" s="1"/>
  <c r="C28" i="18"/>
  <c r="D27" i="18"/>
  <c r="F27" i="18" s="1"/>
  <c r="G27" i="18" s="1"/>
  <c r="C27" i="18"/>
  <c r="F26" i="18"/>
  <c r="G26" i="18" s="1"/>
  <c r="D26" i="18"/>
  <c r="C26" i="18"/>
  <c r="G25" i="18"/>
  <c r="D25" i="18"/>
  <c r="F25" i="18" s="1"/>
  <c r="C25" i="18"/>
  <c r="D24" i="18"/>
  <c r="F24" i="18" s="1"/>
  <c r="G24" i="18" s="1"/>
  <c r="C24" i="18"/>
  <c r="G23" i="18"/>
  <c r="D23" i="18"/>
  <c r="F23" i="18" s="1"/>
  <c r="C23" i="18"/>
  <c r="G22" i="18"/>
  <c r="F22" i="18"/>
  <c r="D22" i="18"/>
  <c r="C22" i="18"/>
  <c r="F21" i="18"/>
  <c r="G21" i="18" s="1"/>
  <c r="D21" i="18"/>
  <c r="C21" i="18"/>
  <c r="D20" i="18"/>
  <c r="F20" i="18" s="1"/>
  <c r="G20" i="18" s="1"/>
  <c r="C20" i="18"/>
  <c r="D19" i="18"/>
  <c r="F19" i="18" s="1"/>
  <c r="G19" i="18" s="1"/>
  <c r="C19" i="18"/>
  <c r="D18" i="18"/>
  <c r="F18" i="18" s="1"/>
  <c r="G18" i="18" s="1"/>
  <c r="C18" i="18"/>
  <c r="F17" i="18"/>
  <c r="G17" i="18" s="1"/>
  <c r="D17" i="18"/>
  <c r="C17" i="18"/>
  <c r="D16" i="18"/>
  <c r="F16" i="18" s="1"/>
  <c r="G16" i="18" s="1"/>
  <c r="C16" i="18"/>
  <c r="G15" i="18"/>
  <c r="D15" i="18"/>
  <c r="F15" i="18" s="1"/>
  <c r="C15" i="18"/>
  <c r="G14" i="18"/>
  <c r="F14" i="18"/>
  <c r="D14" i="18"/>
  <c r="C14" i="18"/>
  <c r="D13" i="18"/>
  <c r="F13" i="18" s="1"/>
  <c r="G13" i="18" s="1"/>
  <c r="C13" i="18"/>
  <c r="G12" i="18"/>
  <c r="F12" i="18"/>
  <c r="D12" i="18"/>
  <c r="C12" i="18"/>
  <c r="G11" i="18"/>
  <c r="F11" i="18"/>
  <c r="D11" i="18"/>
  <c r="C11" i="18"/>
  <c r="P5" i="18"/>
  <c r="O5" i="18"/>
  <c r="N5" i="18"/>
  <c r="M5" i="18"/>
  <c r="K5" i="18"/>
  <c r="J5" i="18"/>
  <c r="I5" i="18"/>
  <c r="H5" i="18"/>
  <c r="G5" i="18"/>
  <c r="F5" i="18"/>
  <c r="E5" i="18"/>
  <c r="D5" i="18"/>
  <c r="C5" i="18"/>
  <c r="B5" i="18"/>
  <c r="J40" i="17"/>
  <c r="J53" i="20" s="1"/>
  <c r="C40" i="17"/>
  <c r="C53" i="20" s="1"/>
  <c r="H39" i="17"/>
  <c r="H52" i="20" s="1"/>
  <c r="C39" i="17"/>
  <c r="C52" i="20" s="1"/>
  <c r="I38" i="17"/>
  <c r="I51" i="20" s="1"/>
  <c r="C38" i="17"/>
  <c r="J37" i="17"/>
  <c r="J50" i="20" s="1"/>
  <c r="C37" i="17"/>
  <c r="C50" i="20" s="1"/>
  <c r="F36" i="17"/>
  <c r="F49" i="20" s="1"/>
  <c r="C36" i="17"/>
  <c r="C49" i="20" s="1"/>
  <c r="C35" i="17"/>
  <c r="C34" i="17"/>
  <c r="C33" i="17"/>
  <c r="C32" i="17"/>
  <c r="C45" i="20" s="1"/>
  <c r="J31" i="17"/>
  <c r="J44" i="20" s="1"/>
  <c r="C31" i="17"/>
  <c r="C44" i="20" s="1"/>
  <c r="C30" i="17"/>
  <c r="C43" i="20" s="1"/>
  <c r="K29" i="17"/>
  <c r="K42" i="20" s="1"/>
  <c r="C29" i="17"/>
  <c r="C42" i="20" s="1"/>
  <c r="C28" i="17"/>
  <c r="J27" i="17"/>
  <c r="J40" i="20" s="1"/>
  <c r="C27" i="17"/>
  <c r="C40" i="20" s="1"/>
  <c r="K26" i="17"/>
  <c r="K39" i="20" s="1"/>
  <c r="H26" i="17"/>
  <c r="H39" i="20" s="1"/>
  <c r="C26" i="17"/>
  <c r="C39" i="20" s="1"/>
  <c r="G25" i="17"/>
  <c r="G38" i="20" s="1"/>
  <c r="C25" i="17"/>
  <c r="C24" i="17"/>
  <c r="C37" i="20" s="1"/>
  <c r="H23" i="17"/>
  <c r="H36" i="20" s="1"/>
  <c r="C23" i="17"/>
  <c r="C22" i="17"/>
  <c r="C35" i="20" s="1"/>
  <c r="K21" i="17"/>
  <c r="K34" i="20" s="1"/>
  <c r="C21" i="17"/>
  <c r="C34" i="20" s="1"/>
  <c r="C20" i="17"/>
  <c r="H19" i="17"/>
  <c r="H32" i="20" s="1"/>
  <c r="C19" i="17"/>
  <c r="C32" i="20" s="1"/>
  <c r="C18" i="17"/>
  <c r="C31" i="20" s="1"/>
  <c r="C17" i="17"/>
  <c r="C30" i="20" s="1"/>
  <c r="C16" i="17"/>
  <c r="C29" i="20" s="1"/>
  <c r="H15" i="17"/>
  <c r="C15" i="17"/>
  <c r="C28" i="20" s="1"/>
  <c r="C14" i="17"/>
  <c r="C13" i="17"/>
  <c r="C26" i="20" s="1"/>
  <c r="C12" i="17"/>
  <c r="D11" i="17"/>
  <c r="C11" i="17"/>
  <c r="C24" i="20" s="1"/>
  <c r="P5" i="17"/>
  <c r="O5" i="17"/>
  <c r="N5" i="17"/>
  <c r="M5" i="17"/>
  <c r="L5" i="17"/>
  <c r="J5" i="17"/>
  <c r="I5" i="17"/>
  <c r="H5" i="17"/>
  <c r="G5" i="17"/>
  <c r="F5" i="17"/>
  <c r="E5" i="17"/>
  <c r="D5" i="17"/>
  <c r="C5" i="17"/>
  <c r="B5" i="17"/>
  <c r="H40" i="16"/>
  <c r="C40" i="16"/>
  <c r="C39" i="16"/>
  <c r="C38" i="16"/>
  <c r="H37" i="16"/>
  <c r="C37" i="16"/>
  <c r="C36" i="16"/>
  <c r="H35" i="16"/>
  <c r="C35" i="16"/>
  <c r="C34" i="16"/>
  <c r="H33" i="16"/>
  <c r="C33" i="16"/>
  <c r="C32" i="16"/>
  <c r="I31" i="16"/>
  <c r="C31" i="16"/>
  <c r="H30" i="16"/>
  <c r="C30" i="16"/>
  <c r="H29" i="16"/>
  <c r="C29" i="16"/>
  <c r="H28" i="16"/>
  <c r="C28" i="16"/>
  <c r="C27" i="16"/>
  <c r="I26" i="16"/>
  <c r="C26" i="16"/>
  <c r="C25" i="16"/>
  <c r="C24" i="16"/>
  <c r="C23" i="16"/>
  <c r="C22" i="16"/>
  <c r="C21" i="16"/>
  <c r="G20" i="16"/>
  <c r="C20" i="16"/>
  <c r="C19" i="16"/>
  <c r="C18" i="16"/>
  <c r="C17" i="16"/>
  <c r="C16" i="16"/>
  <c r="C15" i="16"/>
  <c r="C14" i="16"/>
  <c r="C13" i="16"/>
  <c r="C12" i="16"/>
  <c r="C11" i="16"/>
  <c r="P5" i="16"/>
  <c r="O5" i="16"/>
  <c r="N5" i="16"/>
  <c r="M5" i="16"/>
  <c r="L5" i="16"/>
  <c r="K5" i="16"/>
  <c r="I5" i="16"/>
  <c r="H5" i="16"/>
  <c r="G5" i="16"/>
  <c r="F5" i="16"/>
  <c r="E5" i="16"/>
  <c r="D5" i="16"/>
  <c r="C5" i="16"/>
  <c r="B5" i="16"/>
  <c r="C40" i="15"/>
  <c r="C39" i="15"/>
  <c r="C38" i="15"/>
  <c r="G37" i="15"/>
  <c r="C37" i="15"/>
  <c r="C36" i="15"/>
  <c r="I35" i="15"/>
  <c r="C35" i="15"/>
  <c r="I34" i="15"/>
  <c r="G34" i="15"/>
  <c r="C34" i="15"/>
  <c r="C33" i="15"/>
  <c r="I32" i="15"/>
  <c r="C32" i="15"/>
  <c r="I31" i="15"/>
  <c r="C31" i="15"/>
  <c r="C30" i="15"/>
  <c r="I29" i="15"/>
  <c r="C29" i="15"/>
  <c r="C28" i="15"/>
  <c r="I27" i="15"/>
  <c r="C27" i="15"/>
  <c r="I26" i="15"/>
  <c r="G26" i="15"/>
  <c r="C26" i="15"/>
  <c r="C25" i="15"/>
  <c r="I24" i="15"/>
  <c r="G24" i="15"/>
  <c r="C24" i="15"/>
  <c r="C23" i="15"/>
  <c r="I22" i="15"/>
  <c r="C22" i="15"/>
  <c r="C21" i="15"/>
  <c r="I20" i="15"/>
  <c r="C20" i="15"/>
  <c r="C19" i="15"/>
  <c r="C18" i="15"/>
  <c r="I17" i="15"/>
  <c r="C17" i="15"/>
  <c r="I16" i="15"/>
  <c r="C16" i="15"/>
  <c r="I15" i="15"/>
  <c r="C15" i="15"/>
  <c r="I14" i="15"/>
  <c r="C14" i="15"/>
  <c r="C13" i="15"/>
  <c r="C12" i="15"/>
  <c r="C11" i="15"/>
  <c r="P5" i="15"/>
  <c r="O5" i="15"/>
  <c r="N5" i="15"/>
  <c r="M5" i="15"/>
  <c r="L5" i="15"/>
  <c r="K5" i="15"/>
  <c r="J5" i="15"/>
  <c r="H5" i="15"/>
  <c r="G5" i="15"/>
  <c r="F5" i="15"/>
  <c r="E5" i="15"/>
  <c r="D5" i="15"/>
  <c r="C5" i="15"/>
  <c r="B5" i="15"/>
  <c r="C40" i="14"/>
  <c r="C39" i="14"/>
  <c r="C38" i="14"/>
  <c r="C37" i="14"/>
  <c r="C36" i="14"/>
  <c r="C35" i="14"/>
  <c r="C34" i="14"/>
  <c r="C33" i="14"/>
  <c r="C32" i="14"/>
  <c r="F31" i="14"/>
  <c r="C31" i="14"/>
  <c r="C30" i="14"/>
  <c r="C29" i="14"/>
  <c r="C28" i="14"/>
  <c r="C27" i="14"/>
  <c r="G26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G14" i="14"/>
  <c r="C14" i="14"/>
  <c r="C13" i="14"/>
  <c r="C12" i="14"/>
  <c r="C11" i="14"/>
  <c r="P5" i="14"/>
  <c r="O5" i="14"/>
  <c r="N5" i="14"/>
  <c r="M5" i="14"/>
  <c r="L5" i="14"/>
  <c r="K5" i="14"/>
  <c r="J5" i="14"/>
  <c r="I5" i="14"/>
  <c r="G5" i="14"/>
  <c r="F5" i="14"/>
  <c r="E5" i="14"/>
  <c r="D5" i="14"/>
  <c r="C5" i="14"/>
  <c r="B5" i="14"/>
  <c r="P5" i="13"/>
  <c r="O5" i="13"/>
  <c r="N5" i="13"/>
  <c r="M5" i="13"/>
  <c r="L5" i="13"/>
  <c r="K5" i="13"/>
  <c r="J5" i="13"/>
  <c r="I5" i="13"/>
  <c r="H5" i="13"/>
  <c r="F5" i="13"/>
  <c r="E5" i="13"/>
  <c r="D5" i="13"/>
  <c r="C5" i="13"/>
  <c r="B5" i="13"/>
  <c r="W40" i="12"/>
  <c r="V40" i="12"/>
  <c r="U40" i="12"/>
  <c r="T40" i="12"/>
  <c r="S40" i="12"/>
  <c r="R40" i="12"/>
  <c r="Q40" i="12"/>
  <c r="E40" i="17" s="1"/>
  <c r="E53" i="20" s="1"/>
  <c r="P40" i="12"/>
  <c r="C40" i="12"/>
  <c r="W39" i="12"/>
  <c r="I39" i="16" s="1"/>
  <c r="V39" i="12"/>
  <c r="J39" i="17" s="1"/>
  <c r="J52" i="20" s="1"/>
  <c r="U39" i="12"/>
  <c r="I39" i="17" s="1"/>
  <c r="I52" i="20" s="1"/>
  <c r="T39" i="12"/>
  <c r="I39" i="15" s="1"/>
  <c r="S39" i="12"/>
  <c r="R39" i="12"/>
  <c r="F39" i="17" s="1"/>
  <c r="F52" i="20" s="1"/>
  <c r="Q39" i="12"/>
  <c r="P39" i="12"/>
  <c r="C39" i="12"/>
  <c r="W38" i="12"/>
  <c r="I38" i="16" s="1"/>
  <c r="V38" i="12"/>
  <c r="U38" i="12"/>
  <c r="G38" i="16" s="1"/>
  <c r="T38" i="12"/>
  <c r="S38" i="12"/>
  <c r="R38" i="12"/>
  <c r="F38" i="17" s="1"/>
  <c r="Q38" i="12"/>
  <c r="P38" i="12"/>
  <c r="C38" i="12"/>
  <c r="W37" i="12"/>
  <c r="K37" i="17" s="1"/>
  <c r="K50" i="20" s="1"/>
  <c r="V37" i="12"/>
  <c r="U37" i="12"/>
  <c r="T37" i="12"/>
  <c r="H37" i="17" s="1"/>
  <c r="H50" i="20" s="1"/>
  <c r="S37" i="12"/>
  <c r="R37" i="12"/>
  <c r="F37" i="17" s="1"/>
  <c r="F50" i="20" s="1"/>
  <c r="Q37" i="12"/>
  <c r="P37" i="12"/>
  <c r="C37" i="12"/>
  <c r="W36" i="12"/>
  <c r="I36" i="16" s="1"/>
  <c r="V36" i="12"/>
  <c r="U36" i="12"/>
  <c r="T36" i="12"/>
  <c r="S36" i="12"/>
  <c r="G36" i="17" s="1"/>
  <c r="G49" i="20" s="1"/>
  <c r="R36" i="12"/>
  <c r="G36" i="15" s="1"/>
  <c r="Q36" i="12"/>
  <c r="P36" i="12"/>
  <c r="C36" i="12"/>
  <c r="W35" i="12"/>
  <c r="V35" i="12"/>
  <c r="J35" i="17" s="1"/>
  <c r="J48" i="20" s="1"/>
  <c r="U35" i="12"/>
  <c r="T35" i="12"/>
  <c r="H35" i="17" s="1"/>
  <c r="H48" i="20" s="1"/>
  <c r="S35" i="12"/>
  <c r="R35" i="12"/>
  <c r="G35" i="15" s="1"/>
  <c r="Q35" i="12"/>
  <c r="E35" i="17" s="1"/>
  <c r="E48" i="20" s="1"/>
  <c r="P35" i="12"/>
  <c r="C35" i="12"/>
  <c r="W34" i="12"/>
  <c r="V34" i="12"/>
  <c r="U34" i="12"/>
  <c r="T34" i="12"/>
  <c r="H34" i="17" s="1"/>
  <c r="H47" i="20" s="1"/>
  <c r="S34" i="12"/>
  <c r="R34" i="12"/>
  <c r="F34" i="17" s="1"/>
  <c r="F47" i="20" s="1"/>
  <c r="Q34" i="12"/>
  <c r="P34" i="12"/>
  <c r="C34" i="12"/>
  <c r="W33" i="12"/>
  <c r="K33" i="17" s="1"/>
  <c r="K46" i="20" s="1"/>
  <c r="V33" i="12"/>
  <c r="J33" i="17" s="1"/>
  <c r="U33" i="12"/>
  <c r="T33" i="12"/>
  <c r="S33" i="12"/>
  <c r="R33" i="12"/>
  <c r="Q33" i="12"/>
  <c r="P33" i="12"/>
  <c r="C33" i="12"/>
  <c r="W32" i="12"/>
  <c r="I32" i="16" s="1"/>
  <c r="V32" i="12"/>
  <c r="U32" i="12"/>
  <c r="T32" i="12"/>
  <c r="H32" i="17" s="1"/>
  <c r="H45" i="20" s="1"/>
  <c r="S32" i="12"/>
  <c r="R32" i="12"/>
  <c r="F32" i="17" s="1"/>
  <c r="F45" i="20" s="1"/>
  <c r="Q32" i="12"/>
  <c r="P32" i="12"/>
  <c r="C32" i="12"/>
  <c r="W31" i="12"/>
  <c r="K31" i="17" s="1"/>
  <c r="K44" i="20" s="1"/>
  <c r="V31" i="12"/>
  <c r="H31" i="16" s="1"/>
  <c r="U31" i="12"/>
  <c r="T31" i="12"/>
  <c r="H31" i="17" s="1"/>
  <c r="H44" i="20" s="1"/>
  <c r="S31" i="12"/>
  <c r="R31" i="12"/>
  <c r="Q31" i="12"/>
  <c r="P31" i="12"/>
  <c r="C31" i="12"/>
  <c r="W30" i="12"/>
  <c r="V30" i="12"/>
  <c r="J30" i="17" s="1"/>
  <c r="J43" i="20" s="1"/>
  <c r="U30" i="12"/>
  <c r="T30" i="12"/>
  <c r="H30" i="17" s="1"/>
  <c r="H43" i="20" s="1"/>
  <c r="S30" i="12"/>
  <c r="G30" i="17" s="1"/>
  <c r="G43" i="20" s="1"/>
  <c r="R30" i="12"/>
  <c r="Q30" i="12"/>
  <c r="E30" i="17" s="1"/>
  <c r="E43" i="20" s="1"/>
  <c r="P30" i="12"/>
  <c r="C30" i="12"/>
  <c r="W29" i="12"/>
  <c r="I29" i="16" s="1"/>
  <c r="V29" i="12"/>
  <c r="J29" i="17" s="1"/>
  <c r="J42" i="20" s="1"/>
  <c r="U29" i="12"/>
  <c r="T29" i="12"/>
  <c r="H29" i="17" s="1"/>
  <c r="H42" i="20" s="1"/>
  <c r="S29" i="12"/>
  <c r="R29" i="12"/>
  <c r="Q29" i="12"/>
  <c r="P29" i="12"/>
  <c r="C29" i="12"/>
  <c r="W28" i="12"/>
  <c r="K28" i="17" s="1"/>
  <c r="K41" i="20" s="1"/>
  <c r="V28" i="12"/>
  <c r="J28" i="17" s="1"/>
  <c r="J41" i="20" s="1"/>
  <c r="U28" i="12"/>
  <c r="T28" i="12"/>
  <c r="S28" i="12"/>
  <c r="R28" i="12"/>
  <c r="F28" i="17" s="1"/>
  <c r="F41" i="20" s="1"/>
  <c r="Q28" i="12"/>
  <c r="P28" i="12"/>
  <c r="C28" i="12"/>
  <c r="W27" i="12"/>
  <c r="K27" i="17" s="1"/>
  <c r="K40" i="20" s="1"/>
  <c r="V27" i="12"/>
  <c r="H27" i="16" s="1"/>
  <c r="U27" i="12"/>
  <c r="T27" i="12"/>
  <c r="H27" i="17" s="1"/>
  <c r="H40" i="20" s="1"/>
  <c r="S27" i="12"/>
  <c r="R27" i="12"/>
  <c r="Q27" i="12"/>
  <c r="P27" i="12"/>
  <c r="C27" i="12"/>
  <c r="W26" i="12"/>
  <c r="V26" i="12"/>
  <c r="J26" i="17" s="1"/>
  <c r="U26" i="12"/>
  <c r="T26" i="12"/>
  <c r="S26" i="12"/>
  <c r="R26" i="12"/>
  <c r="F26" i="17" s="1"/>
  <c r="F39" i="20" s="1"/>
  <c r="Q26" i="12"/>
  <c r="E26" i="17" s="1"/>
  <c r="E39" i="20" s="1"/>
  <c r="P26" i="12"/>
  <c r="C26" i="12"/>
  <c r="W25" i="12"/>
  <c r="V25" i="12"/>
  <c r="J25" i="17" s="1"/>
  <c r="J38" i="20" s="1"/>
  <c r="U25" i="12"/>
  <c r="T25" i="12"/>
  <c r="S25" i="12"/>
  <c r="H25" i="15" s="1"/>
  <c r="R25" i="12"/>
  <c r="Q25" i="12"/>
  <c r="P25" i="12"/>
  <c r="C25" i="12"/>
  <c r="W24" i="12"/>
  <c r="V24" i="12"/>
  <c r="U24" i="12"/>
  <c r="T24" i="12"/>
  <c r="H24" i="17" s="1"/>
  <c r="H37" i="20" s="1"/>
  <c r="S24" i="12"/>
  <c r="R24" i="12"/>
  <c r="F24" i="17" s="1"/>
  <c r="F37" i="20" s="1"/>
  <c r="Q24" i="12"/>
  <c r="P24" i="12"/>
  <c r="C24" i="12"/>
  <c r="W23" i="12"/>
  <c r="I23" i="16" s="1"/>
  <c r="V23" i="12"/>
  <c r="U23" i="12"/>
  <c r="T23" i="12"/>
  <c r="I23" i="15" s="1"/>
  <c r="S23" i="12"/>
  <c r="G23" i="17" s="1"/>
  <c r="G36" i="20" s="1"/>
  <c r="R23" i="12"/>
  <c r="Q23" i="12"/>
  <c r="P23" i="12"/>
  <c r="D23" i="17" s="1"/>
  <c r="C23" i="12"/>
  <c r="W22" i="12"/>
  <c r="K22" i="17" s="1"/>
  <c r="K35" i="20" s="1"/>
  <c r="V22" i="12"/>
  <c r="U22" i="12"/>
  <c r="T22" i="12"/>
  <c r="H22" i="17" s="1"/>
  <c r="H35" i="20" s="1"/>
  <c r="S22" i="12"/>
  <c r="R22" i="12"/>
  <c r="F22" i="17" s="1"/>
  <c r="F35" i="20" s="1"/>
  <c r="Q22" i="12"/>
  <c r="P22" i="12"/>
  <c r="C22" i="12"/>
  <c r="W21" i="12"/>
  <c r="I21" i="16" s="1"/>
  <c r="V21" i="12"/>
  <c r="U21" i="12"/>
  <c r="T21" i="12"/>
  <c r="H21" i="17" s="1"/>
  <c r="H34" i="20" s="1"/>
  <c r="S21" i="12"/>
  <c r="G21" i="17" s="1"/>
  <c r="G34" i="20" s="1"/>
  <c r="R21" i="12"/>
  <c r="Q21" i="12"/>
  <c r="P21" i="12"/>
  <c r="C21" i="12"/>
  <c r="W20" i="12"/>
  <c r="V20" i="12"/>
  <c r="U20" i="12"/>
  <c r="I20" i="17" s="1"/>
  <c r="I33" i="20" s="1"/>
  <c r="T20" i="12"/>
  <c r="H20" i="17" s="1"/>
  <c r="H33" i="20" s="1"/>
  <c r="S20" i="12"/>
  <c r="R20" i="12"/>
  <c r="Q20" i="12"/>
  <c r="P20" i="12"/>
  <c r="C20" i="12"/>
  <c r="W19" i="12"/>
  <c r="V19" i="12"/>
  <c r="U19" i="12"/>
  <c r="T19" i="12"/>
  <c r="I19" i="15" s="1"/>
  <c r="S19" i="12"/>
  <c r="G19" i="17" s="1"/>
  <c r="G32" i="20" s="1"/>
  <c r="R19" i="12"/>
  <c r="Q19" i="12"/>
  <c r="P19" i="12"/>
  <c r="C19" i="12"/>
  <c r="W18" i="12"/>
  <c r="K18" i="17" s="1"/>
  <c r="K31" i="20" s="1"/>
  <c r="V18" i="12"/>
  <c r="U18" i="12"/>
  <c r="I18" i="17" s="1"/>
  <c r="I31" i="20" s="1"/>
  <c r="T18" i="12"/>
  <c r="S18" i="12"/>
  <c r="R18" i="12"/>
  <c r="Q18" i="12"/>
  <c r="P18" i="12"/>
  <c r="C18" i="12"/>
  <c r="W17" i="12"/>
  <c r="V17" i="12"/>
  <c r="U17" i="12"/>
  <c r="T17" i="12"/>
  <c r="H17" i="17" s="1"/>
  <c r="H30" i="20" s="1"/>
  <c r="S17" i="12"/>
  <c r="H17" i="15" s="1"/>
  <c r="R17" i="12"/>
  <c r="Q17" i="12"/>
  <c r="P17" i="12"/>
  <c r="C17" i="12"/>
  <c r="W16" i="12"/>
  <c r="I16" i="16" s="1"/>
  <c r="V16" i="12"/>
  <c r="U16" i="12"/>
  <c r="T16" i="12"/>
  <c r="H16" i="17" s="1"/>
  <c r="H29" i="20" s="1"/>
  <c r="S16" i="12"/>
  <c r="R16" i="12"/>
  <c r="Q16" i="12"/>
  <c r="P16" i="12"/>
  <c r="D16" i="17" s="1"/>
  <c r="C16" i="12"/>
  <c r="W15" i="12"/>
  <c r="V15" i="12"/>
  <c r="U15" i="12"/>
  <c r="I15" i="17" s="1"/>
  <c r="I28" i="20" s="1"/>
  <c r="T15" i="12"/>
  <c r="S15" i="12"/>
  <c r="R15" i="12"/>
  <c r="Q15" i="12"/>
  <c r="P15" i="12"/>
  <c r="C15" i="12"/>
  <c r="W14" i="12"/>
  <c r="V14" i="12"/>
  <c r="U14" i="12"/>
  <c r="T14" i="12"/>
  <c r="H14" i="17" s="1"/>
  <c r="H27" i="20" s="1"/>
  <c r="S14" i="12"/>
  <c r="R14" i="12"/>
  <c r="G14" i="15" s="1"/>
  <c r="Q14" i="12"/>
  <c r="E14" i="17" s="1"/>
  <c r="E27" i="20" s="1"/>
  <c r="P14" i="12"/>
  <c r="C14" i="12"/>
  <c r="W13" i="12"/>
  <c r="V13" i="12"/>
  <c r="U13" i="12"/>
  <c r="T13" i="12"/>
  <c r="S13" i="12"/>
  <c r="G13" i="17" s="1"/>
  <c r="G26" i="20" s="1"/>
  <c r="R13" i="12"/>
  <c r="Q13" i="12"/>
  <c r="P13" i="12"/>
  <c r="C13" i="12"/>
  <c r="W12" i="12"/>
  <c r="V12" i="12"/>
  <c r="U12" i="12"/>
  <c r="I12" i="17" s="1"/>
  <c r="I25" i="20" s="1"/>
  <c r="T12" i="12"/>
  <c r="S12" i="12"/>
  <c r="R12" i="12"/>
  <c r="G12" i="15" s="1"/>
  <c r="Q12" i="12"/>
  <c r="P12" i="12"/>
  <c r="C12" i="12"/>
  <c r="W11" i="12"/>
  <c r="V11" i="12"/>
  <c r="U11" i="12"/>
  <c r="T11" i="12"/>
  <c r="I11" i="15" s="1"/>
  <c r="S11" i="12"/>
  <c r="R11" i="12"/>
  <c r="Q11" i="12"/>
  <c r="P11" i="12"/>
  <c r="C11" i="12"/>
  <c r="P5" i="12"/>
  <c r="O5" i="12"/>
  <c r="N5" i="12"/>
  <c r="M5" i="12"/>
  <c r="L5" i="12"/>
  <c r="K5" i="12"/>
  <c r="J5" i="12"/>
  <c r="I5" i="12"/>
  <c r="H5" i="12"/>
  <c r="G5" i="12"/>
  <c r="E5" i="12"/>
  <c r="D5" i="12"/>
  <c r="C5" i="12"/>
  <c r="B5" i="12"/>
  <c r="P5" i="11"/>
  <c r="O5" i="11"/>
  <c r="N5" i="11"/>
  <c r="M5" i="11"/>
  <c r="L5" i="11"/>
  <c r="K5" i="11"/>
  <c r="J5" i="11"/>
  <c r="I5" i="11"/>
  <c r="H5" i="11"/>
  <c r="G5" i="11"/>
  <c r="F5" i="11"/>
  <c r="D5" i="11"/>
  <c r="C5" i="11"/>
  <c r="B5" i="11"/>
  <c r="G8" i="10"/>
  <c r="E8" i="10"/>
  <c r="C8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N29" i="9"/>
  <c r="N26" i="9"/>
  <c r="N24" i="9"/>
  <c r="N21" i="9"/>
  <c r="N19" i="9"/>
  <c r="N16" i="9"/>
  <c r="N13" i="9"/>
  <c r="N10" i="9"/>
  <c r="P5" i="9"/>
  <c r="O5" i="9"/>
  <c r="N5" i="9"/>
  <c r="M5" i="9"/>
  <c r="L5" i="9"/>
  <c r="K5" i="9"/>
  <c r="J5" i="9"/>
  <c r="I5" i="9"/>
  <c r="H5" i="9"/>
  <c r="G5" i="9"/>
  <c r="F5" i="9"/>
  <c r="E5" i="9"/>
  <c r="D5" i="9"/>
  <c r="B5" i="9"/>
  <c r="G16" i="7"/>
  <c r="E16" i="7"/>
  <c r="C16" i="7"/>
  <c r="G15" i="7"/>
  <c r="E15" i="7"/>
  <c r="C15" i="7"/>
  <c r="D12" i="7"/>
  <c r="D11" i="7"/>
  <c r="B11" i="7"/>
  <c r="D10" i="7"/>
  <c r="B10" i="7"/>
  <c r="G5" i="7"/>
  <c r="F5" i="7"/>
  <c r="E5" i="7"/>
  <c r="D5" i="7"/>
  <c r="C5" i="7"/>
  <c r="B5" i="7"/>
  <c r="G18" i="6"/>
  <c r="F18" i="6"/>
  <c r="E18" i="6"/>
  <c r="D18" i="6"/>
  <c r="G17" i="6"/>
  <c r="F17" i="6"/>
  <c r="E17" i="6"/>
  <c r="D17" i="6"/>
  <c r="B13" i="6"/>
  <c r="B12" i="6"/>
  <c r="B8" i="6"/>
  <c r="H5" i="6"/>
  <c r="F5" i="6"/>
  <c r="E5" i="6"/>
  <c r="D5" i="6"/>
  <c r="C5" i="6"/>
  <c r="B5" i="6"/>
  <c r="H5" i="5"/>
  <c r="G5" i="5"/>
  <c r="E5" i="5"/>
  <c r="D5" i="5"/>
  <c r="C5" i="5"/>
  <c r="B5" i="5"/>
  <c r="J29" i="4"/>
  <c r="J28" i="4"/>
  <c r="J27" i="4"/>
  <c r="J26" i="4"/>
  <c r="J25" i="4"/>
  <c r="J24" i="4"/>
  <c r="J23" i="4"/>
  <c r="J22" i="4"/>
  <c r="J18" i="4"/>
  <c r="J17" i="4"/>
  <c r="J16" i="4"/>
  <c r="J15" i="4"/>
  <c r="J14" i="4"/>
  <c r="J13" i="4"/>
  <c r="J12" i="4"/>
  <c r="J11" i="4"/>
  <c r="J10" i="4"/>
  <c r="H5" i="4"/>
  <c r="G5" i="4"/>
  <c r="F5" i="4"/>
  <c r="D5" i="4"/>
  <c r="C5" i="4"/>
  <c r="B5" i="4"/>
  <c r="H5" i="3"/>
  <c r="G5" i="3"/>
  <c r="F5" i="3"/>
  <c r="E5" i="3"/>
  <c r="D5" i="3"/>
  <c r="B5" i="3"/>
  <c r="I11" i="2"/>
  <c r="H11" i="2"/>
  <c r="I10" i="2"/>
  <c r="H10" i="2"/>
  <c r="H5" i="2"/>
  <c r="G5" i="2"/>
  <c r="F5" i="2"/>
  <c r="E5" i="2"/>
  <c r="C5" i="2"/>
  <c r="B5" i="2"/>
  <c r="H5" i="1"/>
  <c r="G5" i="1"/>
  <c r="F5" i="1"/>
  <c r="E5" i="1"/>
  <c r="D5" i="1"/>
  <c r="C5" i="1"/>
  <c r="D29" i="20" l="1"/>
  <c r="D36" i="20"/>
  <c r="J13" i="17"/>
  <c r="J26" i="20" s="1"/>
  <c r="H13" i="16"/>
  <c r="I14" i="16"/>
  <c r="K14" i="17"/>
  <c r="K27" i="20" s="1"/>
  <c r="D17" i="17"/>
  <c r="F17" i="14"/>
  <c r="X17" i="12"/>
  <c r="E18" i="17"/>
  <c r="E31" i="20" s="1"/>
  <c r="G18" i="14"/>
  <c r="F19" i="17"/>
  <c r="F32" i="20" s="1"/>
  <c r="G19" i="15"/>
  <c r="G20" i="17"/>
  <c r="G33" i="20" s="1"/>
  <c r="H20" i="15"/>
  <c r="I22" i="17"/>
  <c r="I35" i="20" s="1"/>
  <c r="G22" i="16"/>
  <c r="J23" i="17"/>
  <c r="J36" i="20" s="1"/>
  <c r="H23" i="16"/>
  <c r="D27" i="17"/>
  <c r="F27" i="14"/>
  <c r="X27" i="12"/>
  <c r="E28" i="17"/>
  <c r="E41" i="20" s="1"/>
  <c r="G28" i="14"/>
  <c r="G29" i="15"/>
  <c r="J29" i="15" s="1"/>
  <c r="F29" i="17"/>
  <c r="F42" i="20" s="1"/>
  <c r="I32" i="17"/>
  <c r="I45" i="20" s="1"/>
  <c r="G32" i="16"/>
  <c r="D37" i="17"/>
  <c r="F37" i="14"/>
  <c r="X37" i="12"/>
  <c r="E38" i="17"/>
  <c r="E51" i="20" s="1"/>
  <c r="G38" i="14"/>
  <c r="G40" i="17"/>
  <c r="G53" i="20" s="1"/>
  <c r="H40" i="15"/>
  <c r="H13" i="15"/>
  <c r="H23" i="15"/>
  <c r="D24" i="20"/>
  <c r="B28" i="21"/>
  <c r="E51" i="22"/>
  <c r="H18" i="21"/>
  <c r="G11" i="17"/>
  <c r="J14" i="17"/>
  <c r="J27" i="20" s="1"/>
  <c r="H14" i="16"/>
  <c r="G19" i="14"/>
  <c r="E19" i="17"/>
  <c r="E32" i="20" s="1"/>
  <c r="I23" i="17"/>
  <c r="I36" i="20" s="1"/>
  <c r="G23" i="16"/>
  <c r="J23" i="16" s="1"/>
  <c r="J24" i="17"/>
  <c r="J37" i="20" s="1"/>
  <c r="H24" i="16"/>
  <c r="D28" i="17"/>
  <c r="F28" i="14"/>
  <c r="H28" i="14" s="1"/>
  <c r="X28" i="12"/>
  <c r="F30" i="17"/>
  <c r="F43" i="20" s="1"/>
  <c r="G30" i="15"/>
  <c r="I33" i="17"/>
  <c r="I46" i="20" s="1"/>
  <c r="G33" i="16"/>
  <c r="D38" i="17"/>
  <c r="X38" i="12"/>
  <c r="E39" i="17"/>
  <c r="E52" i="20" s="1"/>
  <c r="G39" i="14"/>
  <c r="G11" i="16"/>
  <c r="G23" i="21"/>
  <c r="G51" i="22"/>
  <c r="I11" i="17"/>
  <c r="J12" i="17"/>
  <c r="J25" i="20" s="1"/>
  <c r="H12" i="16"/>
  <c r="K13" i="17"/>
  <c r="K26" i="20" s="1"/>
  <c r="I13" i="16"/>
  <c r="F16" i="14"/>
  <c r="H16" i="14" s="1"/>
  <c r="X16" i="12"/>
  <c r="E17" i="17"/>
  <c r="E30" i="20" s="1"/>
  <c r="G17" i="14"/>
  <c r="F18" i="17"/>
  <c r="F31" i="20" s="1"/>
  <c r="G18" i="15"/>
  <c r="G21" i="16"/>
  <c r="I21" i="17"/>
  <c r="I34" i="20" s="1"/>
  <c r="J22" i="17"/>
  <c r="J35" i="20" s="1"/>
  <c r="H22" i="16"/>
  <c r="D26" i="17"/>
  <c r="F26" i="14"/>
  <c r="H26" i="14" s="1"/>
  <c r="X26" i="12"/>
  <c r="E27" i="17"/>
  <c r="E40" i="20" s="1"/>
  <c r="G27" i="14"/>
  <c r="G29" i="17"/>
  <c r="G42" i="20" s="1"/>
  <c r="H29" i="15"/>
  <c r="G31" i="16"/>
  <c r="J31" i="16" s="1"/>
  <c r="I31" i="17"/>
  <c r="I44" i="20" s="1"/>
  <c r="D36" i="17"/>
  <c r="F36" i="14"/>
  <c r="X36" i="12"/>
  <c r="G37" i="14"/>
  <c r="E37" i="17"/>
  <c r="E50" i="20" s="1"/>
  <c r="G39" i="17"/>
  <c r="G52" i="20" s="1"/>
  <c r="H39" i="15"/>
  <c r="H19" i="15"/>
  <c r="F12" i="17"/>
  <c r="F25" i="20" s="1"/>
  <c r="G17" i="17"/>
  <c r="G30" i="20" s="1"/>
  <c r="F20" i="17"/>
  <c r="F33" i="20" s="1"/>
  <c r="G20" i="15"/>
  <c r="J20" i="15" s="1"/>
  <c r="J11" i="17"/>
  <c r="H23" i="21"/>
  <c r="H51" i="22"/>
  <c r="H11" i="16"/>
  <c r="E16" i="17"/>
  <c r="E29" i="20" s="1"/>
  <c r="G16" i="14"/>
  <c r="G28" i="17"/>
  <c r="G41" i="20" s="1"/>
  <c r="H28" i="15"/>
  <c r="I30" i="17"/>
  <c r="I43" i="20" s="1"/>
  <c r="G30" i="16"/>
  <c r="I23" i="21"/>
  <c r="I51" i="22"/>
  <c r="I11" i="16"/>
  <c r="K11" i="17"/>
  <c r="F14" i="14"/>
  <c r="H14" i="14" s="1"/>
  <c r="D14" i="17"/>
  <c r="X14" i="12"/>
  <c r="G15" i="14"/>
  <c r="E15" i="17"/>
  <c r="E28" i="20" s="1"/>
  <c r="G16" i="15"/>
  <c r="F16" i="17"/>
  <c r="F29" i="20" s="1"/>
  <c r="I19" i="17"/>
  <c r="I32" i="20" s="1"/>
  <c r="G19" i="16"/>
  <c r="H20" i="16"/>
  <c r="J20" i="16" s="1"/>
  <c r="J20" i="17"/>
  <c r="J33" i="20" s="1"/>
  <c r="D24" i="17"/>
  <c r="F24" i="14"/>
  <c r="H24" i="14" s="1"/>
  <c r="X24" i="12"/>
  <c r="E25" i="17"/>
  <c r="E38" i="20" s="1"/>
  <c r="G25" i="14"/>
  <c r="G27" i="17"/>
  <c r="G40" i="20" s="1"/>
  <c r="H27" i="15"/>
  <c r="I29" i="17"/>
  <c r="I42" i="20" s="1"/>
  <c r="G29" i="16"/>
  <c r="J29" i="16" s="1"/>
  <c r="D34" i="17"/>
  <c r="F34" i="14"/>
  <c r="X34" i="12"/>
  <c r="H37" i="15"/>
  <c r="G37" i="17"/>
  <c r="G50" i="20" s="1"/>
  <c r="G35" i="14"/>
  <c r="G28" i="15"/>
  <c r="H36" i="15"/>
  <c r="J36" i="15" s="1"/>
  <c r="I15" i="16"/>
  <c r="K15" i="17"/>
  <c r="K28" i="20" s="1"/>
  <c r="E29" i="17"/>
  <c r="E42" i="20" s="1"/>
  <c r="G29" i="14"/>
  <c r="I12" i="16"/>
  <c r="K12" i="17"/>
  <c r="K25" i="20" s="1"/>
  <c r="D15" i="17"/>
  <c r="F15" i="14"/>
  <c r="X15" i="12"/>
  <c r="F17" i="17"/>
  <c r="F30" i="20" s="1"/>
  <c r="G17" i="15"/>
  <c r="J17" i="15" s="1"/>
  <c r="G18" i="17"/>
  <c r="G31" i="20" s="1"/>
  <c r="H18" i="15"/>
  <c r="H21" i="16"/>
  <c r="J21" i="17"/>
  <c r="J34" i="20" s="1"/>
  <c r="D25" i="17"/>
  <c r="F25" i="14"/>
  <c r="H25" i="14" s="1"/>
  <c r="X25" i="12"/>
  <c r="F27" i="17"/>
  <c r="F40" i="20" s="1"/>
  <c r="G27" i="15"/>
  <c r="J27" i="15" s="1"/>
  <c r="D35" i="17"/>
  <c r="F35" i="14"/>
  <c r="X35" i="12"/>
  <c r="E36" i="17"/>
  <c r="E49" i="20" s="1"/>
  <c r="G36" i="14"/>
  <c r="G38" i="17"/>
  <c r="G51" i="20" s="1"/>
  <c r="H38" i="15"/>
  <c r="G32" i="15"/>
  <c r="G15" i="16"/>
  <c r="J15" i="16" s="1"/>
  <c r="D13" i="17"/>
  <c r="F13" i="14"/>
  <c r="X13" i="12"/>
  <c r="F15" i="17"/>
  <c r="F28" i="20" s="1"/>
  <c r="G15" i="15"/>
  <c r="J15" i="15" s="1"/>
  <c r="G16" i="17"/>
  <c r="G29" i="20" s="1"/>
  <c r="H16" i="15"/>
  <c r="J19" i="17"/>
  <c r="J32" i="20" s="1"/>
  <c r="H19" i="16"/>
  <c r="X23" i="12"/>
  <c r="E24" i="17"/>
  <c r="E37" i="20" s="1"/>
  <c r="G24" i="14"/>
  <c r="G25" i="15"/>
  <c r="F25" i="17"/>
  <c r="F38" i="20" s="1"/>
  <c r="G26" i="17"/>
  <c r="G39" i="20" s="1"/>
  <c r="H26" i="15"/>
  <c r="J26" i="15" s="1"/>
  <c r="G28" i="16"/>
  <c r="I28" i="17"/>
  <c r="I41" i="20" s="1"/>
  <c r="D33" i="17"/>
  <c r="F33" i="14"/>
  <c r="H33" i="14" s="1"/>
  <c r="X33" i="12"/>
  <c r="G34" i="14"/>
  <c r="E34" i="17"/>
  <c r="E47" i="20" s="1"/>
  <c r="F23" i="14"/>
  <c r="H23" i="14" s="1"/>
  <c r="D12" i="17"/>
  <c r="B20" i="20" s="1"/>
  <c r="X12" i="12"/>
  <c r="E13" i="17"/>
  <c r="E26" i="20" s="1"/>
  <c r="G13" i="14"/>
  <c r="J14" i="15"/>
  <c r="G15" i="17"/>
  <c r="G28" i="20" s="1"/>
  <c r="H15" i="15"/>
  <c r="I17" i="17"/>
  <c r="I30" i="20" s="1"/>
  <c r="G17" i="16"/>
  <c r="J18" i="17"/>
  <c r="J31" i="20" s="1"/>
  <c r="H18" i="16"/>
  <c r="D22" i="17"/>
  <c r="F22" i="14"/>
  <c r="X22" i="12"/>
  <c r="E23" i="17"/>
  <c r="E36" i="20" s="1"/>
  <c r="G23" i="14"/>
  <c r="I27" i="17"/>
  <c r="I40" i="20" s="1"/>
  <c r="G27" i="16"/>
  <c r="D32" i="17"/>
  <c r="F32" i="14"/>
  <c r="X32" i="12"/>
  <c r="E33" i="17"/>
  <c r="E46" i="20" s="1"/>
  <c r="G33" i="14"/>
  <c r="H35" i="15"/>
  <c r="J35" i="15" s="1"/>
  <c r="G35" i="17"/>
  <c r="G48" i="20" s="1"/>
  <c r="I37" i="17"/>
  <c r="I50" i="20" s="1"/>
  <c r="G37" i="16"/>
  <c r="G30" i="14"/>
  <c r="H21" i="15"/>
  <c r="I13" i="17"/>
  <c r="I26" i="20" s="1"/>
  <c r="G13" i="16"/>
  <c r="J13" i="16" s="1"/>
  <c r="D18" i="17"/>
  <c r="X18" i="12"/>
  <c r="G31" i="17"/>
  <c r="G44" i="20" s="1"/>
  <c r="H31" i="15"/>
  <c r="G13" i="21"/>
  <c r="B51" i="22"/>
  <c r="F11" i="14"/>
  <c r="X11" i="12"/>
  <c r="E12" i="17"/>
  <c r="E25" i="20" s="1"/>
  <c r="G12" i="14"/>
  <c r="F13" i="17"/>
  <c r="F26" i="20" s="1"/>
  <c r="G13" i="15"/>
  <c r="G14" i="17"/>
  <c r="G27" i="20" s="1"/>
  <c r="H14" i="15"/>
  <c r="G16" i="16"/>
  <c r="I16" i="17"/>
  <c r="I29" i="20" s="1"/>
  <c r="J17" i="17"/>
  <c r="J30" i="20" s="1"/>
  <c r="H17" i="16"/>
  <c r="D21" i="17"/>
  <c r="F21" i="14"/>
  <c r="X21" i="12"/>
  <c r="G22" i="14"/>
  <c r="E22" i="17"/>
  <c r="E35" i="20" s="1"/>
  <c r="F23" i="17"/>
  <c r="F36" i="20" s="1"/>
  <c r="G23" i="15"/>
  <c r="G24" i="17"/>
  <c r="G37" i="20" s="1"/>
  <c r="H24" i="15"/>
  <c r="J24" i="15" s="1"/>
  <c r="G26" i="16"/>
  <c r="I26" i="17"/>
  <c r="I39" i="20" s="1"/>
  <c r="D31" i="17"/>
  <c r="X31" i="12"/>
  <c r="G32" i="14"/>
  <c r="E32" i="17"/>
  <c r="E45" i="20" s="1"/>
  <c r="F33" i="17"/>
  <c r="F46" i="20" s="1"/>
  <c r="G33" i="15"/>
  <c r="G34" i="17"/>
  <c r="G47" i="20" s="1"/>
  <c r="H34" i="15"/>
  <c r="J34" i="15" s="1"/>
  <c r="G36" i="16"/>
  <c r="I36" i="17"/>
  <c r="I49" i="20" s="1"/>
  <c r="F12" i="14"/>
  <c r="H12" i="14" s="1"/>
  <c r="F18" i="14"/>
  <c r="H18" i="14" s="1"/>
  <c r="G12" i="16"/>
  <c r="J12" i="16" s="1"/>
  <c r="G18" i="16"/>
  <c r="J18" i="16" s="1"/>
  <c r="H25" i="16"/>
  <c r="F14" i="17"/>
  <c r="F27" i="20" s="1"/>
  <c r="C51" i="22"/>
  <c r="H13" i="21"/>
  <c r="E11" i="17"/>
  <c r="G11" i="14"/>
  <c r="J16" i="17"/>
  <c r="J29" i="20" s="1"/>
  <c r="H16" i="16"/>
  <c r="D20" i="17"/>
  <c r="F20" i="14"/>
  <c r="H20" i="14" s="1"/>
  <c r="X20" i="12"/>
  <c r="E21" i="17"/>
  <c r="E34" i="20" s="1"/>
  <c r="G21" i="14"/>
  <c r="I25" i="17"/>
  <c r="I38" i="20" s="1"/>
  <c r="G25" i="16"/>
  <c r="J25" i="16" s="1"/>
  <c r="D30" i="17"/>
  <c r="F30" i="14"/>
  <c r="H30" i="14" s="1"/>
  <c r="X30" i="12"/>
  <c r="E31" i="17"/>
  <c r="E44" i="20" s="1"/>
  <c r="G31" i="14"/>
  <c r="G33" i="17"/>
  <c r="G46" i="20" s="1"/>
  <c r="H33" i="15"/>
  <c r="G35" i="16"/>
  <c r="I35" i="17"/>
  <c r="I48" i="20" s="1"/>
  <c r="D40" i="17"/>
  <c r="F40" i="14"/>
  <c r="X40" i="12"/>
  <c r="H31" i="14"/>
  <c r="H11" i="15"/>
  <c r="G22" i="15"/>
  <c r="D51" i="22"/>
  <c r="G18" i="21"/>
  <c r="F11" i="17"/>
  <c r="G11" i="15"/>
  <c r="G12" i="17"/>
  <c r="G25" i="20" s="1"/>
  <c r="H12" i="15"/>
  <c r="J12" i="15" s="1"/>
  <c r="I14" i="17"/>
  <c r="I27" i="20" s="1"/>
  <c r="G14" i="16"/>
  <c r="J14" i="16" s="1"/>
  <c r="H15" i="16"/>
  <c r="J15" i="17"/>
  <c r="J28" i="20" s="1"/>
  <c r="D19" i="17"/>
  <c r="F19" i="14"/>
  <c r="H19" i="14" s="1"/>
  <c r="X19" i="12"/>
  <c r="E20" i="17"/>
  <c r="E33" i="20" s="1"/>
  <c r="G20" i="14"/>
  <c r="F21" i="17"/>
  <c r="F34" i="20" s="1"/>
  <c r="G21" i="15"/>
  <c r="G22" i="17"/>
  <c r="G35" i="20" s="1"/>
  <c r="H22" i="15"/>
  <c r="G24" i="16"/>
  <c r="I24" i="17"/>
  <c r="I37" i="20" s="1"/>
  <c r="D29" i="17"/>
  <c r="F29" i="14"/>
  <c r="H29" i="14" s="1"/>
  <c r="X29" i="12"/>
  <c r="F31" i="17"/>
  <c r="F44" i="20" s="1"/>
  <c r="G31" i="15"/>
  <c r="J31" i="15" s="1"/>
  <c r="G32" i="17"/>
  <c r="G45" i="20" s="1"/>
  <c r="H32" i="15"/>
  <c r="G34" i="16"/>
  <c r="I34" i="17"/>
  <c r="I47" i="20" s="1"/>
  <c r="D39" i="17"/>
  <c r="F39" i="14"/>
  <c r="H39" i="14" s="1"/>
  <c r="X39" i="12"/>
  <c r="F38" i="14"/>
  <c r="H38" i="14" s="1"/>
  <c r="H30" i="15"/>
  <c r="D47" i="45"/>
  <c r="C89" i="54"/>
  <c r="I40" i="37"/>
  <c r="D89" i="54" s="1"/>
  <c r="I22" i="16"/>
  <c r="I27" i="16"/>
  <c r="K16" i="17"/>
  <c r="K29" i="20" s="1"/>
  <c r="K32" i="17"/>
  <c r="K45" i="20" s="1"/>
  <c r="E41" i="45"/>
  <c r="C72" i="54"/>
  <c r="F38" i="45"/>
  <c r="C64" i="54"/>
  <c r="H31" i="39"/>
  <c r="D64" i="54" s="1"/>
  <c r="F35" i="17"/>
  <c r="F48" i="20" s="1"/>
  <c r="K39" i="17"/>
  <c r="K52" i="20" s="1"/>
  <c r="F30" i="40"/>
  <c r="F43" i="43" s="1"/>
  <c r="G30" i="38"/>
  <c r="J30" i="38" s="1"/>
  <c r="F37" i="40"/>
  <c r="F50" i="43" s="1"/>
  <c r="G37" i="38"/>
  <c r="C85" i="54"/>
  <c r="F45" i="45"/>
  <c r="H38" i="39"/>
  <c r="D85" i="54" s="1"/>
  <c r="K34" i="38"/>
  <c r="D72" i="54" s="1"/>
  <c r="D36" i="40"/>
  <c r="J26" i="38"/>
  <c r="D29" i="40"/>
  <c r="F29" i="37"/>
  <c r="H29" i="37" s="1"/>
  <c r="U29" i="35"/>
  <c r="I34" i="40"/>
  <c r="I47" i="43" s="1"/>
  <c r="F34" i="39"/>
  <c r="G34" i="39" s="1"/>
  <c r="F40" i="40"/>
  <c r="F53" i="43" s="1"/>
  <c r="G40" i="38"/>
  <c r="I21" i="15"/>
  <c r="G38" i="15"/>
  <c r="J38" i="15" s="1"/>
  <c r="I28" i="16"/>
  <c r="I33" i="16"/>
  <c r="G39" i="16"/>
  <c r="H23" i="40"/>
  <c r="H36" i="43" s="1"/>
  <c r="I23" i="38"/>
  <c r="D45" i="43"/>
  <c r="H33" i="38"/>
  <c r="U33" i="35"/>
  <c r="G33" i="40"/>
  <c r="G46" i="43" s="1"/>
  <c r="U34" i="35"/>
  <c r="D39" i="40"/>
  <c r="F39" i="37"/>
  <c r="U39" i="35"/>
  <c r="F40" i="17"/>
  <c r="F53" i="20" s="1"/>
  <c r="G40" i="15"/>
  <c r="G40" i="14"/>
  <c r="H26" i="16"/>
  <c r="H39" i="16"/>
  <c r="F22" i="40"/>
  <c r="F35" i="43" s="1"/>
  <c r="U22" i="35"/>
  <c r="G22" i="38"/>
  <c r="J29" i="38"/>
  <c r="F37" i="45"/>
  <c r="C61" i="54"/>
  <c r="H30" i="39"/>
  <c r="D61" i="54" s="1"/>
  <c r="E32" i="40"/>
  <c r="E45" i="43" s="1"/>
  <c r="G32" i="37"/>
  <c r="H32" i="37" s="1"/>
  <c r="U32" i="35"/>
  <c r="H33" i="40"/>
  <c r="H46" i="43" s="1"/>
  <c r="I33" i="38"/>
  <c r="I26" i="38"/>
  <c r="J18" i="40"/>
  <c r="D31" i="43"/>
  <c r="D21" i="40"/>
  <c r="U21" i="35"/>
  <c r="F21" i="37"/>
  <c r="H21" i="37" s="1"/>
  <c r="F51" i="22"/>
  <c r="H11" i="17"/>
  <c r="I18" i="21"/>
  <c r="H12" i="17"/>
  <c r="H25" i="20" s="1"/>
  <c r="I12" i="15"/>
  <c r="H13" i="17"/>
  <c r="H26" i="20" s="1"/>
  <c r="I13" i="15"/>
  <c r="H18" i="17"/>
  <c r="H31" i="20" s="1"/>
  <c r="I18" i="15"/>
  <c r="I25" i="15"/>
  <c r="H25" i="17"/>
  <c r="H38" i="20" s="1"/>
  <c r="H28" i="17"/>
  <c r="H41" i="20" s="1"/>
  <c r="I28" i="15"/>
  <c r="I33" i="15"/>
  <c r="H33" i="17"/>
  <c r="H46" i="20" s="1"/>
  <c r="H36" i="17"/>
  <c r="H49" i="20" s="1"/>
  <c r="I36" i="15"/>
  <c r="H38" i="17"/>
  <c r="H51" i="20" s="1"/>
  <c r="I38" i="15"/>
  <c r="H40" i="17"/>
  <c r="H53" i="20" s="1"/>
  <c r="I40" i="15"/>
  <c r="I30" i="15"/>
  <c r="G39" i="15"/>
  <c r="J39" i="15" s="1"/>
  <c r="K23" i="17"/>
  <c r="K36" i="20" s="1"/>
  <c r="K38" i="17"/>
  <c r="K51" i="20" s="1"/>
  <c r="F19" i="39"/>
  <c r="G19" i="39" s="1"/>
  <c r="I19" i="40"/>
  <c r="I32" i="43" s="1"/>
  <c r="U19" i="35"/>
  <c r="G28" i="44"/>
  <c r="I40" i="17"/>
  <c r="I53" i="20" s="1"/>
  <c r="G40" i="16"/>
  <c r="I18" i="16"/>
  <c r="F36" i="37"/>
  <c r="J32" i="17"/>
  <c r="J45" i="20" s="1"/>
  <c r="H32" i="16"/>
  <c r="J34" i="17"/>
  <c r="J47" i="20" s="1"/>
  <c r="H34" i="16"/>
  <c r="J36" i="17"/>
  <c r="J49" i="20" s="1"/>
  <c r="H36" i="16"/>
  <c r="J38" i="17"/>
  <c r="J51" i="20" s="1"/>
  <c r="H38" i="16"/>
  <c r="J38" i="16" s="1"/>
  <c r="I37" i="16"/>
  <c r="K36" i="17"/>
  <c r="K49" i="20" s="1"/>
  <c r="K17" i="17"/>
  <c r="K30" i="20" s="1"/>
  <c r="I17" i="16"/>
  <c r="I19" i="16"/>
  <c r="K19" i="17"/>
  <c r="K32" i="20" s="1"/>
  <c r="K20" i="17"/>
  <c r="K33" i="20" s="1"/>
  <c r="I20" i="16"/>
  <c r="I24" i="16"/>
  <c r="K24" i="17"/>
  <c r="K37" i="20" s="1"/>
  <c r="K25" i="17"/>
  <c r="K38" i="20" s="1"/>
  <c r="I25" i="16"/>
  <c r="K30" i="17"/>
  <c r="K43" i="20" s="1"/>
  <c r="I30" i="16"/>
  <c r="I34" i="16"/>
  <c r="K34" i="17"/>
  <c r="K47" i="20" s="1"/>
  <c r="K35" i="17"/>
  <c r="K48" i="20" s="1"/>
  <c r="I35" i="16"/>
  <c r="K40" i="17"/>
  <c r="K53" i="20" s="1"/>
  <c r="I40" i="16"/>
  <c r="I37" i="15"/>
  <c r="J37" i="15" s="1"/>
  <c r="I24" i="43"/>
  <c r="E14" i="40"/>
  <c r="E27" i="43" s="1"/>
  <c r="G14" i="37"/>
  <c r="U14" i="35"/>
  <c r="G18" i="40"/>
  <c r="G31" i="43" s="1"/>
  <c r="U18" i="35"/>
  <c r="H18" i="38"/>
  <c r="F25" i="40"/>
  <c r="F38" i="43" s="1"/>
  <c r="G25" i="38"/>
  <c r="C49" i="54"/>
  <c r="F33" i="45"/>
  <c r="H26" i="39"/>
  <c r="D49" i="54" s="1"/>
  <c r="F32" i="40"/>
  <c r="F45" i="43" s="1"/>
  <c r="G32" i="38"/>
  <c r="C40" i="54"/>
  <c r="H23" i="39"/>
  <c r="D40" i="54" s="1"/>
  <c r="F51" i="45"/>
  <c r="J18" i="44"/>
  <c r="H11" i="40"/>
  <c r="I11" i="38"/>
  <c r="G17" i="37"/>
  <c r="H17" i="37" s="1"/>
  <c r="E17" i="40"/>
  <c r="E30" i="43" s="1"/>
  <c r="U17" i="35"/>
  <c r="H18" i="40"/>
  <c r="H31" i="43" s="1"/>
  <c r="I18" i="38"/>
  <c r="F24" i="37"/>
  <c r="H24" i="37" s="1"/>
  <c r="D24" i="40"/>
  <c r="U24" i="35"/>
  <c r="H18" i="37"/>
  <c r="J27" i="38"/>
  <c r="G51" i="45"/>
  <c r="E23" i="44"/>
  <c r="F11" i="39"/>
  <c r="G11" i="39" s="1"/>
  <c r="F17" i="40"/>
  <c r="F30" i="43" s="1"/>
  <c r="G17" i="38"/>
  <c r="H28" i="37"/>
  <c r="U16" i="35"/>
  <c r="D16" i="40"/>
  <c r="F16" i="37"/>
  <c r="I14" i="40"/>
  <c r="I27" i="43" s="1"/>
  <c r="F14" i="39"/>
  <c r="G14" i="39" s="1"/>
  <c r="H38" i="38"/>
  <c r="J38" i="38" s="1"/>
  <c r="U38" i="35"/>
  <c r="G38" i="40"/>
  <c r="G51" i="43" s="1"/>
  <c r="J18" i="38"/>
  <c r="D53" i="43"/>
  <c r="F30" i="45"/>
  <c r="D46" i="43"/>
  <c r="J33" i="40"/>
  <c r="C76" i="54"/>
  <c r="F42" i="45"/>
  <c r="H35" i="39"/>
  <c r="D76" i="54" s="1"/>
  <c r="G37" i="37"/>
  <c r="E37" i="40"/>
  <c r="E50" i="43" s="1"/>
  <c r="U37" i="35"/>
  <c r="I38" i="38"/>
  <c r="H38" i="40"/>
  <c r="H51" i="43" s="1"/>
  <c r="E12" i="40"/>
  <c r="E25" i="43" s="1"/>
  <c r="G12" i="37"/>
  <c r="H12" i="37" s="1"/>
  <c r="G13" i="40"/>
  <c r="H13" i="38"/>
  <c r="U13" i="35"/>
  <c r="H21" i="40"/>
  <c r="H34" i="43" s="1"/>
  <c r="I21" i="38"/>
  <c r="I29" i="40"/>
  <c r="I42" i="43" s="1"/>
  <c r="F29" i="39"/>
  <c r="G29" i="39" s="1"/>
  <c r="D31" i="40"/>
  <c r="F31" i="37"/>
  <c r="H31" i="37" s="1"/>
  <c r="U31" i="35"/>
  <c r="J23" i="38"/>
  <c r="F12" i="40"/>
  <c r="F25" i="43" s="1"/>
  <c r="G12" i="38"/>
  <c r="H13" i="40"/>
  <c r="H26" i="43" s="1"/>
  <c r="I13" i="38"/>
  <c r="D32" i="43"/>
  <c r="F28" i="45"/>
  <c r="C34" i="54"/>
  <c r="H21" i="39"/>
  <c r="D34" i="54" s="1"/>
  <c r="E27" i="40"/>
  <c r="E40" i="43" s="1"/>
  <c r="G27" i="37"/>
  <c r="H27" i="37" s="1"/>
  <c r="G28" i="40"/>
  <c r="U28" i="35"/>
  <c r="H36" i="40"/>
  <c r="H49" i="43" s="1"/>
  <c r="I36" i="38"/>
  <c r="H38" i="37"/>
  <c r="H28" i="38"/>
  <c r="G13" i="44"/>
  <c r="D11" i="40"/>
  <c r="B51" i="45"/>
  <c r="F11" i="37"/>
  <c r="H11" i="37" s="1"/>
  <c r="U11" i="35"/>
  <c r="D34" i="40"/>
  <c r="F34" i="37"/>
  <c r="H34" i="37" s="1"/>
  <c r="F35" i="40"/>
  <c r="F48" i="43" s="1"/>
  <c r="G35" i="38"/>
  <c r="J35" i="38" s="1"/>
  <c r="I28" i="38"/>
  <c r="H13" i="44"/>
  <c r="C51" i="45"/>
  <c r="E11" i="40"/>
  <c r="H16" i="40"/>
  <c r="H29" i="43" s="1"/>
  <c r="I16" i="38"/>
  <c r="J19" i="38"/>
  <c r="I24" i="40"/>
  <c r="I37" i="43" s="1"/>
  <c r="F24" i="39"/>
  <c r="G24" i="39" s="1"/>
  <c r="D26" i="40"/>
  <c r="U26" i="35"/>
  <c r="F26" i="37"/>
  <c r="U30" i="35"/>
  <c r="G20" i="38"/>
  <c r="J20" i="38" s="1"/>
  <c r="F51" i="43"/>
  <c r="J38" i="40"/>
  <c r="D14" i="40"/>
  <c r="F14" i="37"/>
  <c r="H14" i="37" s="1"/>
  <c r="F15" i="40"/>
  <c r="F28" i="43" s="1"/>
  <c r="G15" i="38"/>
  <c r="J15" i="38" s="1"/>
  <c r="E22" i="40"/>
  <c r="E35" i="43" s="1"/>
  <c r="G22" i="37"/>
  <c r="G23" i="40"/>
  <c r="H23" i="38"/>
  <c r="U23" i="35"/>
  <c r="H37" i="37"/>
  <c r="F39" i="39"/>
  <c r="G39" i="39" s="1"/>
  <c r="I39" i="40"/>
  <c r="I52" i="43" s="1"/>
  <c r="J33" i="38"/>
  <c r="C19" i="54"/>
  <c r="F23" i="45"/>
  <c r="H16" i="39"/>
  <c r="D19" i="54" s="1"/>
  <c r="C79" i="54"/>
  <c r="F43" i="45"/>
  <c r="H36" i="39"/>
  <c r="D79" i="54" s="1"/>
  <c r="G16" i="37"/>
  <c r="F25" i="37"/>
  <c r="H25" i="37" s="1"/>
  <c r="G36" i="37"/>
  <c r="H16" i="38"/>
  <c r="J16" i="38" s="1"/>
  <c r="H22" i="38"/>
  <c r="F28" i="39"/>
  <c r="G28" i="39" s="1"/>
  <c r="F19" i="45"/>
  <c r="D51" i="45"/>
  <c r="H18" i="44"/>
  <c r="F11" i="40"/>
  <c r="G11" i="38"/>
  <c r="I17" i="38"/>
  <c r="H17" i="40"/>
  <c r="H30" i="43" s="1"/>
  <c r="F21" i="40"/>
  <c r="F34" i="43" s="1"/>
  <c r="G21" i="38"/>
  <c r="F31" i="40"/>
  <c r="F44" i="43" s="1"/>
  <c r="G31" i="38"/>
  <c r="H32" i="40"/>
  <c r="H45" i="43" s="1"/>
  <c r="I32" i="38"/>
  <c r="D48" i="43"/>
  <c r="G25" i="37"/>
  <c r="F27" i="45"/>
  <c r="C31" i="54"/>
  <c r="F16" i="40"/>
  <c r="F29" i="43" s="1"/>
  <c r="F36" i="40"/>
  <c r="F49" i="43" s="1"/>
  <c r="E51" i="45"/>
  <c r="I18" i="44"/>
  <c r="F17" i="39"/>
  <c r="G17" i="39" s="1"/>
  <c r="I17" i="40"/>
  <c r="I30" i="43" s="1"/>
  <c r="H22" i="39"/>
  <c r="D37" i="54" s="1"/>
  <c r="C37" i="54"/>
  <c r="H27" i="39"/>
  <c r="D52" i="54" s="1"/>
  <c r="C52" i="54"/>
  <c r="I32" i="40"/>
  <c r="I45" i="43" s="1"/>
  <c r="F32" i="39"/>
  <c r="G32" i="39" s="1"/>
  <c r="F37" i="39"/>
  <c r="G37" i="39" s="1"/>
  <c r="I37" i="40"/>
  <c r="I50" i="43" s="1"/>
  <c r="F30" i="37"/>
  <c r="H30" i="37" s="1"/>
  <c r="H12" i="38"/>
  <c r="H31" i="38"/>
  <c r="H37" i="38"/>
  <c r="H20" i="39"/>
  <c r="D31" i="54" s="1"/>
  <c r="F33" i="39"/>
  <c r="G33" i="39" s="1"/>
  <c r="H12" i="40"/>
  <c r="H25" i="43" s="1"/>
  <c r="H22" i="40"/>
  <c r="H35" i="43" s="1"/>
  <c r="I38" i="40"/>
  <c r="I51" i="43" s="1"/>
  <c r="I12" i="40"/>
  <c r="I25" i="43" s="1"/>
  <c r="D17" i="40"/>
  <c r="I22" i="40"/>
  <c r="I35" i="43" s="1"/>
  <c r="D25" i="40"/>
  <c r="D50" i="43"/>
  <c r="G19" i="37"/>
  <c r="H19" i="37" s="1"/>
  <c r="G28" i="37"/>
  <c r="G39" i="37"/>
  <c r="H21" i="38"/>
  <c r="H25" i="38"/>
  <c r="H27" i="38"/>
  <c r="H40" i="38"/>
  <c r="F13" i="39"/>
  <c r="G13" i="39" s="1"/>
  <c r="J12" i="40"/>
  <c r="J20" i="40"/>
  <c r="H27" i="40"/>
  <c r="H40" i="43" s="1"/>
  <c r="H34" i="40"/>
  <c r="H47" i="43" s="1"/>
  <c r="G14" i="38"/>
  <c r="J14" i="38" s="1"/>
  <c r="F14" i="40"/>
  <c r="F27" i="43" s="1"/>
  <c r="G24" i="38"/>
  <c r="F24" i="40"/>
  <c r="F37" i="43" s="1"/>
  <c r="F39" i="40"/>
  <c r="F52" i="43" s="1"/>
  <c r="G39" i="38"/>
  <c r="H40" i="40"/>
  <c r="H53" i="43" s="1"/>
  <c r="I40" i="38"/>
  <c r="F15" i="37"/>
  <c r="G26" i="37"/>
  <c r="F35" i="37"/>
  <c r="G13" i="38"/>
  <c r="H19" i="38"/>
  <c r="I25" i="38"/>
  <c r="D15" i="40"/>
  <c r="F19" i="40"/>
  <c r="F32" i="43" s="1"/>
  <c r="I27" i="40"/>
  <c r="I40" i="43" s="1"/>
  <c r="D30" i="40"/>
  <c r="F29" i="45"/>
  <c r="C7" i="54"/>
  <c r="F15" i="39"/>
  <c r="G15" i="39" s="1"/>
  <c r="I15" i="40"/>
  <c r="I28" i="43" s="1"/>
  <c r="F25" i="39"/>
  <c r="G25" i="39" s="1"/>
  <c r="I25" i="40"/>
  <c r="I38" i="43" s="1"/>
  <c r="G39" i="40"/>
  <c r="G52" i="43" s="1"/>
  <c r="H39" i="38"/>
  <c r="F40" i="39"/>
  <c r="G40" i="39" s="1"/>
  <c r="I40" i="40"/>
  <c r="I53" i="43" s="1"/>
  <c r="F13" i="37"/>
  <c r="H13" i="37" s="1"/>
  <c r="G15" i="37"/>
  <c r="F22" i="37"/>
  <c r="H22" i="37" s="1"/>
  <c r="G24" i="37"/>
  <c r="F33" i="37"/>
  <c r="H33" i="37" s="1"/>
  <c r="G35" i="37"/>
  <c r="H11" i="38"/>
  <c r="H15" i="38"/>
  <c r="H17" i="38"/>
  <c r="H36" i="38"/>
  <c r="J36" i="38" s="1"/>
  <c r="F18" i="39"/>
  <c r="G18" i="39" s="1"/>
  <c r="G11" i="40"/>
  <c r="F34" i="45"/>
  <c r="I14" i="38"/>
  <c r="H14" i="40"/>
  <c r="H27" i="43" s="1"/>
  <c r="U20" i="35"/>
  <c r="I24" i="38"/>
  <c r="H24" i="40"/>
  <c r="H37" i="43" s="1"/>
  <c r="I29" i="38"/>
  <c r="H29" i="40"/>
  <c r="H42" i="43" s="1"/>
  <c r="U35" i="35"/>
  <c r="H39" i="40"/>
  <c r="H52" i="43" s="1"/>
  <c r="I39" i="38"/>
  <c r="U40" i="35"/>
  <c r="G13" i="37"/>
  <c r="F20" i="37"/>
  <c r="H20" i="37" s="1"/>
  <c r="I15" i="38"/>
  <c r="G28" i="38"/>
  <c r="H19" i="40"/>
  <c r="H32" i="43" s="1"/>
  <c r="I35" i="40"/>
  <c r="I48" i="43" s="1"/>
  <c r="H37" i="40"/>
  <c r="H50" i="43" s="1"/>
  <c r="D30" i="45"/>
  <c r="C20" i="54" l="1"/>
  <c r="D24" i="45"/>
  <c r="I17" i="37"/>
  <c r="D20" i="54" s="1"/>
  <c r="C50" i="54"/>
  <c r="D34" i="45"/>
  <c r="I27" i="37"/>
  <c r="D50" i="54" s="1"/>
  <c r="E44" i="22"/>
  <c r="C81" i="31"/>
  <c r="K37" i="15"/>
  <c r="D81" i="31" s="1"/>
  <c r="E19" i="22"/>
  <c r="K12" i="15"/>
  <c r="D6" i="31" s="1"/>
  <c r="C6" i="31"/>
  <c r="F45" i="22"/>
  <c r="K38" i="16"/>
  <c r="D85" i="31" s="1"/>
  <c r="C85" i="31"/>
  <c r="C31" i="31"/>
  <c r="F27" i="22"/>
  <c r="K20" i="16"/>
  <c r="D31" i="31" s="1"/>
  <c r="C72" i="31"/>
  <c r="E41" i="22"/>
  <c r="K34" i="15"/>
  <c r="D72" i="31" s="1"/>
  <c r="C42" i="31"/>
  <c r="E31" i="22"/>
  <c r="K24" i="15"/>
  <c r="D42" i="31" s="1"/>
  <c r="K36" i="15"/>
  <c r="D78" i="31" s="1"/>
  <c r="C78" i="31"/>
  <c r="E43" i="22"/>
  <c r="E23" i="45"/>
  <c r="C18" i="54"/>
  <c r="K16" i="38"/>
  <c r="D18" i="54" s="1"/>
  <c r="C26" i="54"/>
  <c r="D26" i="45"/>
  <c r="I19" i="37"/>
  <c r="D26" i="54" s="1"/>
  <c r="K26" i="15"/>
  <c r="D48" i="31" s="1"/>
  <c r="E33" i="22"/>
  <c r="C48" i="31"/>
  <c r="G42" i="40"/>
  <c r="E20" i="43"/>
  <c r="E28" i="44"/>
  <c r="G24" i="43"/>
  <c r="C55" i="54"/>
  <c r="F35" i="45"/>
  <c r="H28" i="39"/>
  <c r="D55" i="54" s="1"/>
  <c r="C51" i="54"/>
  <c r="E34" i="45"/>
  <c r="K27" i="38"/>
  <c r="D51" i="54" s="1"/>
  <c r="G25" i="45"/>
  <c r="H25" i="45" s="1"/>
  <c r="J31" i="43"/>
  <c r="K18" i="40"/>
  <c r="K31" i="43" s="1"/>
  <c r="J28" i="38"/>
  <c r="F47" i="45"/>
  <c r="C91" i="54"/>
  <c r="H40" i="39"/>
  <c r="D91" i="54" s="1"/>
  <c r="K20" i="40"/>
  <c r="K33" i="43" s="1"/>
  <c r="J33" i="43"/>
  <c r="G27" i="45"/>
  <c r="H27" i="45" s="1"/>
  <c r="J37" i="40"/>
  <c r="C11" i="54"/>
  <c r="D21" i="45"/>
  <c r="I14" i="37"/>
  <c r="D11" i="54" s="1"/>
  <c r="C71" i="54"/>
  <c r="D41" i="45"/>
  <c r="I34" i="37"/>
  <c r="D71" i="54" s="1"/>
  <c r="J24" i="40"/>
  <c r="D37" i="43"/>
  <c r="J40" i="16"/>
  <c r="C87" i="31"/>
  <c r="E46" i="22"/>
  <c r="K39" i="15"/>
  <c r="D87" i="31" s="1"/>
  <c r="C84" i="31"/>
  <c r="E45" i="22"/>
  <c r="K38" i="15"/>
  <c r="D84" i="31" s="1"/>
  <c r="J36" i="40"/>
  <c r="D49" i="43"/>
  <c r="F21" i="22"/>
  <c r="C13" i="31"/>
  <c r="K14" i="16"/>
  <c r="D13" i="31" s="1"/>
  <c r="J22" i="15"/>
  <c r="D27" i="22"/>
  <c r="C29" i="31"/>
  <c r="I20" i="14"/>
  <c r="D29" i="31" s="1"/>
  <c r="D26" i="20"/>
  <c r="L13" i="17"/>
  <c r="D48" i="20"/>
  <c r="L35" i="17"/>
  <c r="E24" i="22"/>
  <c r="C21" i="31"/>
  <c r="K17" i="15"/>
  <c r="D21" i="31" s="1"/>
  <c r="F36" i="22"/>
  <c r="C58" i="31"/>
  <c r="K29" i="16"/>
  <c r="D58" i="31" s="1"/>
  <c r="K24" i="20"/>
  <c r="I28" i="21"/>
  <c r="K42" i="17"/>
  <c r="I20" i="20"/>
  <c r="J30" i="15"/>
  <c r="J32" i="16"/>
  <c r="H17" i="14"/>
  <c r="J39" i="38"/>
  <c r="F46" i="45"/>
  <c r="C88" i="54"/>
  <c r="H39" i="39"/>
  <c r="D88" i="54" s="1"/>
  <c r="D27" i="43"/>
  <c r="J14" i="40"/>
  <c r="C41" i="54"/>
  <c r="D31" i="45"/>
  <c r="I24" i="37"/>
  <c r="D41" i="54" s="1"/>
  <c r="F28" i="21"/>
  <c r="H42" i="17"/>
  <c r="F20" i="20"/>
  <c r="H24" i="20"/>
  <c r="J21" i="15"/>
  <c r="D33" i="20"/>
  <c r="L20" i="17"/>
  <c r="F25" i="22"/>
  <c r="K18" i="16"/>
  <c r="D25" i="31" s="1"/>
  <c r="C25" i="31"/>
  <c r="C12" i="31"/>
  <c r="E21" i="22"/>
  <c r="K14" i="15"/>
  <c r="D12" i="31" s="1"/>
  <c r="D40" i="22"/>
  <c r="C68" i="31"/>
  <c r="I33" i="14"/>
  <c r="D68" i="31" s="1"/>
  <c r="F22" i="22"/>
  <c r="C16" i="31"/>
  <c r="K15" i="16"/>
  <c r="D16" i="31" s="1"/>
  <c r="E34" i="22"/>
  <c r="C51" i="31"/>
  <c r="K27" i="15"/>
  <c r="D51" i="31" s="1"/>
  <c r="J19" i="16"/>
  <c r="J22" i="16"/>
  <c r="D30" i="20"/>
  <c r="L17" i="17"/>
  <c r="G45" i="45"/>
  <c r="H45" i="45" s="1"/>
  <c r="J51" i="43"/>
  <c r="K38" i="40"/>
  <c r="K51" i="43" s="1"/>
  <c r="J17" i="38"/>
  <c r="C65" i="54"/>
  <c r="D39" i="45"/>
  <c r="I32" i="37"/>
  <c r="D65" i="54" s="1"/>
  <c r="J40" i="38"/>
  <c r="E38" i="22"/>
  <c r="K31" i="15"/>
  <c r="D63" i="31" s="1"/>
  <c r="C63" i="31"/>
  <c r="C62" i="31"/>
  <c r="D38" i="22"/>
  <c r="I31" i="14"/>
  <c r="D62" i="31" s="1"/>
  <c r="C7" i="31"/>
  <c r="K12" i="16"/>
  <c r="D7" i="31" s="1"/>
  <c r="F19" i="22"/>
  <c r="J13" i="15"/>
  <c r="E42" i="22"/>
  <c r="C75" i="31"/>
  <c r="K35" i="15"/>
  <c r="D75" i="31" s="1"/>
  <c r="D46" i="20"/>
  <c r="L33" i="17"/>
  <c r="J32" i="15"/>
  <c r="J28" i="15"/>
  <c r="J11" i="16"/>
  <c r="G19" i="45"/>
  <c r="H19" i="45" s="1"/>
  <c r="K12" i="40"/>
  <c r="K25" i="43" s="1"/>
  <c r="J25" i="43"/>
  <c r="C27" i="54"/>
  <c r="E26" i="45"/>
  <c r="K19" i="38"/>
  <c r="D27" i="54" s="1"/>
  <c r="J34" i="40"/>
  <c r="D47" i="43"/>
  <c r="I28" i="37"/>
  <c r="D53" i="54" s="1"/>
  <c r="C53" i="54"/>
  <c r="D35" i="45"/>
  <c r="D27" i="45"/>
  <c r="C29" i="54"/>
  <c r="I20" i="37"/>
  <c r="D29" i="54" s="1"/>
  <c r="C10" i="54"/>
  <c r="H13" i="39"/>
  <c r="D10" i="54" s="1"/>
  <c r="F20" i="45"/>
  <c r="C80" i="54"/>
  <c r="D44" i="45"/>
  <c r="I37" i="37"/>
  <c r="D80" i="54" s="1"/>
  <c r="J35" i="40"/>
  <c r="D28" i="44"/>
  <c r="D20" i="43"/>
  <c r="F24" i="43"/>
  <c r="F42" i="40"/>
  <c r="D18" i="45"/>
  <c r="C2" i="54"/>
  <c r="H14" i="44"/>
  <c r="I11" i="37"/>
  <c r="J12" i="38"/>
  <c r="I42" i="40"/>
  <c r="D28" i="45"/>
  <c r="C32" i="54"/>
  <c r="I21" i="37"/>
  <c r="D32" i="54" s="1"/>
  <c r="J32" i="40"/>
  <c r="D37" i="22"/>
  <c r="C59" i="31"/>
  <c r="I30" i="14"/>
  <c r="D59" i="31" s="1"/>
  <c r="I18" i="14"/>
  <c r="D23" i="31" s="1"/>
  <c r="D25" i="22"/>
  <c r="C23" i="31"/>
  <c r="D31" i="20"/>
  <c r="L18" i="17"/>
  <c r="H22" i="14"/>
  <c r="H15" i="14"/>
  <c r="H20" i="20"/>
  <c r="H28" i="21"/>
  <c r="J42" i="17"/>
  <c r="J24" i="20"/>
  <c r="C47" i="31"/>
  <c r="I26" i="14"/>
  <c r="D47" i="31" s="1"/>
  <c r="D33" i="22"/>
  <c r="I28" i="14"/>
  <c r="D53" i="31" s="1"/>
  <c r="C53" i="31"/>
  <c r="D35" i="22"/>
  <c r="G24" i="20"/>
  <c r="E20" i="20"/>
  <c r="E28" i="21"/>
  <c r="G42" i="17"/>
  <c r="C57" i="31"/>
  <c r="E36" i="22"/>
  <c r="K29" i="15"/>
  <c r="D57" i="31" s="1"/>
  <c r="C24" i="54"/>
  <c r="E25" i="45"/>
  <c r="K18" i="38"/>
  <c r="D24" i="54" s="1"/>
  <c r="J15" i="40"/>
  <c r="D28" i="43"/>
  <c r="J25" i="40"/>
  <c r="D38" i="43"/>
  <c r="J11" i="38"/>
  <c r="G41" i="43"/>
  <c r="J28" i="40"/>
  <c r="D40" i="45"/>
  <c r="C68" i="54"/>
  <c r="I33" i="37"/>
  <c r="D68" i="54" s="1"/>
  <c r="C46" i="54"/>
  <c r="F32" i="45"/>
  <c r="H25" i="39"/>
  <c r="D46" i="54" s="1"/>
  <c r="J24" i="38"/>
  <c r="D30" i="43"/>
  <c r="J17" i="40"/>
  <c r="D37" i="45"/>
  <c r="C59" i="54"/>
  <c r="I30" i="37"/>
  <c r="D59" i="54" s="1"/>
  <c r="H17" i="39"/>
  <c r="D22" i="54" s="1"/>
  <c r="C22" i="54"/>
  <c r="F24" i="45"/>
  <c r="C30" i="54"/>
  <c r="K20" i="38"/>
  <c r="D30" i="54" s="1"/>
  <c r="E27" i="45"/>
  <c r="C20" i="43"/>
  <c r="C28" i="44"/>
  <c r="E24" i="43"/>
  <c r="E42" i="40"/>
  <c r="F18" i="45"/>
  <c r="C4" i="54"/>
  <c r="H11" i="39"/>
  <c r="E24" i="44"/>
  <c r="J32" i="38"/>
  <c r="G20" i="43"/>
  <c r="J40" i="15"/>
  <c r="F41" i="45"/>
  <c r="H34" i="39"/>
  <c r="D73" i="54" s="1"/>
  <c r="C73" i="54"/>
  <c r="I38" i="14"/>
  <c r="D83" i="31" s="1"/>
  <c r="D45" i="22"/>
  <c r="I45" i="22" s="1"/>
  <c r="C83" i="31"/>
  <c r="J11" i="15"/>
  <c r="H40" i="14"/>
  <c r="D43" i="20"/>
  <c r="L30" i="17"/>
  <c r="I12" i="14"/>
  <c r="D5" i="31" s="1"/>
  <c r="D19" i="22"/>
  <c r="I19" i="22" s="1"/>
  <c r="C5" i="31"/>
  <c r="L31" i="17"/>
  <c r="D44" i="20"/>
  <c r="H21" i="14"/>
  <c r="C10" i="31"/>
  <c r="K13" i="16"/>
  <c r="D10" i="31" s="1"/>
  <c r="F20" i="22"/>
  <c r="D35" i="20"/>
  <c r="L22" i="17"/>
  <c r="J28" i="16"/>
  <c r="C44" i="31"/>
  <c r="I25" i="14"/>
  <c r="D44" i="31" s="1"/>
  <c r="D32" i="22"/>
  <c r="L15" i="17"/>
  <c r="D28" i="20"/>
  <c r="J16" i="15"/>
  <c r="J30" i="16"/>
  <c r="C30" i="31"/>
  <c r="E27" i="22"/>
  <c r="K20" i="15"/>
  <c r="D30" i="31" s="1"/>
  <c r="H36" i="14"/>
  <c r="L26" i="17"/>
  <c r="D39" i="20"/>
  <c r="C17" i="31"/>
  <c r="D23" i="22"/>
  <c r="I16" i="14"/>
  <c r="D17" i="31" s="1"/>
  <c r="D41" i="20"/>
  <c r="L28" i="17"/>
  <c r="D34" i="43"/>
  <c r="J21" i="40"/>
  <c r="J37" i="38"/>
  <c r="D36" i="22"/>
  <c r="I36" i="22" s="1"/>
  <c r="C56" i="31"/>
  <c r="I29" i="14"/>
  <c r="D56" i="31" s="1"/>
  <c r="D28" i="21"/>
  <c r="F42" i="17"/>
  <c r="F24" i="20"/>
  <c r="D20" i="20"/>
  <c r="D53" i="20"/>
  <c r="L40" i="17"/>
  <c r="K25" i="16"/>
  <c r="D46" i="31" s="1"/>
  <c r="C46" i="31"/>
  <c r="F32" i="22"/>
  <c r="L21" i="17"/>
  <c r="D34" i="20"/>
  <c r="D25" i="20"/>
  <c r="L12" i="17"/>
  <c r="D38" i="20"/>
  <c r="L25" i="17"/>
  <c r="L36" i="17"/>
  <c r="D49" i="20"/>
  <c r="J19" i="15"/>
  <c r="C44" i="54"/>
  <c r="D32" i="45"/>
  <c r="I25" i="37"/>
  <c r="D44" i="54" s="1"/>
  <c r="J13" i="38"/>
  <c r="G36" i="43"/>
  <c r="J23" i="40"/>
  <c r="B28" i="44"/>
  <c r="D24" i="43"/>
  <c r="B20" i="43"/>
  <c r="D42" i="40"/>
  <c r="J11" i="40"/>
  <c r="E30" i="45"/>
  <c r="C39" i="54"/>
  <c r="K23" i="38"/>
  <c r="D39" i="54" s="1"/>
  <c r="G26" i="43"/>
  <c r="J13" i="40"/>
  <c r="C84" i="54"/>
  <c r="E45" i="45"/>
  <c r="K38" i="38"/>
  <c r="D84" i="54" s="1"/>
  <c r="I30" i="45"/>
  <c r="J27" i="40"/>
  <c r="C35" i="54"/>
  <c r="D29" i="45"/>
  <c r="I22" i="37"/>
  <c r="D35" i="54" s="1"/>
  <c r="C16" i="54"/>
  <c r="F22" i="45"/>
  <c r="H15" i="39"/>
  <c r="D16" i="54" s="1"/>
  <c r="H35" i="37"/>
  <c r="E21" i="45"/>
  <c r="C12" i="54"/>
  <c r="K14" i="38"/>
  <c r="D12" i="54" s="1"/>
  <c r="H37" i="39"/>
  <c r="D82" i="54" s="1"/>
  <c r="C82" i="54"/>
  <c r="F44" i="45"/>
  <c r="J31" i="38"/>
  <c r="H26" i="37"/>
  <c r="C5" i="54"/>
  <c r="D19" i="45"/>
  <c r="I12" i="37"/>
  <c r="D5" i="54" s="1"/>
  <c r="J46" i="43"/>
  <c r="K33" i="40"/>
  <c r="K46" i="43" s="1"/>
  <c r="G40" i="45"/>
  <c r="H40" i="45" s="1"/>
  <c r="F21" i="45"/>
  <c r="C13" i="54"/>
  <c r="H14" i="39"/>
  <c r="D13" i="54" s="1"/>
  <c r="D46" i="22"/>
  <c r="C86" i="31"/>
  <c r="I39" i="14"/>
  <c r="D86" i="31" s="1"/>
  <c r="L29" i="17"/>
  <c r="D42" i="20"/>
  <c r="D26" i="22"/>
  <c r="I19" i="14"/>
  <c r="D26" i="31" s="1"/>
  <c r="C26" i="31"/>
  <c r="C20" i="20"/>
  <c r="E24" i="20"/>
  <c r="C28" i="21"/>
  <c r="E42" i="17"/>
  <c r="J36" i="16"/>
  <c r="J26" i="16"/>
  <c r="H32" i="14"/>
  <c r="C38" i="31"/>
  <c r="I23" i="14"/>
  <c r="D38" i="31" s="1"/>
  <c r="D30" i="22"/>
  <c r="E22" i="22"/>
  <c r="C15" i="31"/>
  <c r="K15" i="15"/>
  <c r="D15" i="31" s="1"/>
  <c r="E36" i="45"/>
  <c r="C57" i="54"/>
  <c r="K29" i="38"/>
  <c r="D57" i="54" s="1"/>
  <c r="H39" i="37"/>
  <c r="J39" i="16"/>
  <c r="C56" i="54"/>
  <c r="D36" i="45"/>
  <c r="I36" i="45" s="1"/>
  <c r="I29" i="37"/>
  <c r="D56" i="54" s="1"/>
  <c r="C60" i="54"/>
  <c r="K30" i="38"/>
  <c r="D60" i="54" s="1"/>
  <c r="E37" i="45"/>
  <c r="D52" i="20"/>
  <c r="L39" i="17"/>
  <c r="D32" i="20"/>
  <c r="L19" i="17"/>
  <c r="J35" i="16"/>
  <c r="H11" i="14"/>
  <c r="D45" i="20"/>
  <c r="L32" i="17"/>
  <c r="J17" i="16"/>
  <c r="D31" i="22"/>
  <c r="C41" i="31"/>
  <c r="I24" i="14"/>
  <c r="D41" i="31" s="1"/>
  <c r="C64" i="31"/>
  <c r="F38" i="22"/>
  <c r="K31" i="16"/>
  <c r="D64" i="31" s="1"/>
  <c r="D51" i="20"/>
  <c r="L38" i="17"/>
  <c r="C40" i="31"/>
  <c r="K23" i="16"/>
  <c r="D40" i="31" s="1"/>
  <c r="F30" i="22"/>
  <c r="L11" i="17"/>
  <c r="H27" i="14"/>
  <c r="L23" i="17"/>
  <c r="C15" i="54"/>
  <c r="K15" i="38"/>
  <c r="D15" i="54" s="1"/>
  <c r="E22" i="45"/>
  <c r="D39" i="43"/>
  <c r="J26" i="40"/>
  <c r="C75" i="54"/>
  <c r="K35" i="38"/>
  <c r="D75" i="54" s="1"/>
  <c r="E42" i="45"/>
  <c r="C83" i="54"/>
  <c r="D45" i="45"/>
  <c r="I45" i="45" s="1"/>
  <c r="I38" i="37"/>
  <c r="D83" i="54" s="1"/>
  <c r="D44" i="43"/>
  <c r="J31" i="40"/>
  <c r="H16" i="37"/>
  <c r="C23" i="54"/>
  <c r="D25" i="45"/>
  <c r="I18" i="37"/>
  <c r="D23" i="54" s="1"/>
  <c r="F28" i="44"/>
  <c r="H24" i="43"/>
  <c r="H42" i="40"/>
  <c r="F20" i="43"/>
  <c r="H36" i="37"/>
  <c r="J22" i="38"/>
  <c r="D52" i="43"/>
  <c r="J39" i="40"/>
  <c r="J29" i="40"/>
  <c r="D42" i="43"/>
  <c r="J24" i="16"/>
  <c r="J27" i="16"/>
  <c r="J25" i="15"/>
  <c r="H34" i="14"/>
  <c r="L24" i="17"/>
  <c r="D37" i="20"/>
  <c r="D27" i="20"/>
  <c r="L14" i="17"/>
  <c r="J21" i="16"/>
  <c r="J33" i="16"/>
  <c r="D42" i="17"/>
  <c r="H37" i="14"/>
  <c r="D40" i="20"/>
  <c r="L27" i="17"/>
  <c r="H32" i="39"/>
  <c r="D67" i="54" s="1"/>
  <c r="F39" i="45"/>
  <c r="C67" i="54"/>
  <c r="D38" i="45"/>
  <c r="C62" i="54"/>
  <c r="I31" i="37"/>
  <c r="D62" i="54" s="1"/>
  <c r="F26" i="45"/>
  <c r="H19" i="39"/>
  <c r="D28" i="54" s="1"/>
  <c r="C28" i="54"/>
  <c r="C25" i="54"/>
  <c r="F25" i="45"/>
  <c r="H18" i="39"/>
  <c r="D25" i="54" s="1"/>
  <c r="C8" i="54"/>
  <c r="D20" i="45"/>
  <c r="I13" i="37"/>
  <c r="D8" i="54" s="1"/>
  <c r="H15" i="37"/>
  <c r="J21" i="38"/>
  <c r="E43" i="45"/>
  <c r="C78" i="54"/>
  <c r="K36" i="38"/>
  <c r="D78" i="54" s="1"/>
  <c r="D43" i="43"/>
  <c r="J30" i="40"/>
  <c r="J22" i="40"/>
  <c r="C70" i="54"/>
  <c r="H33" i="39"/>
  <c r="D70" i="54" s="1"/>
  <c r="F40" i="45"/>
  <c r="E40" i="45"/>
  <c r="C69" i="54"/>
  <c r="K33" i="38"/>
  <c r="D69" i="54" s="1"/>
  <c r="F31" i="45"/>
  <c r="H24" i="39"/>
  <c r="D43" i="54" s="1"/>
  <c r="C43" i="54"/>
  <c r="J19" i="40"/>
  <c r="F36" i="45"/>
  <c r="H29" i="39"/>
  <c r="D58" i="54" s="1"/>
  <c r="C58" i="54"/>
  <c r="J40" i="40"/>
  <c r="J16" i="40"/>
  <c r="D29" i="43"/>
  <c r="J25" i="38"/>
  <c r="C48" i="54"/>
  <c r="E33" i="45"/>
  <c r="K26" i="38"/>
  <c r="D48" i="54" s="1"/>
  <c r="J34" i="16"/>
  <c r="J33" i="15"/>
  <c r="J23" i="15"/>
  <c r="J16" i="16"/>
  <c r="J37" i="16"/>
  <c r="H13" i="14"/>
  <c r="H35" i="14"/>
  <c r="L34" i="17"/>
  <c r="D47" i="20"/>
  <c r="D21" i="22"/>
  <c r="I21" i="22" s="1"/>
  <c r="C11" i="31"/>
  <c r="I14" i="14"/>
  <c r="D11" i="31" s="1"/>
  <c r="J18" i="15"/>
  <c r="I24" i="20"/>
  <c r="G28" i="21"/>
  <c r="I42" i="17"/>
  <c r="G20" i="20"/>
  <c r="D50" i="20"/>
  <c r="L37" i="17"/>
  <c r="L16" i="17"/>
  <c r="G46" i="45" l="1"/>
  <c r="H46" i="45" s="1"/>
  <c r="K39" i="40"/>
  <c r="K52" i="43" s="1"/>
  <c r="J52" i="43"/>
  <c r="J39" i="43"/>
  <c r="K26" i="40"/>
  <c r="K39" i="43" s="1"/>
  <c r="G33" i="45"/>
  <c r="H33" i="45" s="1"/>
  <c r="M32" i="17"/>
  <c r="M45" i="20" s="1"/>
  <c r="L45" i="20"/>
  <c r="G39" i="22"/>
  <c r="H39" i="22" s="1"/>
  <c r="E38" i="45"/>
  <c r="I38" i="45" s="1"/>
  <c r="C63" i="54"/>
  <c r="K31" i="38"/>
  <c r="D63" i="54" s="1"/>
  <c r="G19" i="22"/>
  <c r="H19" i="22" s="1"/>
  <c r="L25" i="20"/>
  <c r="M12" i="17"/>
  <c r="M25" i="20" s="1"/>
  <c r="C61" i="31"/>
  <c r="F37" i="22"/>
  <c r="K30" i="16"/>
  <c r="D61" i="31" s="1"/>
  <c r="E18" i="45"/>
  <c r="J19" i="44"/>
  <c r="C3" i="54"/>
  <c r="K11" i="38"/>
  <c r="C6" i="54"/>
  <c r="K12" i="38"/>
  <c r="D6" i="54" s="1"/>
  <c r="E19" i="45"/>
  <c r="C4" i="31"/>
  <c r="F18" i="22"/>
  <c r="I24" i="21"/>
  <c r="K11" i="16"/>
  <c r="F26" i="22"/>
  <c r="C28" i="31"/>
  <c r="K19" i="16"/>
  <c r="D28" i="31" s="1"/>
  <c r="C54" i="54"/>
  <c r="E35" i="45"/>
  <c r="K28" i="38"/>
  <c r="D54" i="54" s="1"/>
  <c r="G38" i="45"/>
  <c r="H38" i="45" s="1"/>
  <c r="J44" i="43"/>
  <c r="K31" i="40"/>
  <c r="K44" i="43" s="1"/>
  <c r="F41" i="22"/>
  <c r="C73" i="31"/>
  <c r="K34" i="16"/>
  <c r="D73" i="31" s="1"/>
  <c r="L27" i="20"/>
  <c r="M14" i="17"/>
  <c r="M27" i="20" s="1"/>
  <c r="G21" i="22"/>
  <c r="H21" i="22" s="1"/>
  <c r="L29" i="20"/>
  <c r="M16" i="17"/>
  <c r="M29" i="20" s="1"/>
  <c r="G23" i="22"/>
  <c r="H23" i="22" s="1"/>
  <c r="K19" i="40"/>
  <c r="K32" i="43" s="1"/>
  <c r="J32" i="43"/>
  <c r="G26" i="45"/>
  <c r="H26" i="45" s="1"/>
  <c r="G29" i="45"/>
  <c r="H29" i="45" s="1"/>
  <c r="K22" i="40"/>
  <c r="K35" i="43" s="1"/>
  <c r="J35" i="43"/>
  <c r="D23" i="45"/>
  <c r="I23" i="45" s="1"/>
  <c r="I16" i="37"/>
  <c r="D17" i="54" s="1"/>
  <c r="C17" i="54"/>
  <c r="L51" i="20"/>
  <c r="G45" i="22"/>
  <c r="H45" i="22" s="1"/>
  <c r="M38" i="17"/>
  <c r="M51" i="20" s="1"/>
  <c r="E20" i="45"/>
  <c r="I20" i="45" s="1"/>
  <c r="C9" i="54"/>
  <c r="K13" i="38"/>
  <c r="D9" i="54" s="1"/>
  <c r="K16" i="15"/>
  <c r="D18" i="31" s="1"/>
  <c r="C18" i="31"/>
  <c r="E23" i="22"/>
  <c r="D47" i="22"/>
  <c r="C89" i="31"/>
  <c r="I40" i="14"/>
  <c r="D89" i="31" s="1"/>
  <c r="C66" i="54"/>
  <c r="K32" i="38"/>
  <c r="D66" i="54" s="1"/>
  <c r="E39" i="45"/>
  <c r="E31" i="45"/>
  <c r="K24" i="38"/>
  <c r="D42" i="54" s="1"/>
  <c r="C42" i="54"/>
  <c r="I14" i="44"/>
  <c r="D2" i="54"/>
  <c r="C54" i="31"/>
  <c r="E35" i="22"/>
  <c r="K28" i="15"/>
  <c r="D54" i="31" s="1"/>
  <c r="I39" i="45"/>
  <c r="E46" i="45"/>
  <c r="C87" i="54"/>
  <c r="K39" i="38"/>
  <c r="D87" i="54" s="1"/>
  <c r="I27" i="22"/>
  <c r="I21" i="45"/>
  <c r="E18" i="22"/>
  <c r="K11" i="15"/>
  <c r="I19" i="21"/>
  <c r="C3" i="31"/>
  <c r="K25" i="40"/>
  <c r="K38" i="43" s="1"/>
  <c r="G32" i="45"/>
  <c r="H32" i="45" s="1"/>
  <c r="J38" i="43"/>
  <c r="K32" i="15"/>
  <c r="D66" i="31" s="1"/>
  <c r="E39" i="22"/>
  <c r="C66" i="31"/>
  <c r="C20" i="31"/>
  <c r="D24" i="22"/>
  <c r="I17" i="14"/>
  <c r="D20" i="31" s="1"/>
  <c r="E29" i="22"/>
  <c r="C36" i="31"/>
  <c r="K22" i="15"/>
  <c r="D36" i="31" s="1"/>
  <c r="M34" i="17"/>
  <c r="M47" i="20" s="1"/>
  <c r="G41" i="22"/>
  <c r="H41" i="22" s="1"/>
  <c r="L47" i="20"/>
  <c r="G31" i="22"/>
  <c r="H31" i="22" s="1"/>
  <c r="L37" i="20"/>
  <c r="M24" i="17"/>
  <c r="M37" i="20" s="1"/>
  <c r="D43" i="45"/>
  <c r="I43" i="45" s="1"/>
  <c r="C77" i="54"/>
  <c r="I36" i="37"/>
  <c r="D77" i="54" s="1"/>
  <c r="C76" i="31"/>
  <c r="F42" i="22"/>
  <c r="K35" i="16"/>
  <c r="D76" i="31" s="1"/>
  <c r="I32" i="45"/>
  <c r="G28" i="22"/>
  <c r="H28" i="22" s="1"/>
  <c r="L34" i="20"/>
  <c r="M21" i="17"/>
  <c r="M34" i="20" s="1"/>
  <c r="G22" i="22"/>
  <c r="H22" i="22" s="1"/>
  <c r="L28" i="20"/>
  <c r="M15" i="17"/>
  <c r="M28" i="20" s="1"/>
  <c r="C32" i="31"/>
  <c r="D28" i="22"/>
  <c r="I21" i="14"/>
  <c r="D32" i="31" s="1"/>
  <c r="D4" i="54"/>
  <c r="F24" i="44"/>
  <c r="G41" i="45"/>
  <c r="H41" i="45" s="1"/>
  <c r="J47" i="43"/>
  <c r="K34" i="40"/>
  <c r="K47" i="43" s="1"/>
  <c r="M33" i="17"/>
  <c r="M46" i="20" s="1"/>
  <c r="L46" i="20"/>
  <c r="G40" i="22"/>
  <c r="H40" i="22" s="1"/>
  <c r="I38" i="22"/>
  <c r="C21" i="54"/>
  <c r="E24" i="45"/>
  <c r="I24" i="45" s="1"/>
  <c r="K17" i="38"/>
  <c r="D21" i="54" s="1"/>
  <c r="C67" i="31"/>
  <c r="K32" i="16"/>
  <c r="D67" i="31" s="1"/>
  <c r="F39" i="22"/>
  <c r="G44" i="45"/>
  <c r="H44" i="45" s="1"/>
  <c r="J50" i="43"/>
  <c r="K37" i="40"/>
  <c r="K50" i="43" s="1"/>
  <c r="C2" i="31"/>
  <c r="D18" i="22"/>
  <c r="I18" i="22" s="1"/>
  <c r="I11" i="14"/>
  <c r="H14" i="21"/>
  <c r="C45" i="54"/>
  <c r="K25" i="38"/>
  <c r="D45" i="54" s="1"/>
  <c r="E32" i="45"/>
  <c r="G34" i="22"/>
  <c r="H34" i="22" s="1"/>
  <c r="M27" i="17"/>
  <c r="M40" i="20" s="1"/>
  <c r="L40" i="20"/>
  <c r="D41" i="22"/>
  <c r="I41" i="22" s="1"/>
  <c r="C71" i="31"/>
  <c r="I34" i="14"/>
  <c r="D71" i="31" s="1"/>
  <c r="L32" i="20"/>
  <c r="M19" i="17"/>
  <c r="M32" i="20" s="1"/>
  <c r="G26" i="22"/>
  <c r="H26" i="22" s="1"/>
  <c r="C88" i="31"/>
  <c r="F46" i="22"/>
  <c r="K39" i="16"/>
  <c r="D88" i="31" s="1"/>
  <c r="G34" i="45"/>
  <c r="H34" i="45" s="1"/>
  <c r="J40" i="43"/>
  <c r="K27" i="40"/>
  <c r="K40" i="43" s="1"/>
  <c r="G18" i="45"/>
  <c r="H18" i="45" s="1"/>
  <c r="C14" i="43"/>
  <c r="F13" i="45"/>
  <c r="H28" i="44"/>
  <c r="D13" i="45"/>
  <c r="B13" i="45"/>
  <c r="C16" i="43"/>
  <c r="J42" i="40"/>
  <c r="J24" i="43"/>
  <c r="K11" i="40"/>
  <c r="H11" i="7"/>
  <c r="G11" i="7"/>
  <c r="G22" i="45"/>
  <c r="H22" i="45" s="1"/>
  <c r="J28" i="43"/>
  <c r="K15" i="40"/>
  <c r="K28" i="43" s="1"/>
  <c r="I37" i="22"/>
  <c r="I18" i="45"/>
  <c r="I31" i="45"/>
  <c r="C60" i="31"/>
  <c r="E37" i="22"/>
  <c r="K30" i="15"/>
  <c r="D60" i="31" s="1"/>
  <c r="C91" i="31"/>
  <c r="K40" i="16"/>
  <c r="D91" i="31" s="1"/>
  <c r="F47" i="22"/>
  <c r="J43" i="43"/>
  <c r="K30" i="40"/>
  <c r="K43" i="43" s="1"/>
  <c r="G37" i="45"/>
  <c r="H37" i="45" s="1"/>
  <c r="E32" i="22"/>
  <c r="I32" i="22" s="1"/>
  <c r="C45" i="31"/>
  <c r="K25" i="15"/>
  <c r="D45" i="31" s="1"/>
  <c r="M23" i="17"/>
  <c r="M36" i="20" s="1"/>
  <c r="L36" i="20"/>
  <c r="G30" i="22"/>
  <c r="H30" i="22" s="1"/>
  <c r="C86" i="54"/>
  <c r="D46" i="45"/>
  <c r="I46" i="45" s="1"/>
  <c r="I39" i="37"/>
  <c r="D86" i="54" s="1"/>
  <c r="I32" i="14"/>
  <c r="D65" i="31" s="1"/>
  <c r="D39" i="22"/>
  <c r="I39" i="22" s="1"/>
  <c r="C65" i="31"/>
  <c r="C27" i="31"/>
  <c r="E26" i="22"/>
  <c r="I26" i="22" s="1"/>
  <c r="K19" i="15"/>
  <c r="D27" i="31" s="1"/>
  <c r="M26" i="17"/>
  <c r="M39" i="20" s="1"/>
  <c r="G33" i="22"/>
  <c r="H33" i="22" s="1"/>
  <c r="L39" i="20"/>
  <c r="G38" i="22"/>
  <c r="H38" i="22" s="1"/>
  <c r="L44" i="20"/>
  <c r="M31" i="17"/>
  <c r="M44" i="20" s="1"/>
  <c r="I35" i="22"/>
  <c r="C14" i="31"/>
  <c r="D22" i="22"/>
  <c r="I22" i="22" s="1"/>
  <c r="I15" i="14"/>
  <c r="D14" i="31" s="1"/>
  <c r="G39" i="45"/>
  <c r="H39" i="45" s="1"/>
  <c r="K32" i="40"/>
  <c r="K45" i="43" s="1"/>
  <c r="J45" i="43"/>
  <c r="M35" i="17"/>
  <c r="M48" i="20" s="1"/>
  <c r="G42" i="22"/>
  <c r="H42" i="22" s="1"/>
  <c r="L48" i="20"/>
  <c r="I34" i="45"/>
  <c r="C74" i="31"/>
  <c r="D42" i="22"/>
  <c r="I42" i="22" s="1"/>
  <c r="I35" i="14"/>
  <c r="D74" i="31" s="1"/>
  <c r="C8" i="31"/>
  <c r="D20" i="22"/>
  <c r="I13" i="14"/>
  <c r="D8" i="31" s="1"/>
  <c r="C82" i="31"/>
  <c r="K37" i="16"/>
  <c r="D82" i="31" s="1"/>
  <c r="F44" i="22"/>
  <c r="J29" i="43"/>
  <c r="K16" i="40"/>
  <c r="K29" i="43" s="1"/>
  <c r="G23" i="45"/>
  <c r="H23" i="45" s="1"/>
  <c r="C80" i="31"/>
  <c r="D44" i="22"/>
  <c r="I37" i="14"/>
  <c r="D80" i="31" s="1"/>
  <c r="C52" i="31"/>
  <c r="K27" i="16"/>
  <c r="D52" i="31" s="1"/>
  <c r="F34" i="22"/>
  <c r="C50" i="31"/>
  <c r="D34" i="22"/>
  <c r="I27" i="14"/>
  <c r="D50" i="31" s="1"/>
  <c r="L52" i="20"/>
  <c r="G46" i="22"/>
  <c r="H46" i="22" s="1"/>
  <c r="M39" i="17"/>
  <c r="M52" i="20" s="1"/>
  <c r="C49" i="31"/>
  <c r="F33" i="22"/>
  <c r="K26" i="16"/>
  <c r="D49" i="31" s="1"/>
  <c r="G36" i="22"/>
  <c r="H36" i="22" s="1"/>
  <c r="M29" i="17"/>
  <c r="M42" i="20" s="1"/>
  <c r="L42" i="20"/>
  <c r="C81" i="54"/>
  <c r="E44" i="45"/>
  <c r="I44" i="45" s="1"/>
  <c r="K37" i="38"/>
  <c r="D81" i="54" s="1"/>
  <c r="C77" i="31"/>
  <c r="I36" i="14"/>
  <c r="D77" i="31" s="1"/>
  <c r="D43" i="22"/>
  <c r="I43" i="22" s="1"/>
  <c r="I22" i="14"/>
  <c r="D35" i="31" s="1"/>
  <c r="C35" i="31"/>
  <c r="D29" i="22"/>
  <c r="I29" i="22" s="1"/>
  <c r="L33" i="20"/>
  <c r="G27" i="22"/>
  <c r="H27" i="22" s="1"/>
  <c r="M20" i="17"/>
  <c r="M33" i="20" s="1"/>
  <c r="G21" i="45"/>
  <c r="H21" i="45" s="1"/>
  <c r="K14" i="40"/>
  <c r="K27" i="43" s="1"/>
  <c r="J27" i="43"/>
  <c r="G31" i="45"/>
  <c r="H31" i="45" s="1"/>
  <c r="K24" i="40"/>
  <c r="K37" i="43" s="1"/>
  <c r="J37" i="43"/>
  <c r="M37" i="17"/>
  <c r="M50" i="20" s="1"/>
  <c r="L50" i="20"/>
  <c r="G44" i="22"/>
  <c r="H44" i="22" s="1"/>
  <c r="C36" i="54"/>
  <c r="K22" i="38"/>
  <c r="D36" i="54" s="1"/>
  <c r="E29" i="45"/>
  <c r="I29" i="45" s="1"/>
  <c r="C19" i="31"/>
  <c r="F23" i="22"/>
  <c r="I23" i="22" s="1"/>
  <c r="K16" i="16"/>
  <c r="D19" i="31" s="1"/>
  <c r="K40" i="40"/>
  <c r="K53" i="43" s="1"/>
  <c r="J53" i="43"/>
  <c r="G47" i="45"/>
  <c r="H47" i="45" s="1"/>
  <c r="E28" i="45"/>
  <c r="C33" i="54"/>
  <c r="K21" i="38"/>
  <c r="D33" i="54" s="1"/>
  <c r="F31" i="22"/>
  <c r="K24" i="16"/>
  <c r="D43" i="31" s="1"/>
  <c r="C43" i="31"/>
  <c r="G18" i="22"/>
  <c r="H18" i="22" s="1"/>
  <c r="F13" i="22"/>
  <c r="D13" i="22"/>
  <c r="J28" i="21"/>
  <c r="B13" i="22"/>
  <c r="C16" i="20"/>
  <c r="C14" i="20"/>
  <c r="L42" i="17"/>
  <c r="M11" i="17"/>
  <c r="L24" i="20"/>
  <c r="G10" i="7"/>
  <c r="G12" i="7" s="1"/>
  <c r="H10" i="7"/>
  <c r="H12" i="7" s="1"/>
  <c r="C79" i="31"/>
  <c r="F43" i="22"/>
  <c r="K36" i="16"/>
  <c r="D79" i="31" s="1"/>
  <c r="I19" i="45"/>
  <c r="C74" i="54"/>
  <c r="D42" i="45"/>
  <c r="I42" i="45" s="1"/>
  <c r="I35" i="37"/>
  <c r="D74" i="54" s="1"/>
  <c r="G43" i="22"/>
  <c r="H43" i="22" s="1"/>
  <c r="M36" i="17"/>
  <c r="M49" i="20" s="1"/>
  <c r="L49" i="20"/>
  <c r="G28" i="45"/>
  <c r="H28" i="45" s="1"/>
  <c r="J34" i="43"/>
  <c r="K21" i="40"/>
  <c r="K34" i="43" s="1"/>
  <c r="I40" i="45"/>
  <c r="L31" i="20"/>
  <c r="M18" i="17"/>
  <c r="M31" i="20" s="1"/>
  <c r="G25" i="22"/>
  <c r="H25" i="22" s="1"/>
  <c r="G24" i="22"/>
  <c r="H24" i="22" s="1"/>
  <c r="L30" i="20"/>
  <c r="M17" i="17"/>
  <c r="M30" i="20" s="1"/>
  <c r="L26" i="20"/>
  <c r="G20" i="22"/>
  <c r="H20" i="22" s="1"/>
  <c r="M13" i="17"/>
  <c r="M26" i="20" s="1"/>
  <c r="J49" i="43"/>
  <c r="K36" i="40"/>
  <c r="K49" i="43" s="1"/>
  <c r="G43" i="45"/>
  <c r="H43" i="45" s="1"/>
  <c r="F35" i="22"/>
  <c r="K28" i="16"/>
  <c r="D55" i="31" s="1"/>
  <c r="C55" i="31"/>
  <c r="C24" i="31"/>
  <c r="K18" i="15"/>
  <c r="D24" i="31" s="1"/>
  <c r="E25" i="22"/>
  <c r="I25" i="22" s="1"/>
  <c r="C39" i="31"/>
  <c r="E30" i="22"/>
  <c r="I30" i="22" s="1"/>
  <c r="K23" i="15"/>
  <c r="D39" i="31" s="1"/>
  <c r="C14" i="54"/>
  <c r="D22" i="45"/>
  <c r="I22" i="45" s="1"/>
  <c r="I15" i="37"/>
  <c r="D14" i="54" s="1"/>
  <c r="C70" i="31"/>
  <c r="K33" i="16"/>
  <c r="D70" i="31" s="1"/>
  <c r="F40" i="22"/>
  <c r="I31" i="22"/>
  <c r="M25" i="17"/>
  <c r="M38" i="20" s="1"/>
  <c r="G32" i="22"/>
  <c r="H32" i="22" s="1"/>
  <c r="L38" i="20"/>
  <c r="M22" i="17"/>
  <c r="M35" i="20" s="1"/>
  <c r="L35" i="20"/>
  <c r="G29" i="22"/>
  <c r="H29" i="22" s="1"/>
  <c r="I37" i="45"/>
  <c r="G35" i="45"/>
  <c r="H35" i="45" s="1"/>
  <c r="J41" i="43"/>
  <c r="K28" i="40"/>
  <c r="K41" i="43" s="1"/>
  <c r="I33" i="22"/>
  <c r="I28" i="45"/>
  <c r="I27" i="45"/>
  <c r="C9" i="31"/>
  <c r="K13" i="15"/>
  <c r="D9" i="31" s="1"/>
  <c r="E20" i="22"/>
  <c r="E28" i="22"/>
  <c r="K21" i="15"/>
  <c r="D33" i="31" s="1"/>
  <c r="C33" i="31"/>
  <c r="I41" i="45"/>
  <c r="I26" i="45"/>
  <c r="L53" i="20"/>
  <c r="G47" i="22"/>
  <c r="H47" i="22" s="1"/>
  <c r="M40" i="17"/>
  <c r="M53" i="20" s="1"/>
  <c r="C69" i="31"/>
  <c r="E40" i="22"/>
  <c r="I40" i="22" s="1"/>
  <c r="K33" i="15"/>
  <c r="D69" i="31" s="1"/>
  <c r="C34" i="31"/>
  <c r="F28" i="22"/>
  <c r="K21" i="16"/>
  <c r="D34" i="31" s="1"/>
  <c r="K29" i="40"/>
  <c r="K42" i="43" s="1"/>
  <c r="G36" i="45"/>
  <c r="H36" i="45" s="1"/>
  <c r="J42" i="43"/>
  <c r="I25" i="45"/>
  <c r="C22" i="31"/>
  <c r="K17" i="16"/>
  <c r="D22" i="31" s="1"/>
  <c r="F24" i="22"/>
  <c r="I46" i="22"/>
  <c r="D33" i="45"/>
  <c r="I33" i="45" s="1"/>
  <c r="I26" i="37"/>
  <c r="D47" i="54" s="1"/>
  <c r="C47" i="54"/>
  <c r="J26" i="43"/>
  <c r="G20" i="45"/>
  <c r="H20" i="45" s="1"/>
  <c r="K13" i="40"/>
  <c r="K26" i="43" s="1"/>
  <c r="J36" i="43"/>
  <c r="G30" i="45"/>
  <c r="H30" i="45" s="1"/>
  <c r="K23" i="40"/>
  <c r="K36" i="43" s="1"/>
  <c r="L41" i="20"/>
  <c r="G35" i="22"/>
  <c r="H35" i="22" s="1"/>
  <c r="M28" i="17"/>
  <c r="M41" i="20" s="1"/>
  <c r="L43" i="20"/>
  <c r="M30" i="17"/>
  <c r="M43" i="20" s="1"/>
  <c r="G37" i="22"/>
  <c r="H37" i="22" s="1"/>
  <c r="E47" i="22"/>
  <c r="C90" i="31"/>
  <c r="K40" i="15"/>
  <c r="D90" i="31" s="1"/>
  <c r="G24" i="45"/>
  <c r="H24" i="45" s="1"/>
  <c r="J30" i="43"/>
  <c r="K17" i="40"/>
  <c r="K30" i="43" s="1"/>
  <c r="K35" i="40"/>
  <c r="K48" i="43" s="1"/>
  <c r="G42" i="45"/>
  <c r="H42" i="45" s="1"/>
  <c r="J48" i="43"/>
  <c r="I35" i="45"/>
  <c r="C90" i="54"/>
  <c r="K40" i="38"/>
  <c r="D90" i="54" s="1"/>
  <c r="E47" i="45"/>
  <c r="I47" i="45" s="1"/>
  <c r="C37" i="31"/>
  <c r="K22" i="16"/>
  <c r="D37" i="31" s="1"/>
  <c r="F29" i="22"/>
  <c r="F10" i="45" l="1"/>
  <c r="I28" i="44"/>
  <c r="K24" i="43"/>
  <c r="K42" i="40"/>
  <c r="D10" i="45"/>
  <c r="C13" i="43"/>
  <c r="C12" i="43"/>
  <c r="C11" i="43"/>
  <c r="I11" i="7"/>
  <c r="F11" i="7"/>
  <c r="E11" i="7"/>
  <c r="I12" i="7" s="1"/>
  <c r="D2" i="31"/>
  <c r="I14" i="21"/>
  <c r="I47" i="22"/>
  <c r="I28" i="22"/>
  <c r="C13" i="20"/>
  <c r="C11" i="20"/>
  <c r="K28" i="21"/>
  <c r="M42" i="17"/>
  <c r="F10" i="22"/>
  <c r="D10" i="22"/>
  <c r="M24" i="20"/>
  <c r="C12" i="20"/>
  <c r="F10" i="7"/>
  <c r="E10" i="7"/>
  <c r="E12" i="7" s="1"/>
  <c r="I10" i="7"/>
  <c r="I20" i="22"/>
  <c r="I44" i="22"/>
  <c r="K19" i="44"/>
  <c r="D3" i="54"/>
  <c r="I34" i="22"/>
  <c r="I24" i="22"/>
  <c r="D3" i="31"/>
  <c r="J19" i="21"/>
  <c r="D4" i="31"/>
  <c r="J24" i="21"/>
  <c r="F12" i="7" l="1"/>
</calcChain>
</file>

<file path=xl/sharedStrings.xml><?xml version="1.0" encoding="utf-8"?>
<sst xmlns="http://schemas.openxmlformats.org/spreadsheetml/2006/main" count="3145" uniqueCount="932">
  <si>
    <t>EvalFP — Cuaderno del Profesor</t>
  </si>
  <si>
    <t>Motor de Evaluación Relacional para Formación Profesional · v2.0</t>
  </si>
  <si>
    <t>🏠 Inicio</t>
  </si>
  <si>
    <t>📌  Información del Módulo</t>
  </si>
  <si>
    <t>Módulo</t>
  </si>
  <si>
    <t>Implantación de Sistemas Operativos (ISO)</t>
  </si>
  <si>
    <t>Código</t>
  </si>
  <si>
    <t>0369</t>
  </si>
  <si>
    <t>Ciclo</t>
  </si>
  <si>
    <t>Administración de Sistemas Informáticos en Red (ASIR)</t>
  </si>
  <si>
    <t>Curso</t>
  </si>
  <si>
    <t>1º ASIR</t>
  </si>
  <si>
    <t>Año académico</t>
  </si>
  <si>
    <t>2026-2027</t>
  </si>
  <si>
    <t>Horas semanales</t>
  </si>
  <si>
    <t>6 h/sem</t>
  </si>
  <si>
    <t>Total horas</t>
  </si>
  <si>
    <t>186 h</t>
  </si>
  <si>
    <t>Evaluaciones</t>
  </si>
  <si>
    <t>3 evaluaciones</t>
  </si>
  <si>
    <t>📊  Ponderación de Resultados de Aprendizaje</t>
  </si>
  <si>
    <t>RA</t>
  </si>
  <si>
    <t>Resultado de Aprendizaje</t>
  </si>
  <si>
    <t>Pond. %</t>
  </si>
  <si>
    <t>Horas equiv.</t>
  </si>
  <si>
    <t>CEs</t>
  </si>
  <si>
    <t>RA1</t>
  </si>
  <si>
    <t>Instala sistemas operativos, relacionando sus características con el hardware de</t>
  </si>
  <si>
    <t>13%</t>
  </si>
  <si>
    <t>24.0 h</t>
  </si>
  <si>
    <t>8</t>
  </si>
  <si>
    <t>RA2</t>
  </si>
  <si>
    <t>Gestiona el software de base, aplicando criterios de explotación del sistema.</t>
  </si>
  <si>
    <t>19%</t>
  </si>
  <si>
    <t>35.3 h</t>
  </si>
  <si>
    <t>19</t>
  </si>
  <si>
    <t>RA3</t>
  </si>
  <si>
    <t xml:space="preserve">Asegura y recupera el sistema, aplicando procedimientos de administración de la </t>
  </si>
  <si>
    <t>9%</t>
  </si>
  <si>
    <t>16.0 h</t>
  </si>
  <si>
    <t>RA4</t>
  </si>
  <si>
    <t>Gestiona dominios, elaborando el modelo lógico de la red en un entorno de trabaj</t>
  </si>
  <si>
    <t>16%</t>
  </si>
  <si>
    <t>30.0 h</t>
  </si>
  <si>
    <t>RA5</t>
  </si>
  <si>
    <t>Administra el acceso al dominio, gestionando servidores de directorio y verifica</t>
  </si>
  <si>
    <t>24.1 h</t>
  </si>
  <si>
    <t>RA6</t>
  </si>
  <si>
    <t>Supervisa el rendimiento del sistema, diagnosticando las causas de pérdidas de r</t>
  </si>
  <si>
    <t>12%</t>
  </si>
  <si>
    <t>22.0 h</t>
  </si>
  <si>
    <t>10</t>
  </si>
  <si>
    <t>RA7</t>
  </si>
  <si>
    <t xml:space="preserve">Aplica directivas de seguridad y gestiona auditorías, interpretando y aplicando </t>
  </si>
  <si>
    <t>24.6 h</t>
  </si>
  <si>
    <t>9</t>
  </si>
  <si>
    <t>RA8</t>
  </si>
  <si>
    <t>Establece la conexión en red de los sistemas informáticos, configurando disposit</t>
  </si>
  <si>
    <t>5%</t>
  </si>
  <si>
    <t>10.0 h</t>
  </si>
  <si>
    <t>📅  Unidades de Trabajo por Evaluación</t>
  </si>
  <si>
    <t>UT</t>
  </si>
  <si>
    <t>Título</t>
  </si>
  <si>
    <t>Horas</t>
  </si>
  <si>
    <t>% Total</t>
  </si>
  <si>
    <t>Evaluación</t>
  </si>
  <si>
    <t>UT1</t>
  </si>
  <si>
    <t>Instalación de software libre y propietario</t>
  </si>
  <si>
    <t>30h</t>
  </si>
  <si>
    <t>16.1%</t>
  </si>
  <si>
    <t>Evaluación 1</t>
  </si>
  <si>
    <t>UT2</t>
  </si>
  <si>
    <t>Administración de software base</t>
  </si>
  <si>
    <t>25h</t>
  </si>
  <si>
    <t>13.4%</t>
  </si>
  <si>
    <t>UT3</t>
  </si>
  <si>
    <t>Administración y aseguramiento de la información</t>
  </si>
  <si>
    <t>22h</t>
  </si>
  <si>
    <t>11.8%</t>
  </si>
  <si>
    <t>Evaluación 2</t>
  </si>
  <si>
    <t>UT4</t>
  </si>
  <si>
    <t>Gestión de dominios</t>
  </si>
  <si>
    <t>UT5</t>
  </si>
  <si>
    <t>Administración de acceso al dominio</t>
  </si>
  <si>
    <t>UT6</t>
  </si>
  <si>
    <t>Supervisión del rendimiento del sistema</t>
  </si>
  <si>
    <t>Evaluación 3</t>
  </si>
  <si>
    <t>UT7</t>
  </si>
  <si>
    <t>Directivas de seguridad y auditorías</t>
  </si>
  <si>
    <t>UT8</t>
  </si>
  <si>
    <t>Resolución de incidencias y asistencia técnica</t>
  </si>
  <si>
    <t>10h</t>
  </si>
  <si>
    <t>5.4%</t>
  </si>
  <si>
    <t>TOTAL</t>
  </si>
  <si>
    <t>186h</t>
  </si>
  <si>
    <t>100%</t>
  </si>
  <si>
    <t>📚 Mis Módulos — Carga Docente</t>
  </si>
  <si>
    <t>Módulos y grupos gestionados en este cuaderno · EvalFP 2.0</t>
  </si>
  <si>
    <t>📚 Módulos</t>
  </si>
  <si>
    <t xml:space="preserve">  MÓDULOS ACTIVOS — haz clic en el nombre para ir al módulo</t>
  </si>
  <si>
    <t>Abrev.</t>
  </si>
  <si>
    <t>Grupo</t>
  </si>
  <si>
    <t>RAs</t>
  </si>
  <si>
    <t>Evals</t>
  </si>
  <si>
    <t>Ir al Inicio</t>
  </si>
  <si>
    <t>Ir al Dashboard</t>
  </si>
  <si>
    <t>ISO</t>
  </si>
  <si>
    <t>Implantación de Sistemas Operativos</t>
  </si>
  <si>
    <t>1º ASIR-A</t>
  </si>
  <si>
    <t>3</t>
  </si>
  <si>
    <t>PAR</t>
  </si>
  <si>
    <t>Planificación y Administración de Redes</t>
  </si>
  <si>
    <t>155 h</t>
  </si>
  <si>
    <t>6</t>
  </si>
  <si>
    <t>★  Para añadir un módulo, edita TEACHER_MODULES en scripts/teacher_config.py y regenera el libro.</t>
  </si>
  <si>
    <t>⚙️ Configuración</t>
  </si>
  <si>
    <t>Ajustes del curso, motor de evaluación y preferencias del sistema</t>
  </si>
  <si>
    <t>⚙️ Config</t>
  </si>
  <si>
    <t>📚  BLOQUE 1 — Datos del Curso</t>
  </si>
  <si>
    <t>Nombre del módulo</t>
  </si>
  <si>
    <t>✏️ editable</t>
  </si>
  <si>
    <t>Código módulo</t>
  </si>
  <si>
    <t>Ciclo formativo</t>
  </si>
  <si>
    <t>Nombre del profesor/a</t>
  </si>
  <si>
    <t>Grupo/s</t>
  </si>
  <si>
    <t>Centro educativo</t>
  </si>
  <si>
    <t>⚙️  BLOQUE 2 — Motor de Evaluación</t>
  </si>
  <si>
    <t>N.º de evaluaciones</t>
  </si>
  <si>
    <t>Nota mínima aprobado</t>
  </si>
  <si>
    <t>Nota máxima</t>
  </si>
  <si>
    <t>Redondeo</t>
  </si>
  <si>
    <t>0.00 decimales</t>
  </si>
  <si>
    <t>Peso Eval 1  (RA1 13% + RA2 19%)</t>
  </si>
  <si>
    <t>32%</t>
  </si>
  <si>
    <t>Peso Eval 2  (RA3 9% + RA4 16% + RA5 13%)</t>
  </si>
  <si>
    <t>38%</t>
  </si>
  <si>
    <t>Peso Eval 3  (RA6 12% + RA7 13% + RA8 5%)</t>
  </si>
  <si>
    <t>30%</t>
  </si>
  <si>
    <t>Peso examen (teoría)</t>
  </si>
  <si>
    <t>Peso prácticas (actividades)</t>
  </si>
  <si>
    <t>⚠️  Los dos valores deben sumar 100%. Si los cambias, las notas de Reg. Notas se recalculan automáticamente.</t>
  </si>
  <si>
    <t>Recuperación</t>
  </si>
  <si>
    <t>Sí — convocatoria extraordinaria</t>
  </si>
  <si>
    <t>⚠️  PRÁCTICAS EN EMPRESA (2ª EVALUACIÓN): El alumnado realiza 18h de prácticas en empresa durante la 2ª evaluación (3 semanas × 6h/sem). Estas horas afectan únicamente a la temporalización — hay menos tiempo para impartir UT3, UT4 y UT5 — pero NO modifican las ponderaciones curriculares de los RAs.</t>
  </si>
  <si>
    <t>🖨️  BLOQUE 3 — Preferencias del Sistema</t>
  </si>
  <si>
    <t>Formato boletines</t>
  </si>
  <si>
    <t>PDF · 1 por alumno/a</t>
  </si>
  <si>
    <t>Ruta exportación PDF</t>
  </si>
  <si>
    <t>Email destino</t>
  </si>
  <si>
    <t>Logo del centro</t>
  </si>
  <si>
    <t>(no configurado)</t>
  </si>
  <si>
    <t>📖 Biblioteca de Recursos</t>
  </si>
  <si>
    <t>Actividades · Exámenes · Rúbricas — compartidos entre módulos</t>
  </si>
  <si>
    <t>📖 Biblioteca</t>
  </si>
  <si>
    <t xml:space="preserve">  ACTIVIDADES PRÁCTICAS — índice de todos los módulos</t>
  </si>
  <si>
    <t>ID</t>
  </si>
  <si>
    <t>Descripción</t>
  </si>
  <si>
    <t>Instrumento</t>
  </si>
  <si>
    <t>Tags</t>
  </si>
  <si>
    <t>Eval</t>
  </si>
  <si>
    <t>Peso</t>
  </si>
  <si>
    <t>📖 Apuntes</t>
  </si>
  <si>
    <t>A001</t>
  </si>
  <si>
    <t>Instalación de software libre y propietario — práctica RA1</t>
  </si>
  <si>
    <t>🔧 Práctica</t>
  </si>
  <si>
    <t>Linux · Windows Server · Virtualización</t>
  </si>
  <si>
    <t>EV1</t>
  </si>
  <si>
    <t>A002</t>
  </si>
  <si>
    <t>Instalación de software libre y propietario — práctica RA2</t>
  </si>
  <si>
    <t>A003</t>
  </si>
  <si>
    <t>Administración de software base — práctica RA2</t>
  </si>
  <si>
    <t>Usuarios · Red TCP/IP · Registro Windows</t>
  </si>
  <si>
    <t>A004</t>
  </si>
  <si>
    <t>Administración y aseguramiento de la información — práctica RA3</t>
  </si>
  <si>
    <t>Permisos · Backups · RAID</t>
  </si>
  <si>
    <t>EV2</t>
  </si>
  <si>
    <t>A005</t>
  </si>
  <si>
    <t>Gestión de dominios — práctica RA4</t>
  </si>
  <si>
    <t>Active Directory · GPO · Perfiles</t>
  </si>
  <si>
    <t>A006</t>
  </si>
  <si>
    <t>Administración de acceso al dominio — práctica RA5</t>
  </si>
  <si>
    <t>Samba · NFS · NTFS / ACLs POSIX</t>
  </si>
  <si>
    <t>A007</t>
  </si>
  <si>
    <t>Supervisión del rendimiento del sistema — práctica RA6</t>
  </si>
  <si>
    <t>top/htop · Perfmon · journalctl</t>
  </si>
  <si>
    <t>EV3</t>
  </si>
  <si>
    <t>A008</t>
  </si>
  <si>
    <t>Directivas de seguridad y auditorías — práctica RA7</t>
  </si>
  <si>
    <t>secpol.msc · auditd · fail2ban</t>
  </si>
  <si>
    <t>A009</t>
  </si>
  <si>
    <t>Resolución de incidencias y asistencia técnica — práctica RA8</t>
  </si>
  <si>
    <t>WDS/MDT · VPN WireGuard · ITIL</t>
  </si>
  <si>
    <t>EX1</t>
  </si>
  <si>
    <t>RA1, RA2</t>
  </si>
  <si>
    <t>Examen Evaluación 1</t>
  </si>
  <si>
    <t>📝 Examen</t>
  </si>
  <si>
    <t>examen · prueba escrita</t>
  </si>
  <si>
    <t>variable</t>
  </si>
  <si>
    <t>EX2</t>
  </si>
  <si>
    <t>RA3, RA4, RA5</t>
  </si>
  <si>
    <t>Examen Evaluación 2</t>
  </si>
  <si>
    <t>EX3</t>
  </si>
  <si>
    <t>RA6, RA7, RA8</t>
  </si>
  <si>
    <t>Examen Evaluación 3</t>
  </si>
  <si>
    <t>Introducción a las redes locales — práctica RA1</t>
  </si>
  <si>
    <t>OSI · TCP/IP · Ethernet</t>
  </si>
  <si>
    <t>Dispositivos de red y medios de transmisión — práctica RA2</t>
  </si>
  <si>
    <t>Switch · Router · Cableado estructurado</t>
  </si>
  <si>
    <t>Dispositivos de red y medios de transmisión — práctica RA1</t>
  </si>
  <si>
    <t>Configuración y administración de conmutadores — práctica RA3</t>
  </si>
  <si>
    <t>VLANs · STP · Port-security</t>
  </si>
  <si>
    <t>Configuración y administración de routers — práctica RA4</t>
  </si>
  <si>
    <t>OSPF · RIP · NAT · ACLs</t>
  </si>
  <si>
    <t>Configuración de redes inalámbricas — práctica RA5</t>
  </si>
  <si>
    <t>WiFi 6 · WPA3 · RADIUS</t>
  </si>
  <si>
    <t>Configuración de redes inalámbricas — práctica RA4</t>
  </si>
  <si>
    <t>Resolución de incidencias de red — práctica RA6</t>
  </si>
  <si>
    <t>Wireshark · ping · traceroute · SNMP</t>
  </si>
  <si>
    <t xml:space="preserve">  INSTRUCCIONES DE USO</t>
  </si>
  <si>
    <t>• CU13 Buscar actividad: usa Ctrl+F en Excel para buscar por módulo, RA o tag.</t>
  </si>
  <si>
    <t>• CU12 Duplicar actividad: copia la fila y pégala en la hoja Actividades del módulo destino.</t>
  </si>
  <si>
    <t>• CU14 Crear rúbrica: ve a la hoja '{ABREV} · Rúbricas' del módulo correspondiente.</t>
  </si>
  <si>
    <t>• CU05 Crear actividad: añade una fila en esta tabla y en la hoja Actividades del módulo.</t>
  </si>
  <si>
    <t>• 📖 Apuntes: haz clic en 'Ver apunte' para abrir el HTML de la UT en el navegador.</t>
  </si>
  <si>
    <t>• Para añadir un nuevo módulo edita teacher_config.py y regenera el libro.</t>
  </si>
  <si>
    <t>📅 Calendario Académico</t>
  </si>
  <si>
    <t>Exámenes · Entregas · Recuperaciones — Curso 2026-2027</t>
  </si>
  <si>
    <t>📅 Calendario</t>
  </si>
  <si>
    <t xml:space="preserve">  CALENDARIO DE EVENTOS ACADÉMICOS — introduce las fechas manualmente</t>
  </si>
  <si>
    <t>Fecha inicio</t>
  </si>
  <si>
    <t>Fecha fin</t>
  </si>
  <si>
    <t>Tipo</t>
  </si>
  <si>
    <t>Estado</t>
  </si>
  <si>
    <t>★  Introduce los eventos del curso: exámenes, entregas de proyectos y recuperaciones. Usa Ctrl+F para buscar por módulo o grupo.</t>
  </si>
  <si>
    <t>☀️ Panel Diario — Hoy</t>
  </si>
  <si>
    <t>Pendientes · Próximos exámenes · Alumnos en riesgo · Tutorías</t>
  </si>
  <si>
    <t>☀️ Hoy</t>
  </si>
  <si>
    <t>Curso académico 2026-2027</t>
  </si>
  <si>
    <t xml:space="preserve">  MIS MÓDULOS HOY</t>
  </si>
  <si>
    <t>Nombre completo</t>
  </si>
  <si>
    <t>Horas/sem</t>
  </si>
  <si>
    <t>Próx. examen</t>
  </si>
  <si>
    <t>Estado eval</t>
  </si>
  <si>
    <t>→ ver Calendario</t>
  </si>
  <si>
    <t>En curso</t>
  </si>
  <si>
    <t>5 h/sem</t>
  </si>
  <si>
    <t xml:space="preserve">  ⚠️ ALUMNOS EN RIESGO — KPIs por módulo (desde Dashboard)</t>
  </si>
  <si>
    <t>Activos</t>
  </si>
  <si>
    <t>Aptos</t>
  </si>
  <si>
    <t>No Aptos</t>
  </si>
  <si>
    <t>En Riesgo (&lt;4)</t>
  </si>
  <si>
    <t xml:space="preserve">  📝 NOTAS RÁPIDAS DEL DÍA — borra y reescribe cada jornada</t>
  </si>
  <si>
    <t>★  El bloque 'En Riesgo' lee los KPIs directamente desde el Dashboard de cada módulo.</t>
  </si>
  <si>
    <t>📊 Dashboard Global — Curso Completo</t>
  </si>
  <si>
    <t>Estadísticas consolidadas por módulo y grupo · Curso 2026-2027</t>
  </si>
  <si>
    <t>📊 Dashboard+</t>
  </si>
  <si>
    <t xml:space="preserve">  RESUMEN POR MÓDULO — datos en tiempo real desde cada Dashboard</t>
  </si>
  <si>
    <t>Nombre</t>
  </si>
  <si>
    <t>✅ Aptos</t>
  </si>
  <si>
    <t>❌ No Aptos</t>
  </si>
  <si>
    <t>⚠️ En Riesgo</t>
  </si>
  <si>
    <t>Media grupo</t>
  </si>
  <si>
    <t>% Aprobados</t>
  </si>
  <si>
    <t>Planificación y Administración de Rede</t>
  </si>
  <si>
    <t>TOTAL CURSO</t>
  </si>
  <si>
    <t xml:space="preserve">  ACCESOS RÁPIDOS — Dashboards por módulo</t>
  </si>
  <si>
    <t>ISO — 1º ASIR-A</t>
  </si>
  <si>
    <t>PAR — 1º ASIR-A</t>
  </si>
  <si>
    <t>★  Todos los indicadores se calculan automáticamente desde las hojas 1ªORD y Alumnos de cada módulo.</t>
  </si>
  <si>
    <t>EvalFP — Asistente IA (Sprint 2.6)</t>
  </si>
  <si>
    <t>Generación de contenido pedagógico asistido por IA</t>
  </si>
  <si>
    <t>────────────────────────────────────────────────────────────</t>
  </si>
  <si>
    <t>¿Qué genera?</t>
  </si>
  <si>
    <t>Descriptores de rúbrica · Propuestas de actividades · Informes individuales</t>
  </si>
  <si>
    <t>Script</t>
  </si>
  <si>
    <t>scripts/ai_asistente.py</t>
  </si>
  <si>
    <t>Dependencia</t>
  </si>
  <si>
    <t>pip install anthropic   (o pip install openai)</t>
  </si>
  <si>
    <t>API Key (Claude)</t>
  </si>
  <si>
    <t>Configura la variable de entorno: ANTHROPIC_API_KEY=sk-ant-...</t>
  </si>
  <si>
    <t>API Key (OpenAI)</t>
  </si>
  <si>
    <t>Configura la variable de entorno: OPENAI_API_KEY=sk-...</t>
  </si>
  <si>
    <t>Sin API Key</t>
  </si>
  <si>
    <t>Funciona en modo DEMO con texto de ejemplo (sin llamada a API)</t>
  </si>
  <si>
    <t>Comandos de ejemplo</t>
  </si>
  <si>
    <t>python scripts/ai_asistente.py --ayuda</t>
  </si>
  <si>
    <t># Módulo ISO</t>
  </si>
  <si>
    <t>python scripts/ai_asistente.py rubrica   --modulo iso_data --ra RA1</t>
  </si>
  <si>
    <t>python scripts/ai_asistente.py actividad --modulo iso_data --ra RA2 --n 3</t>
  </si>
  <si>
    <t>python scripts/ai_asistente.py todo      --modulo iso_data --salida ia_output/iso</t>
  </si>
  <si>
    <t># Módulo PAR</t>
  </si>
  <si>
    <t>python scripts/ai_asistente.py rubrica   --modulo par_data --ra RA1</t>
  </si>
  <si>
    <t>python scripts/ai_asistente.py actividad --modulo par_data --ra RA2 --n 3</t>
  </si>
  <si>
    <t>python scripts/ai_asistente.py todo      --modulo par_data --salida ia_output/par</t>
  </si>
  <si>
    <t>Generación completa</t>
  </si>
  <si>
    <t>python scripts/build_template.py --ia   # genera xlsx + contenido IA</t>
  </si>
  <si>
    <t>Módulos configurados: ISO, PAR</t>
  </si>
  <si>
    <t>📋 Programación Didáctica — ISO 1º ASIR</t>
  </si>
  <si>
    <t>Distribución de RAs y CEs por Unidad de Trabajo · Implantación de Sistemas Operativos · 2026-2027</t>
  </si>
  <si>
    <t>📋 Programa</t>
  </si>
  <si>
    <t>MAPA DE UNIDADES DE TRABAJO · RESULTADOS DE APRENDIZAJE · CRITERIOS DE EVALUACIÓN</t>
  </si>
  <si>
    <t>Eval.</t>
  </si>
  <si>
    <t>Unidad de Trabajo</t>
  </si>
  <si>
    <t>Criterios de Evaluación (CEs)</t>
  </si>
  <si>
    <t>N.º CEs</t>
  </si>
  <si>
    <t>% RA en UT</t>
  </si>
  <si>
    <t>Horas RA en UT</t>
  </si>
  <si>
    <t>% Pond. Global RA</t>
  </si>
  <si>
    <t>Instrumento(s)</t>
  </si>
  <si>
    <t>CR1  CR2  CR3  CR4  CR5  CR6  CR7  CR8</t>
  </si>
  <si>
    <t>80.0%</t>
  </si>
  <si>
    <t>📝 Examen  ·  🔧 Práctica</t>
  </si>
  <si>
    <t>CR7  CR8</t>
  </si>
  <si>
    <t>20.0%</t>
  </si>
  <si>
    <t>CR1  CR2  CR3  CR4  CR5  CR6  CR10  CR11  CR12  CR13  CR14  CR16  CR17  CR19</t>
  </si>
  <si>
    <t>93.3%</t>
  </si>
  <si>
    <t>CR1</t>
  </si>
  <si>
    <t>6.7%</t>
  </si>
  <si>
    <t>72.7%</t>
  </si>
  <si>
    <t>CR9  CR15  CR18</t>
  </si>
  <si>
    <t>27.3%</t>
  </si>
  <si>
    <t>100.0%</t>
  </si>
  <si>
    <t>CR1  CR2  CR3  CR4  CR5  CR6  CR7</t>
  </si>
  <si>
    <t>87.5%</t>
  </si>
  <si>
    <t>12.5%</t>
  </si>
  <si>
    <t>CR1  CR2  CR3  CR4  CR5  CR6  CR7  CR8  CR9  CR10</t>
  </si>
  <si>
    <t>CR1  CR2  CR3  CR4  CR5  CR6  CR7  CR8  CR9</t>
  </si>
  <si>
    <t>90.0%</t>
  </si>
  <si>
    <t>CR8</t>
  </si>
  <si>
    <t>10.0%</t>
  </si>
  <si>
    <t>🏢 RA8</t>
  </si>
  <si>
    <t>🏢 Empresa</t>
  </si>
  <si>
    <t>RESUMEN DE RESULTADOS DE APRENDIZAJE — PONDERACIÓN TOTAL DEL MÓDULO</t>
  </si>
  <si>
    <t>Total CEs</t>
  </si>
  <si>
    <t>Ponderación %</t>
  </si>
  <si>
    <t>Instala sistemas operativos, relacionando sus características con el hardware del equipo y el software de aplicación.</t>
  </si>
  <si>
    <t>Asegura y recupera el sistema, aplicando procedimientos de administración de la información.</t>
  </si>
  <si>
    <t>Gestiona dominios, elaborando el modelo lógico de la red en un entorno de trabajo.</t>
  </si>
  <si>
    <t>Administra el acceso al dominio, gestionando servidores de directorio y verificando el acceso de los usuarios.</t>
  </si>
  <si>
    <t>Supervisa el rendimiento del sistema, diagnosticando las causas de pérdidas de rendimiento.</t>
  </si>
  <si>
    <t>Aplica directivas de seguridad y gestiona auditorías, interpretando y aplicando la normativa vigente.</t>
  </si>
  <si>
    <t>Establece la conexión en red de los sistemas informáticos, configurando dispositivos y protocolos.</t>
  </si>
  <si>
    <t>TOTAL — 8 Resultados de Aprendizaje</t>
  </si>
  <si>
    <t>🏢  EVALUACIÓN DUAL — Justificación</t>
  </si>
  <si>
    <t>RA8 — Resolución de incidencias y asistencia técnica — se evalúa en modalidad DUAL de acuerdo con el artículo 42 de la Ley Orgánica 3/2022 de ordenación e integración de la FP, que obliga a dualizar un mínimo del 10% de los Resultados de Aprendizaje. Se ha seleccionado este RA por ser el de mayor aplicabilidad en entorno laboral real (gestión de incidencias ITIL, WDS/MDT, VPN, acceso remoto), el de menor peso ponderado (5% = 0,05 de la nota final) y el que más naturalmente puede ser evaluado por un tutor de empresa sin necesidad de instrumentos técnicos específicos del centro. La calificación la otorga el tutor/a de empresa y se incorpora directamente a la columna RA8 de la hoja 1ªORD.
NOTA IMPORTANTE: En el caso de que este RA no llegue a impartirse en el centro educativo por falta de tiempo lectivo, la evaluación recae íntegramente (100%) en el tutor/a de empresa. Esta circunstancia está prevista y amparada por la modalidad dual: el alumno/a adquiere y demuestra los contenidos de este RA exclusivamente en el entorno de trabajo, y la calificación del tutor/a de empresa es la única que computa para este RA. El peso en la nota final del módulo sigue siendo el mismo: 5% (0,05).</t>
  </si>
  <si>
    <t>Peso del RA dual en la nota final: 5% = 0.05 puntos sobre 1  |  Evaluador: Tutor/a de empresa  |  Base legal: Ley Orgánica 3/2022, art. 42</t>
  </si>
  <si>
    <t>👥 Lista de Alumnos</t>
  </si>
  <si>
    <t>Registro de alumnado del grupo — datos académicos y de contacto</t>
  </si>
  <si>
    <t>👥 Alumnos</t>
  </si>
  <si>
    <t>Total activos:</t>
  </si>
  <si>
    <t>Bajas:</t>
  </si>
  <si>
    <t>Pendientes:</t>
  </si>
  <si>
    <t>Nº</t>
  </si>
  <si>
    <t>Apellidos</t>
  </si>
  <si>
    <t>NIA / Exp.</t>
  </si>
  <si>
    <t>Fecha nacim.</t>
  </si>
  <si>
    <t>Email</t>
  </si>
  <si>
    <t>Teléfono contacto</t>
  </si>
  <si>
    <t>Observaciones</t>
  </si>
  <si>
    <t>Activo</t>
  </si>
  <si>
    <t>📝 Actividades Evaluables — ISO 1º ASIR</t>
  </si>
  <si>
    <t>Prácticas y exámenes vinculados a RAs y CEs · Implantación de Sistemas Operativos · 2026-2027</t>
  </si>
  <si>
    <t>📝 Actividades</t>
  </si>
  <si>
    <t>ℹ️  Las actividades prácticas se han generado automáticamente desde la Programación. Ajusta la descripción, el tipo y el peso según tu planificación.</t>
  </si>
  <si>
    <t>CEs vinculados</t>
  </si>
  <si>
    <t>Descripción de la actividad</t>
  </si>
  <si>
    <t>Peso (%)</t>
  </si>
  <si>
    <t>Nota máx.</t>
  </si>
  <si>
    <t>Individual</t>
  </si>
  <si>
    <t>CR1  CR2  CR3  CR4  CR5  CR6  CR10  CR11  … (+6)</t>
  </si>
  <si>
    <t>CR1  CR2  CR3  CR4  CR5  CR6  CR7  CR8  … (+2)</t>
  </si>
  <si>
    <t>CR1  CR2  CR3  CR4  CR5  CR6  CR7  CR8  … (+1)</t>
  </si>
  <si>
    <t>UT1+UT2</t>
  </si>
  <si>
    <t>RA1+RA2</t>
  </si>
  <si>
    <t>Todos los CEs de la evaluación</t>
  </si>
  <si>
    <t>Examen teórico-práctico Evaluación 1</t>
  </si>
  <si>
    <t>UT3+UT4+UT5</t>
  </si>
  <si>
    <t>RA3+RA4+RA5</t>
  </si>
  <si>
    <t>Examen teórico-práctico Evaluación 2</t>
  </si>
  <si>
    <t>UT6+UT7+UT8</t>
  </si>
  <si>
    <t>RA6+RA7+RA8</t>
  </si>
  <si>
    <t>Examen teórico-práctico Evaluación 3</t>
  </si>
  <si>
    <t>💡  Peso (%): indica el porcentaje de la nota de prácticas que pondera esta actividad para cada RA. Los exámenes tienen su propio peso (configurable en Configuración → Peso examen). La suma de pesos de prácticas por RA debería ser 100%.</t>
  </si>
  <si>
    <t>📊 Registro de Notas</t>
  </si>
  <si>
    <t>Calificaciones por alumno/a · Actividades, Exámenes y RAs · ISO 1º ASIR · 2026-2027</t>
  </si>
  <si>
    <t>📊 Reg. Notas</t>
  </si>
  <si>
    <t>ℹ️  Introduzca las calificaciones de actividades (prácticas) y exámenes. Nota RA = % examen + % prácticas (configurables en la hoja Configuración). Las columnas de RAs y la nota final se calculan automáticamente.</t>
  </si>
  <si>
    <t>ACTIVIDADES (PRÁCTICAS)</t>
  </si>
  <si>
    <t>EXÁMENES (TEORÍA)</t>
  </si>
  <si>
    <t>NOTA RA  (75% EX + 25% ACT)</t>
  </si>
  <si>
    <t>FINAL</t>
  </si>
  <si>
    <t>Apellidos y Nombre</t>
  </si>
  <si>
    <t>NOTA FINAL</t>
  </si>
  <si>
    <t>📈 Resumen y Dashboard</t>
  </si>
  <si>
    <t>Vista general del grupo · Estadísticas y KPIs · ISO 1º ASIR · 2026-2027</t>
  </si>
  <si>
    <t>📈 Resumen</t>
  </si>
  <si>
    <t>🚧  Este panel se completará con datos de Reg. Notas en Sprint 9 (Dashboard).</t>
  </si>
  <si>
    <t>📊 Alumnos registrados</t>
  </si>
  <si>
    <t>✅ Aprobados (≥5)</t>
  </si>
  <si>
    <t>—</t>
  </si>
  <si>
    <t>❌ Suspensos (&lt;5)</t>
  </si>
  <si>
    <t>📈 Media del grupo</t>
  </si>
  <si>
    <t>⚠️ En riesgo (&lt;4)</t>
  </si>
  <si>
    <t>📝 Evaluación 1  ·  UT1, UT2</t>
  </si>
  <si>
    <t>RAs evaluados: RA1 40.6%  ·  RA2 59.4%  (pesos normalizados al 100% de esta evaluación)</t>
  </si>
  <si>
    <t>Eval 1</t>
  </si>
  <si>
    <t>RA1: 13% global → 40.6% en Eval 1</t>
  </si>
  <si>
    <t>RA2: 19% global → 59.4% en Eval 1</t>
  </si>
  <si>
    <t>UT1
(30h)</t>
  </si>
  <si>
    <t>UT2
(25h)</t>
  </si>
  <si>
    <t>RA1
(40.6%)</t>
  </si>
  <si>
    <t>RA2
(59.4%)</t>
  </si>
  <si>
    <t>NOTA EVAL</t>
  </si>
  <si>
    <t>Resultado</t>
  </si>
  <si>
    <t>📝 Evaluación 2  ·  UT3, UT4, UT5</t>
  </si>
  <si>
    <t>RAs evaluados: RA3 23.7%  ·  RA4 42.1%  ·  RA5 34.2%  (pesos normalizados al 100% de esta evaluación)</t>
  </si>
  <si>
    <t>Eval 2</t>
  </si>
  <si>
    <t>RA3: 9% global → 23.7% en Eval 2</t>
  </si>
  <si>
    <t>RA4: 16% global → 42.1% en Eval 2</t>
  </si>
  <si>
    <t>RA5: 13% global → 34.2% en Eval 2</t>
  </si>
  <si>
    <t>UT3
(22h)</t>
  </si>
  <si>
    <t>UT4
(30h)</t>
  </si>
  <si>
    <t>UT5
(25h)</t>
  </si>
  <si>
    <t>RA3
(23.7%)</t>
  </si>
  <si>
    <t>RA4
(42.1%)</t>
  </si>
  <si>
    <t>RA5
(34.2%)</t>
  </si>
  <si>
    <t>📝 Evaluación 3  ·  UT6, UT7, UT8</t>
  </si>
  <si>
    <t>RAs evaluados: RA6 40.0%  ·  RA7 43.3%  ·  RA8 16.7%  (pesos normalizados al 100% de esta evaluación)</t>
  </si>
  <si>
    <t>Eval 3</t>
  </si>
  <si>
    <t>RA6: 12% global → 40.0% en Eval 3</t>
  </si>
  <si>
    <t>RA7: 13% global → 43.3% en Eval 3</t>
  </si>
  <si>
    <t>RA8: 5% global → 16.7% en Eval 3</t>
  </si>
  <si>
    <t>UT6
(22h)</t>
  </si>
  <si>
    <t>UT7
(22h)</t>
  </si>
  <si>
    <t>UT8
(10h)</t>
  </si>
  <si>
    <t>RA6
(40.0%)</t>
  </si>
  <si>
    <t>RA7
(43.3%)</t>
  </si>
  <si>
    <t>🏢 RA8
(16.7%)
EMPRESA</t>
  </si>
  <si>
    <t>🎓 Calificación Final — 1ª Convocatoria Ordinaria</t>
  </si>
  <si>
    <t>Nota final ponderada por Resultados de Aprendizaje · ISO 1º ASIR · 2026-2027</t>
  </si>
  <si>
    <t>1ª ORD</t>
  </si>
  <si>
    <t>Evaluación:</t>
  </si>
  <si>
    <t>Ponderación:</t>
  </si>
  <si>
    <t>≥5 → APTO</t>
  </si>
  <si>
    <t>RA1
(13%)</t>
  </si>
  <si>
    <t>RA2
(19%)</t>
  </si>
  <si>
    <t>RA3
(9%)</t>
  </si>
  <si>
    <t>RA4
(16%)</t>
  </si>
  <si>
    <t>RA5
(13%)</t>
  </si>
  <si>
    <t>RA6
(12%)</t>
  </si>
  <si>
    <t>RA7
(13%)</t>
  </si>
  <si>
    <t>🏢 RA8
(5%)
EMPRESA</t>
  </si>
  <si>
    <t>Nota Final</t>
  </si>
  <si>
    <t>GRUPO</t>
  </si>
  <si>
    <t>🏢  EVALUACIÓN DUAL — Instrucciones y Justificación</t>
  </si>
  <si>
    <t>→ Introduce la nota de la empresa en la columna RA8 (columna K, fondo verde).  Peso en nota final: 5% = 0.05 puntos.  Base legal: Ley Orgánica 3/2022, art. 42.</t>
  </si>
  <si>
    <t>📋 Calificación Final — 2ª Convocatoria Extraordinaria</t>
  </si>
  <si>
    <t>Solo alumnado NO APTO en 1ª Convocatoria · ISO 1º ASIR · 2026-2027</t>
  </si>
  <si>
    <t>2ª ORD</t>
  </si>
  <si>
    <t>ℹ️  Registra únicamente el alumnado con resultado NO APTO en 1ª Convocatoria. Introduce el número de alumno/a (columna B) para que el nombre y la nota de 1ªORD se auto-rellenen. La nota extraordinaria sustituye la nota final del módulo.</t>
  </si>
  <si>
    <t>← Auto desde 1ªORD col L</t>
  </si>
  <si>
    <t>Nº
alumno</t>
  </si>
  <si>
    <t>Nota 1ªORD</t>
  </si>
  <si>
    <t>Nota 2ªORD
(Extraordinaria)</t>
  </si>
  <si>
    <t>Nota Final
(computa)</t>
  </si>
  <si>
    <t>★  Introduce el número de alumno/a (1-30) en columna B. El nombre y la nota de 1ªORD se cargarán automáticamente. El alumnado APTO en 1ª convocatoria no debe aparecer aquí.</t>
  </si>
  <si>
    <t>🎯 Rúbricas de Evaluación — ISO 1º ASIR</t>
  </si>
  <si>
    <t>Indicadores de logro por Resultado de Aprendizaje · Implantación de Sistemas Operativos · 2026-2027</t>
  </si>
  <si>
    <t>🎯 Rúbricas</t>
  </si>
  <si>
    <t>ℹ️  Rúbricas generadas automáticamente desde la Programación. Los descriptores son orientativos — edítalos para adaptarlos a tu módulo y actividades. Peso CE: distribución equitativa por defecto (modifica si lo necesitas).</t>
  </si>
  <si>
    <t>RA1 · EV1 · Pond. 13%  —  Instala sistemas operativos, relacionando sus características con el hardware del equipo y el software de aplicación.</t>
  </si>
  <si>
    <t>CE / Indicador</t>
  </si>
  <si>
    <t>Nivel 1
No Alcanzado
(0 – 4)</t>
  </si>
  <si>
    <t>Nivel 2
En Proceso
(5 – 6)</t>
  </si>
  <si>
    <t>Nivel 3
Alcanzado
(7 – 8)</t>
  </si>
  <si>
    <t>Nivel 4
Sobresaliente
(9 – 10)</t>
  </si>
  <si>
    <t>Peso
en RA</t>
  </si>
  <si>
    <t>No identifica CR1 ni lo aplica en el contexto de Instala sistemas operativos.</t>
  </si>
  <si>
    <t>Identifica CR1 con ayuda; lo aplica con errores o de forma incompleta.</t>
  </si>
  <si>
    <t>Aplica CR1 de forma correcta y autónoma en situaciones habituales.</t>
  </si>
  <si>
    <t>Aplica CR1 con criterio propio en situaciones nuevas; propone mejoras.</t>
  </si>
  <si>
    <t>CR2</t>
  </si>
  <si>
    <t>No identifica CR2 ni lo aplica en el contexto de Instala sistemas operativos.</t>
  </si>
  <si>
    <t>Identifica CR2 con ayuda; lo aplica con errores o de forma incompleta.</t>
  </si>
  <si>
    <t>Aplica CR2 de forma correcta y autónoma en situaciones habituales.</t>
  </si>
  <si>
    <t>Aplica CR2 con criterio propio en situaciones nuevas; propone mejoras.</t>
  </si>
  <si>
    <t>CR3</t>
  </si>
  <si>
    <t>No identifica CR3 ni lo aplica en el contexto de Instala sistemas operativos.</t>
  </si>
  <si>
    <t>Identifica CR3 con ayuda; lo aplica con errores o de forma incompleta.</t>
  </si>
  <si>
    <t>Aplica CR3 de forma correcta y autónoma en situaciones habituales.</t>
  </si>
  <si>
    <t>Aplica CR3 con criterio propio en situaciones nuevas; propone mejoras.</t>
  </si>
  <si>
    <t>CR4</t>
  </si>
  <si>
    <t>No identifica CR4 ni lo aplica en el contexto de Instala sistemas operativos.</t>
  </si>
  <si>
    <t>Identifica CR4 con ayuda; lo aplica con errores o de forma incompleta.</t>
  </si>
  <si>
    <t>Aplica CR4 de forma correcta y autónoma en situaciones habituales.</t>
  </si>
  <si>
    <t>Aplica CR4 con criterio propio en situaciones nuevas; propone mejoras.</t>
  </si>
  <si>
    <t>CR5</t>
  </si>
  <si>
    <t>No identifica CR5 ni lo aplica en el contexto de Instala sistemas operativos.</t>
  </si>
  <si>
    <t>Identifica CR5 con ayuda; lo aplica con errores o de forma incompleta.</t>
  </si>
  <si>
    <t>Aplica CR5 de forma correcta y autónoma en situaciones habituales.</t>
  </si>
  <si>
    <t>Aplica CR5 con criterio propio en situaciones nuevas; propone mejoras.</t>
  </si>
  <si>
    <t>CR6</t>
  </si>
  <si>
    <t>No identifica CR6 ni lo aplica en el contexto de Instala sistemas operativos.</t>
  </si>
  <si>
    <t>Identifica CR6 con ayuda; lo aplica con errores o de forma incompleta.</t>
  </si>
  <si>
    <t>Aplica CR6 de forma correcta y autónoma en situaciones habituales.</t>
  </si>
  <si>
    <t>Aplica CR6 con criterio propio en situaciones nuevas; propone mejoras.</t>
  </si>
  <si>
    <t>CR7</t>
  </si>
  <si>
    <t>No identifica CR7 ni lo aplica en el contexto de Instala sistemas operativos.</t>
  </si>
  <si>
    <t>Identifica CR7 con ayuda; lo aplica con errores o de forma incompleta.</t>
  </si>
  <si>
    <t>Aplica CR7 de forma correcta y autónoma en situaciones habituales.</t>
  </si>
  <si>
    <t>Aplica CR7 con criterio propio en situaciones nuevas; propone mejoras.</t>
  </si>
  <si>
    <t>No identifica CR8 ni lo aplica en el contexto de Instala sistemas operativos.</t>
  </si>
  <si>
    <t>Identifica CR8 con ayuda; lo aplica con errores o de forma incompleta.</t>
  </si>
  <si>
    <t>Aplica CR8 de forma correcta y autónoma en situaciones habituales.</t>
  </si>
  <si>
    <t>Aplica CR8 con criterio propio en situaciones nuevas; propone mejoras.</t>
  </si>
  <si>
    <t>Total: 8 indicadores · Nota RA: media ponderada de niveles × 2.5  (Nivel 1=0-4 · Nivel 2=5-6 · Nivel 3=7-8 · Nivel 4=9-10)</t>
  </si>
  <si>
    <t>RA2 · EV1 · Pond. 19%  —  Gestiona el software de base, aplicando criterios de explotación del sistema.</t>
  </si>
  <si>
    <t>No identifica CR1 ni lo aplica en el contexto de Gestiona el software de base.</t>
  </si>
  <si>
    <t>5.3%</t>
  </si>
  <si>
    <t>No identifica CR2 ni lo aplica en el contexto de Gestiona el software de base.</t>
  </si>
  <si>
    <t>No identifica CR3 ni lo aplica en el contexto de Gestiona el software de base.</t>
  </si>
  <si>
    <t>No identifica CR4 ni lo aplica en el contexto de Gestiona el software de base.</t>
  </si>
  <si>
    <t>No identifica CR5 ni lo aplica en el contexto de Gestiona el software de base.</t>
  </si>
  <si>
    <t>No identifica CR6 ni lo aplica en el contexto de Gestiona el software de base.</t>
  </si>
  <si>
    <t>No identifica CR7 ni lo aplica en el contexto de Gestiona el software de base.</t>
  </si>
  <si>
    <t>No identifica CR8 ni lo aplica en el contexto de Gestiona el software de base.</t>
  </si>
  <si>
    <t>CR9</t>
  </si>
  <si>
    <t>No identifica CR9 ni lo aplica en el contexto de Gestiona el software de base.</t>
  </si>
  <si>
    <t>Identifica CR9 con ayuda; lo aplica con errores o de forma incompleta.</t>
  </si>
  <si>
    <t>Aplica CR9 de forma correcta y autónoma en situaciones habituales.</t>
  </si>
  <si>
    <t>Aplica CR9 con criterio propio en situaciones nuevas; propone mejoras.</t>
  </si>
  <si>
    <t>CR10</t>
  </si>
  <si>
    <t>No identifica CR10 ni lo aplica en el contexto de Gestiona el software de base.</t>
  </si>
  <si>
    <t>Identifica CR10 con ayuda; lo aplica con errores o de forma incompleta.</t>
  </si>
  <si>
    <t>Aplica CR10 de forma correcta y autónoma en situaciones habituales.</t>
  </si>
  <si>
    <t>Aplica CR10 con criterio propio en situaciones nuevas; propone mejoras.</t>
  </si>
  <si>
    <t>CR11</t>
  </si>
  <si>
    <t>No identifica CR11 ni lo aplica en el contexto de Gestiona el software de base.</t>
  </si>
  <si>
    <t>Identifica CR11 con ayuda; lo aplica con errores o de forma incompleta.</t>
  </si>
  <si>
    <t>Aplica CR11 de forma correcta y autónoma en situaciones habituales.</t>
  </si>
  <si>
    <t>Aplica CR11 con criterio propio en situaciones nuevas; propone mejoras.</t>
  </si>
  <si>
    <t>CR12</t>
  </si>
  <si>
    <t>No identifica CR12 ni lo aplica en el contexto de Gestiona el software de base.</t>
  </si>
  <si>
    <t>Identifica CR12 con ayuda; lo aplica con errores o de forma incompleta.</t>
  </si>
  <si>
    <t>Aplica CR12 de forma correcta y autónoma en situaciones habituales.</t>
  </si>
  <si>
    <t>Aplica CR12 con criterio propio en situaciones nuevas; propone mejoras.</t>
  </si>
  <si>
    <t>CR13</t>
  </si>
  <si>
    <t>No identifica CR13 ni lo aplica en el contexto de Gestiona el software de base.</t>
  </si>
  <si>
    <t>Identifica CR13 con ayuda; lo aplica con errores o de forma incompleta.</t>
  </si>
  <si>
    <t>Aplica CR13 de forma correcta y autónoma en situaciones habituales.</t>
  </si>
  <si>
    <t>Aplica CR13 con criterio propio en situaciones nuevas; propone mejoras.</t>
  </si>
  <si>
    <t>CR14</t>
  </si>
  <si>
    <t>No identifica CR14 ni lo aplica en el contexto de Gestiona el software de base.</t>
  </si>
  <si>
    <t>Identifica CR14 con ayuda; lo aplica con errores o de forma incompleta.</t>
  </si>
  <si>
    <t>Aplica CR14 de forma correcta y autónoma en situaciones habituales.</t>
  </si>
  <si>
    <t>Aplica CR14 con criterio propio en situaciones nuevas; propone mejoras.</t>
  </si>
  <si>
    <t>CR15</t>
  </si>
  <si>
    <t>No identifica CR15 ni lo aplica en el contexto de Gestiona el software de base.</t>
  </si>
  <si>
    <t>Identifica CR15 con ayuda; lo aplica con errores o de forma incompleta.</t>
  </si>
  <si>
    <t>Aplica CR15 de forma correcta y autónoma en situaciones habituales.</t>
  </si>
  <si>
    <t>Aplica CR15 con criterio propio en situaciones nuevas; propone mejoras.</t>
  </si>
  <si>
    <t>CR16</t>
  </si>
  <si>
    <t>No identifica CR16 ni lo aplica en el contexto de Gestiona el software de base.</t>
  </si>
  <si>
    <t>Identifica CR16 con ayuda; lo aplica con errores o de forma incompleta.</t>
  </si>
  <si>
    <t>Aplica CR16 de forma correcta y autónoma en situaciones habituales.</t>
  </si>
  <si>
    <t>Aplica CR16 con criterio propio en situaciones nuevas; propone mejoras.</t>
  </si>
  <si>
    <t>CR17</t>
  </si>
  <si>
    <t>No identifica CR17 ni lo aplica en el contexto de Gestiona el software de base.</t>
  </si>
  <si>
    <t>Identifica CR17 con ayuda; lo aplica con errores o de forma incompleta.</t>
  </si>
  <si>
    <t>Aplica CR17 de forma correcta y autónoma en situaciones habituales.</t>
  </si>
  <si>
    <t>Aplica CR17 con criterio propio en situaciones nuevas; propone mejoras.</t>
  </si>
  <si>
    <t>CR18</t>
  </si>
  <si>
    <t>No identifica CR18 ni lo aplica en el contexto de Gestiona el software de base.</t>
  </si>
  <si>
    <t>Identifica CR18 con ayuda; lo aplica con errores o de forma incompleta.</t>
  </si>
  <si>
    <t>Aplica CR18 de forma correcta y autónoma en situaciones habituales.</t>
  </si>
  <si>
    <t>Aplica CR18 con criterio propio en situaciones nuevas; propone mejoras.</t>
  </si>
  <si>
    <t>CR19</t>
  </si>
  <si>
    <t>No identifica CR19 ni lo aplica en el contexto de Gestiona el software de base.</t>
  </si>
  <si>
    <t>Identifica CR19 con ayuda; lo aplica con errores o de forma incompleta.</t>
  </si>
  <si>
    <t>Aplica CR19 de forma correcta y autónoma en situaciones habituales.</t>
  </si>
  <si>
    <t>Aplica CR19 con criterio propio en situaciones nuevas; propone mejoras.</t>
  </si>
  <si>
    <t>Total: 19 indicadores · Nota RA: media ponderada de niveles × 2.5  (Nivel 1=0-4 · Nivel 2=5-6 · Nivel 3=7-8 · Nivel 4=9-10)</t>
  </si>
  <si>
    <t>RA3 · EV2 · Pond. 9%  —  Asegura y recupera el sistema, aplicando procedimientos de administración de la información.</t>
  </si>
  <si>
    <t>No identifica CR1 ni lo aplica en el contexto de Asegura y recupera el sistema.</t>
  </si>
  <si>
    <t>No identifica CR2 ni lo aplica en el contexto de Asegura y recupera el sistema.</t>
  </si>
  <si>
    <t>No identifica CR3 ni lo aplica en el contexto de Asegura y recupera el sistema.</t>
  </si>
  <si>
    <t>No identifica CR4 ni lo aplica en el contexto de Asegura y recupera el sistema.</t>
  </si>
  <si>
    <t>No identifica CR5 ni lo aplica en el contexto de Asegura y recupera el sistema.</t>
  </si>
  <si>
    <t>No identifica CR6 ni lo aplica en el contexto de Asegura y recupera el sistema.</t>
  </si>
  <si>
    <t>No identifica CR7 ni lo aplica en el contexto de Asegura y recupera el sistema.</t>
  </si>
  <si>
    <t>No identifica CR8 ni lo aplica en el contexto de Asegura y recupera el sistema.</t>
  </si>
  <si>
    <t>RA4 · EV2 · Pond. 16%  —  Gestiona dominios, elaborando el modelo lógico de la red en un entorno de trabajo.</t>
  </si>
  <si>
    <t>No identifica CR1 ni lo aplica en el contexto de Gestiona dominios.</t>
  </si>
  <si>
    <t>No identifica CR2 ni lo aplica en el contexto de Gestiona dominios.</t>
  </si>
  <si>
    <t>No identifica CR3 ni lo aplica en el contexto de Gestiona dominios.</t>
  </si>
  <si>
    <t>No identifica CR4 ni lo aplica en el contexto de Gestiona dominios.</t>
  </si>
  <si>
    <t>No identifica CR5 ni lo aplica en el contexto de Gestiona dominios.</t>
  </si>
  <si>
    <t>No identifica CR6 ni lo aplica en el contexto de Gestiona dominios.</t>
  </si>
  <si>
    <t>No identifica CR7 ni lo aplica en el contexto de Gestiona dominios.</t>
  </si>
  <si>
    <t>No identifica CR8 ni lo aplica en el contexto de Gestiona dominios.</t>
  </si>
  <si>
    <t>RA5 · EV2 · Pond. 13%  —  Administra el acceso al dominio, gestionando servidores de directorio y verificando el acceso de los usuarios.</t>
  </si>
  <si>
    <t>No identifica CR1 ni lo aplica en el contexto de Administra el acceso al dominio.</t>
  </si>
  <si>
    <t>No identifica CR2 ni lo aplica en el contexto de Administra el acceso al dominio.</t>
  </si>
  <si>
    <t>No identifica CR3 ni lo aplica en el contexto de Administra el acceso al dominio.</t>
  </si>
  <si>
    <t>No identifica CR4 ni lo aplica en el contexto de Administra el acceso al dominio.</t>
  </si>
  <si>
    <t>No identifica CR5 ni lo aplica en el contexto de Administra el acceso al dominio.</t>
  </si>
  <si>
    <t>No identifica CR6 ni lo aplica en el contexto de Administra el acceso al dominio.</t>
  </si>
  <si>
    <t>No identifica CR7 ni lo aplica en el contexto de Administra el acceso al dominio.</t>
  </si>
  <si>
    <t>No identifica CR8 ni lo aplica en el contexto de Administra el acceso al dominio.</t>
  </si>
  <si>
    <t>RA6 · EV3 · Pond. 12%  —  Supervisa el rendimiento del sistema, diagnosticando las causas de pérdidas de rendimiento.</t>
  </si>
  <si>
    <t>No identifica CR1 ni lo aplica en el contexto de Supervisa el rendimiento del sistema.</t>
  </si>
  <si>
    <t>No identifica CR2 ni lo aplica en el contexto de Supervisa el rendimiento del sistema.</t>
  </si>
  <si>
    <t>No identifica CR3 ni lo aplica en el contexto de Supervisa el rendimiento del sistema.</t>
  </si>
  <si>
    <t>No identifica CR4 ni lo aplica en el contexto de Supervisa el rendimiento del sistema.</t>
  </si>
  <si>
    <t>No identifica CR5 ni lo aplica en el contexto de Supervisa el rendimiento del sistema.</t>
  </si>
  <si>
    <t>No identifica CR6 ni lo aplica en el contexto de Supervisa el rendimiento del sistema.</t>
  </si>
  <si>
    <t>No identifica CR7 ni lo aplica en el contexto de Supervisa el rendimiento del sistema.</t>
  </si>
  <si>
    <t>No identifica CR8 ni lo aplica en el contexto de Supervisa el rendimiento del sistema.</t>
  </si>
  <si>
    <t>No identifica CR9 ni lo aplica en el contexto de Supervisa el rendimiento del sistema.</t>
  </si>
  <si>
    <t>No identifica CR10 ni lo aplica en el contexto de Supervisa el rendimiento del sistema.</t>
  </si>
  <si>
    <t>Total: 10 indicadores · Nota RA: media ponderada de niveles × 2.5  (Nivel 1=0-4 · Nivel 2=5-6 · Nivel 3=7-8 · Nivel 4=9-10)</t>
  </si>
  <si>
    <t>RA7 · EV3 · Pond. 13%  —  Aplica directivas de seguridad y gestiona auditorías, interpretando y aplicando la normativa vigente.</t>
  </si>
  <si>
    <t>No identifica CR1 ni lo aplica en el contexto de Aplica directivas de seguridad y gestiona aud.</t>
  </si>
  <si>
    <t>11.1%</t>
  </si>
  <si>
    <t>No identifica CR2 ni lo aplica en el contexto de Aplica directivas de seguridad y gestiona aud.</t>
  </si>
  <si>
    <t>No identifica CR3 ni lo aplica en el contexto de Aplica directivas de seguridad y gestiona aud.</t>
  </si>
  <si>
    <t>No identifica CR4 ni lo aplica en el contexto de Aplica directivas de seguridad y gestiona aud.</t>
  </si>
  <si>
    <t>No identifica CR5 ni lo aplica en el contexto de Aplica directivas de seguridad y gestiona aud.</t>
  </si>
  <si>
    <t>No identifica CR6 ni lo aplica en el contexto de Aplica directivas de seguridad y gestiona aud.</t>
  </si>
  <si>
    <t>No identifica CR7 ni lo aplica en el contexto de Aplica directivas de seguridad y gestiona aud.</t>
  </si>
  <si>
    <t>No identifica CR8 ni lo aplica en el contexto de Aplica directivas de seguridad y gestiona aud.</t>
  </si>
  <si>
    <t>No identifica CR9 ni lo aplica en el contexto de Aplica directivas de seguridad y gestiona aud.</t>
  </si>
  <si>
    <t>Total: 9 indicadores · Nota RA: media ponderada de niveles × 2.5  (Nivel 1=0-4 · Nivel 2=5-6 · Nivel 3=7-8 · Nivel 4=9-10)</t>
  </si>
  <si>
    <t>🏢 DUAL · RA8 · EV3 · Pond. 5%  —  Establece la conexión en red de los sistemas informáticos, configurando dispositivos y protocolos.</t>
  </si>
  <si>
    <t>No identifica CR1 ni lo aplica en el contexto de Establece la conexión en red de los sistemas .</t>
  </si>
  <si>
    <t>No identifica CR2 ni lo aplica en el contexto de Establece la conexión en red de los sistemas .</t>
  </si>
  <si>
    <t>No identifica CR3 ni lo aplica en el contexto de Establece la conexión en red de los sistemas .</t>
  </si>
  <si>
    <t>No identifica CR4 ni lo aplica en el contexto de Establece la conexión en red de los sistemas .</t>
  </si>
  <si>
    <t>No identifica CR5 ni lo aplica en el contexto de Establece la conexión en red de los sistemas .</t>
  </si>
  <si>
    <t>No identifica CR6 ni lo aplica en el contexto de Establece la conexión en red de los sistemas .</t>
  </si>
  <si>
    <t>No identifica CR7 ni lo aplica en el contexto de Establece la conexión en red de los sistemas .</t>
  </si>
  <si>
    <t>No identifica CR8 ni lo aplica en el contexto de Establece la conexión en red de los sistemas .</t>
  </si>
  <si>
    <t>No identifica CR9 ni lo aplica en el contexto de Establece la conexión en red de los sistemas .</t>
  </si>
  <si>
    <t>📈 Informe de Grupo — ISO 1º ASIR</t>
  </si>
  <si>
    <t>Estadísticas y seguimiento del grupo · Implantación de Sistemas Operativos · 2026-2027</t>
  </si>
  <si>
    <t>📊 Inf.Grupo</t>
  </si>
  <si>
    <t>📊  ESTADÍSTICAS DEL GRUPO</t>
  </si>
  <si>
    <t>Alumnos registrados</t>
  </si>
  <si>
    <t>Aprobados en 1ªORD (≥5)</t>
  </si>
  <si>
    <t>Suspensos en 1ªORD (&lt;5)</t>
  </si>
  <si>
    <t>Media del grupo</t>
  </si>
  <si>
    <t>Nota mínima (activos)</t>
  </si>
  <si>
    <t>En riesgo (&lt;4 en nota final)</t>
  </si>
  <si>
    <t>📊  MEDIA DEL GRUPO POR RESULTADO DE APRENDIZAJE</t>
  </si>
  <si>
    <t>RA8
(5%)</t>
  </si>
  <si>
    <t>👥  LISTADO COMPLETO — NOTAS FINALES</t>
  </si>
  <si>
    <t>Generado automáticamente desde 1ªORD · Implantación de Sistemas Operativos · 2026-2027</t>
  </si>
  <si>
    <t>📄 Boletín Individual</t>
  </si>
  <si>
    <t>Informe de calificaciones por alumno/a · ISO 1º ASIR · 2026-2027</t>
  </si>
  <si>
    <t>📄 Boletín</t>
  </si>
  <si>
    <t>👤  Seleccionar alumno/a (número):</t>
  </si>
  <si>
    <t>NIA/Exp.</t>
  </si>
  <si>
    <t>Teléfono</t>
  </si>
  <si>
    <t>📘  EVALUACIÓN 1  ·  RA1 + RA2  (32% del módulo)</t>
  </si>
  <si>
    <t>EX1 (75%)</t>
  </si>
  <si>
    <t>A001·RA1</t>
  </si>
  <si>
    <t>A002·RA2</t>
  </si>
  <si>
    <t>A003·RA2</t>
  </si>
  <si>
    <t>Nota RA1</t>
  </si>
  <si>
    <t>Nota RA2</t>
  </si>
  <si>
    <t>NOTA EVAL 1</t>
  </si>
  <si>
    <t>Calificación</t>
  </si>
  <si>
    <t>Nota Evaluación 1:</t>
  </si>
  <si>
    <t>📗  EVALUACIÓN 2  ·  RA3 + RA4 + RA5  (38% del módulo)</t>
  </si>
  <si>
    <t>EX2 (75%)</t>
  </si>
  <si>
    <t>A004·RA3</t>
  </si>
  <si>
    <t>A005·RA4</t>
  </si>
  <si>
    <t>A006·RA5</t>
  </si>
  <si>
    <t>Nota RA3</t>
  </si>
  <si>
    <t>Nota RA4</t>
  </si>
  <si>
    <t>Nota RA5</t>
  </si>
  <si>
    <t>NOTA EVAL 2</t>
  </si>
  <si>
    <t>Nota Evaluación 2:</t>
  </si>
  <si>
    <t>📙  EVALUACIÓN 3  ·  RA6 + RA7 + RA8  (30% del módulo)</t>
  </si>
  <si>
    <t>EX3 (75%)</t>
  </si>
  <si>
    <t>A007·RA6</t>
  </si>
  <si>
    <t>A008·RA7</t>
  </si>
  <si>
    <t>A009·RA8</t>
  </si>
  <si>
    <t>Nota RA6</t>
  </si>
  <si>
    <t>Nota RA7</t>
  </si>
  <si>
    <t>Nota RA8</t>
  </si>
  <si>
    <t>NOTA EVAL 3</t>
  </si>
  <si>
    <t>Nota Evaluación 3:</t>
  </si>
  <si>
    <t>🎓  CALIFICACIÓN FINAL DEL MÓDULO</t>
  </si>
  <si>
    <t>RESULTADO</t>
  </si>
  <si>
    <t>📊 Cuadro de Mando — Dashboard</t>
  </si>
  <si>
    <t>Implantación de Sistemas Operativos  ·  1º ASIR  ·  2026-2027</t>
  </si>
  <si>
    <t>📊 Dashboard</t>
  </si>
  <si>
    <t xml:space="preserve">  INDICADORES GLOBALES DEL GRUPO</t>
  </si>
  <si>
    <t>ALUMNOS ACTIVOS</t>
  </si>
  <si>
    <t>✅  APTOS</t>
  </si>
  <si>
    <t>❌  NO APTOS</t>
  </si>
  <si>
    <t>MEDIA GRUPO</t>
  </si>
  <si>
    <t>NOTA MÁXIMA</t>
  </si>
  <si>
    <t>⚠️  EN RIESGO</t>
  </si>
  <si>
    <t xml:space="preserve">  SEGUIMIENTO INDIVIDUAL — SEMÁFORO DE RIESGO</t>
  </si>
  <si>
    <t>Eval 1
(nota)</t>
  </si>
  <si>
    <t>Eval 2
(nota)</t>
  </si>
  <si>
    <t>Eval 3
(nota)</t>
  </si>
  <si>
    <t>% Evals OK</t>
  </si>
  <si>
    <t xml:space="preserve">  RENDIMIENTO POR RA — Media del grupo (desde Reg. Notas)</t>
  </si>
  <si>
    <t>RA1
EV1 · 13%</t>
  </si>
  <si>
    <t>RA2
EV1 · 19%</t>
  </si>
  <si>
    <t>RA3
EV2 · 9%</t>
  </si>
  <si>
    <t>RA4
EV2 · 16%</t>
  </si>
  <si>
    <t>RA5
EV2 · 13%</t>
  </si>
  <si>
    <t>RA6
EV3 · 12%</t>
  </si>
  <si>
    <t>RA7
EV3 · 13%</t>
  </si>
  <si>
    <t>RA8
EV3 · 5%</t>
  </si>
  <si>
    <t>★  Los datos se actualizan automáticamente al introducir notas. Semáforo: 🟢 ≥7 · 🟡 5-6.9 · 🔴 &lt;5.  En riesgo = nota final &lt; 4.</t>
  </si>
  <si>
    <t>id</t>
  </si>
  <si>
    <t>nombre</t>
  </si>
  <si>
    <t>horas</t>
  </si>
  <si>
    <t>evaluacion</t>
  </si>
  <si>
    <t>pond_pct</t>
  </si>
  <si>
    <t>tags</t>
  </si>
  <si>
    <t>total_ces</t>
  </si>
  <si>
    <t>horas_equiv</t>
  </si>
  <si>
    <t>id_ra</t>
  </si>
  <si>
    <t>id_ce</t>
  </si>
  <si>
    <t>ce_numero</t>
  </si>
  <si>
    <t>id_ut</t>
  </si>
  <si>
    <t>ces</t>
  </si>
  <si>
    <t>n_ces</t>
  </si>
  <si>
    <t>horas_ut</t>
  </si>
  <si>
    <t>pond_ut_pct</t>
  </si>
  <si>
    <t>h_ra_en_ut</t>
  </si>
  <si>
    <t>CR1, CR2, CR3, CR4, CR5, CR6, CR7, CR8</t>
  </si>
  <si>
    <t>CR7, CR8</t>
  </si>
  <si>
    <t>CR1, CR2, CR3, CR4, CR5, CR6, CR10, CR11, CR12, CR13, CR14, CR16, CR17, CR19</t>
  </si>
  <si>
    <t>CR9, CR15, CR18</t>
  </si>
  <si>
    <t>CR1, CR2, CR3, CR4, CR5, CR6, CR7</t>
  </si>
  <si>
    <t>CR1, CR2, CR3, CR4, CR5, CR6, CR7, CR8, CR9, CR10</t>
  </si>
  <si>
    <t>CR1, CR2, CR3, CR4, CR5, CR6, CR7, CR8, CR9</t>
  </si>
  <si>
    <t>id_actividad</t>
  </si>
  <si>
    <t>descripcion</t>
  </si>
  <si>
    <t>tipo</t>
  </si>
  <si>
    <t>Práctica</t>
  </si>
  <si>
    <t>Examen</t>
  </si>
  <si>
    <t>id_alumno</t>
  </si>
  <si>
    <t>apellidos</t>
  </si>
  <si>
    <t>nia_expediente</t>
  </si>
  <si>
    <t>fecha_nacimiento</t>
  </si>
  <si>
    <t>email</t>
  </si>
  <si>
    <t>telefono</t>
  </si>
  <si>
    <t>observaciones</t>
  </si>
  <si>
    <t>estado</t>
  </si>
  <si>
    <t>id_grupo</t>
  </si>
  <si>
    <t>nombre_grupo</t>
  </si>
  <si>
    <t>modulo_codigo</t>
  </si>
  <si>
    <t>modulo_nombre</t>
  </si>
  <si>
    <t>curso_academico</t>
  </si>
  <si>
    <t>horas_semanales</t>
  </si>
  <si>
    <t>horas_totales</t>
  </si>
  <si>
    <t>profesor</t>
  </si>
  <si>
    <t>aula</t>
  </si>
  <si>
    <t>GR01</t>
  </si>
  <si>
    <t>1º ASIR — ISO</t>
  </si>
  <si>
    <t>nota</t>
  </si>
  <si>
    <t>fecha_calificacion</t>
  </si>
  <si>
    <t>convocatoria</t>
  </si>
  <si>
    <t>← Esta tabla se poblará automáticamente en Sprint 9 (Dashboard)</t>
  </si>
  <si>
    <t>nota_eval</t>
  </si>
  <si>
    <t>resultado</t>
  </si>
  <si>
    <t>fecha_cierre</t>
  </si>
  <si>
    <t>📋 Programación Didáctica — PAR 1º ASIR</t>
  </si>
  <si>
    <t>Distribución de RAs y CEs por Unidad de Trabajo · Planificación y Administración de Redes · 2026-2027</t>
  </si>
  <si>
    <t>Introducción a las redes locales</t>
  </si>
  <si>
    <t>12.9%</t>
  </si>
  <si>
    <t>CR1  CR2  CR3  CR4  CR5  CR6</t>
  </si>
  <si>
    <t>15%</t>
  </si>
  <si>
    <t>Dispositivos de red y medios de transmisión</t>
  </si>
  <si>
    <t>14.2%</t>
  </si>
  <si>
    <t>77.8%</t>
  </si>
  <si>
    <t>20%</t>
  </si>
  <si>
    <t>22.2%</t>
  </si>
  <si>
    <t>Configuración y administración de conmutadores</t>
  </si>
  <si>
    <t>Configuración y administración de routers</t>
  </si>
  <si>
    <t>18.1%</t>
  </si>
  <si>
    <t>25%</t>
  </si>
  <si>
    <t>Configuración de redes inalámbricas</t>
  </si>
  <si>
    <t>85.7%</t>
  </si>
  <si>
    <t>10%</t>
  </si>
  <si>
    <t>14.3%</t>
  </si>
  <si>
    <t>Introducción a las redes WAN y servicios de red</t>
  </si>
  <si>
    <t>CR11  CR12</t>
  </si>
  <si>
    <t>Resolución de incidencias de red</t>
  </si>
  <si>
    <t>13.5%</t>
  </si>
  <si>
    <t>🏢 RA6</t>
  </si>
  <si>
    <t>Reconoce la estructura de las redes de datos describiendo sus elementos y funcionamiento.</t>
  </si>
  <si>
    <t>24.9 h</t>
  </si>
  <si>
    <t>Integra ordenadores y periféricos en redes cableadas e inalámbricas, evaluando su funcionamiento y prestaciones.</t>
  </si>
  <si>
    <t>17.1 h</t>
  </si>
  <si>
    <t>Administra conmutadores estableciendo opciones de configuración para su integración en la red.</t>
  </si>
  <si>
    <t>Administra las funciones de un router estableciendo opciones de configuración para su integración en la red.</t>
  </si>
  <si>
    <t>52.9 h</t>
  </si>
  <si>
    <t>Configura redes inalámbricas en modo infraestructura describiendo sus características y relacionándolas con su área de aplicación.</t>
  </si>
  <si>
    <t>Soluciona problemas de conectividad en redes locales y en redes con salida a Internet identificando las causas y describiendo las soluciones.</t>
  </si>
  <si>
    <t>21.0 h</t>
  </si>
  <si>
    <t>TOTAL — 6 Resultados de Aprendizaje</t>
  </si>
  <si>
    <t>RA6 — Resolución de problemas de red — se evalúa en modalidad DUAL de acuerdo con el artículo 42 de la Ley Orgánica 3/2022. El alumno/a resuelve incidencias reales en el entorno laboral bajo supervisión del tutor/a de empresa. Peso en nota final: 10%.</t>
  </si>
  <si>
    <t>Peso del RA dual en la nota final: 10% = 0.1 puntos sobre 1  |  Evaluador: Tutor/a de empresa  |  Base legal: Ley Orgánica 3/2022, art. 42</t>
  </si>
  <si>
    <t>📝 Actividades Evaluables — PAR 1º ASIR</t>
  </si>
  <si>
    <t>Prácticas y exámenes vinculados a RAs y CEs · Planificación y Administración de Redes · 2026-2027</t>
  </si>
  <si>
    <t>UT6+UT7</t>
  </si>
  <si>
    <t>Calificaciones por alumno/a · Actividades, Exámenes y RAs · PAR 1º ASIR · 2026-2027</t>
  </si>
  <si>
    <t>Vista general del grupo · Estadísticas y KPIs · PAR 1º ASIR · 2026-2027</t>
  </si>
  <si>
    <t>RAs evaluados: RA1 42.9%  ·  RA2 57.1%  (pesos normalizados al 100% de esta evaluación)</t>
  </si>
  <si>
    <t>RA1: 15% global → 42.9% en Eval 1</t>
  </si>
  <si>
    <t>RA2: 20% global → 57.1% en Eval 1</t>
  </si>
  <si>
    <t>UT1
(20h)</t>
  </si>
  <si>
    <t>UT2
(22h)</t>
  </si>
  <si>
    <t>RA1
(42.9%)</t>
  </si>
  <si>
    <t>RA2
(57.1%)</t>
  </si>
  <si>
    <t>RAs evaluados: RA3 36.4%  ·  RA4 45.5%  ·  RA5 18.2%  (pesos normalizados al 100% de esta evaluación)</t>
  </si>
  <si>
    <t>RA3: 20% global → 36.4% en Eval 2</t>
  </si>
  <si>
    <t>RA4: 25% global → 45.5% en Eval 2</t>
  </si>
  <si>
    <t>RA5: 10% global → 18.2% en Eval 2</t>
  </si>
  <si>
    <t>UT4
(28h)</t>
  </si>
  <si>
    <t>UT5
(20h)</t>
  </si>
  <si>
    <t>RA3
(36.4%)</t>
  </si>
  <si>
    <t>RA4
(45.5%)</t>
  </si>
  <si>
    <t>RA5
(18.2%)</t>
  </si>
  <si>
    <t>📝 Evaluación 3  ·  UT6, UT7</t>
  </si>
  <si>
    <t>RAs evaluados: RA6 100.0%  (pesos normalizados al 100% de esta evaluación)</t>
  </si>
  <si>
    <t>RA6: 10% global → 100.0% en Eval 3</t>
  </si>
  <si>
    <t>UT7
(21h)</t>
  </si>
  <si>
    <t>🏢 RA6
(100.0%)
EMPRESA</t>
  </si>
  <si>
    <t>Nota final ponderada por Resultados de Aprendizaje · PAR 1º ASIR · 2026-2027</t>
  </si>
  <si>
    <t>RA1
(15%)</t>
  </si>
  <si>
    <t>RA2
(20%)</t>
  </si>
  <si>
    <t>RA3
(20%)</t>
  </si>
  <si>
    <t>RA4
(25%)</t>
  </si>
  <si>
    <t>RA5
(10%)</t>
  </si>
  <si>
    <t>🏢 RA6
(10%)
EMPRESA</t>
  </si>
  <si>
    <t>→ Introduce la nota de la empresa en la columna RA6 (columna I, fondo verde).  Peso en nota final: 10% = 0.1 puntos.  Base legal: Ley Orgánica 3/2022, art. 42.</t>
  </si>
  <si>
    <t>Solo alumnado NO APTO en 1ª Convocatoria · PAR 1º ASIR · 2026-2027</t>
  </si>
  <si>
    <t>← Auto desde 1ªORD col J</t>
  </si>
  <si>
    <t>🎯 Rúbricas de Evaluación — PAR 1º ASIR</t>
  </si>
  <si>
    <t>Indicadores de logro por Resultado de Aprendizaje · Planificación y Administración de Redes · 2026-2027</t>
  </si>
  <si>
    <t>RA1 · EV1 · Pond. 15%  —  Reconoce la estructura de las redes de datos describiendo sus elementos y funcionamiento.</t>
  </si>
  <si>
    <t>No identifica CR1 ni lo aplica en el contexto de Reconoce la estructura de las redes de datos .</t>
  </si>
  <si>
    <t>No identifica CR2 ni lo aplica en el contexto de Reconoce la estructura de las redes de datos .</t>
  </si>
  <si>
    <t>No identifica CR3 ni lo aplica en el contexto de Reconoce la estructura de las redes de datos .</t>
  </si>
  <si>
    <t>No identifica CR4 ni lo aplica en el contexto de Reconoce la estructura de las redes de datos .</t>
  </si>
  <si>
    <t>No identifica CR5 ni lo aplica en el contexto de Reconoce la estructura de las redes de datos .</t>
  </si>
  <si>
    <t>No identifica CR6 ni lo aplica en el contexto de Reconoce la estructura de las redes de datos .</t>
  </si>
  <si>
    <t>No identifica CR7 ni lo aplica en el contexto de Reconoce la estructura de las redes de datos .</t>
  </si>
  <si>
    <t>No identifica CR8 ni lo aplica en el contexto de Reconoce la estructura de las redes de datos .</t>
  </si>
  <si>
    <t>RA2 · EV1 · Pond. 20%  —  Integra ordenadores y periféricos en redes cableadas e inalámbricas, evaluando su funcionamiento y prestaciones.</t>
  </si>
  <si>
    <t>No identifica CR1 ni lo aplica en el contexto de Integra ordenadores y periféricos en redes ca.</t>
  </si>
  <si>
    <t>No identifica CR2 ni lo aplica en el contexto de Integra ordenadores y periféricos en redes ca.</t>
  </si>
  <si>
    <t>No identifica CR3 ni lo aplica en el contexto de Integra ordenadores y periféricos en redes ca.</t>
  </si>
  <si>
    <t>No identifica CR4 ni lo aplica en el contexto de Integra ordenadores y periféricos en redes ca.</t>
  </si>
  <si>
    <t>No identifica CR5 ni lo aplica en el contexto de Integra ordenadores y periféricos en redes ca.</t>
  </si>
  <si>
    <t>No identifica CR6 ni lo aplica en el contexto de Integra ordenadores y periféricos en redes ca.</t>
  </si>
  <si>
    <t>No identifica CR7 ni lo aplica en el contexto de Integra ordenadores y periféricos en redes ca.</t>
  </si>
  <si>
    <t>Total: 7 indicadores · Nota RA: media ponderada de niveles × 2.5  (Nivel 1=0-4 · Nivel 2=5-6 · Nivel 3=7-8 · Nivel 4=9-10)</t>
  </si>
  <si>
    <t>RA3 · EV2 · Pond. 20%  —  Administra conmutadores estableciendo opciones de configuración para su integración en la red.</t>
  </si>
  <si>
    <t>No identifica CR1 ni lo aplica en el contexto de Administra conmutadores estableciendo opcione.</t>
  </si>
  <si>
    <t>No identifica CR2 ni lo aplica en el contexto de Administra conmutadores estableciendo opcione.</t>
  </si>
  <si>
    <t>No identifica CR3 ni lo aplica en el contexto de Administra conmutadores estableciendo opcione.</t>
  </si>
  <si>
    <t>No identifica CR4 ni lo aplica en el contexto de Administra conmutadores estableciendo opcione.</t>
  </si>
  <si>
    <t>No identifica CR5 ni lo aplica en el contexto de Administra conmutadores estableciendo opcione.</t>
  </si>
  <si>
    <t>No identifica CR6 ni lo aplica en el contexto de Administra conmutadores estableciendo opcione.</t>
  </si>
  <si>
    <t>No identifica CR7 ni lo aplica en el contexto de Administra conmutadores estableciendo opcione.</t>
  </si>
  <si>
    <t>No identifica CR8 ni lo aplica en el contexto de Administra conmutadores estableciendo opcione.</t>
  </si>
  <si>
    <t>RA4 · EV2 · Pond. 25%  —  Administra las funciones de un router estableciendo opciones de configuración para su integración en la red.</t>
  </si>
  <si>
    <t>No identifica CR1 ni lo aplica en el contexto de Administra las funciones de un router estable.</t>
  </si>
  <si>
    <t>8.3%</t>
  </si>
  <si>
    <t>No identifica CR2 ni lo aplica en el contexto de Administra las funciones de un router estable.</t>
  </si>
  <si>
    <t>No identifica CR3 ni lo aplica en el contexto de Administra las funciones de un router estable.</t>
  </si>
  <si>
    <t>No identifica CR4 ni lo aplica en el contexto de Administra las funciones de un router estable.</t>
  </si>
  <si>
    <t>No identifica CR5 ni lo aplica en el contexto de Administra las funciones de un router estable.</t>
  </si>
  <si>
    <t>No identifica CR6 ni lo aplica en el contexto de Administra las funciones de un router estable.</t>
  </si>
  <si>
    <t>No identifica CR7 ni lo aplica en el contexto de Administra las funciones de un router estable.</t>
  </si>
  <si>
    <t>No identifica CR8 ni lo aplica en el contexto de Administra las funciones de un router estable.</t>
  </si>
  <si>
    <t>No identifica CR9 ni lo aplica en el contexto de Administra las funciones de un router estable.</t>
  </si>
  <si>
    <t>No identifica CR10 ni lo aplica en el contexto de Administra las funciones de un router estable.</t>
  </si>
  <si>
    <t>No identifica CR11 ni lo aplica en el contexto de Administra las funciones de un router estable.</t>
  </si>
  <si>
    <t>No identifica CR12 ni lo aplica en el contexto de Administra las funciones de un router estable.</t>
  </si>
  <si>
    <t>Total: 12 indicadores · Nota RA: media ponderada de niveles × 2.5  (Nivel 1=0-4 · Nivel 2=5-6 · Nivel 3=7-8 · Nivel 4=9-10)</t>
  </si>
  <si>
    <t>RA5 · EV2 · Pond. 10%  —  Configura redes inalámbricas en modo infraestructura describiendo sus características y relacionándolas con su área de aplicación.</t>
  </si>
  <si>
    <t>No identifica CR1 ni lo aplica en el contexto de Configura redes inalámbricas en modo infraest.</t>
  </si>
  <si>
    <t>16.7%</t>
  </si>
  <si>
    <t>No identifica CR2 ni lo aplica en el contexto de Configura redes inalámbricas en modo infraest.</t>
  </si>
  <si>
    <t>No identifica CR3 ni lo aplica en el contexto de Configura redes inalámbricas en modo infraest.</t>
  </si>
  <si>
    <t>No identifica CR4 ni lo aplica en el contexto de Configura redes inalámbricas en modo infraest.</t>
  </si>
  <si>
    <t>No identifica CR5 ni lo aplica en el contexto de Configura redes inalámbricas en modo infraest.</t>
  </si>
  <si>
    <t>No identifica CR6 ni lo aplica en el contexto de Configura redes inalámbricas en modo infraest.</t>
  </si>
  <si>
    <t>Total: 6 indicadores · Nota RA: media ponderada de niveles × 2.5  (Nivel 1=0-4 · Nivel 2=5-6 · Nivel 3=7-8 · Nivel 4=9-10)</t>
  </si>
  <si>
    <t>🏢 DUAL · RA6 · EV3 · Pond. 10%  —  Soluciona problemas de conectividad en redes locales y en redes con salida a Internet identificando las causas y describiendo las soluciones.</t>
  </si>
  <si>
    <t>No identifica CR1 ni lo aplica en el contexto de Soluciona problemas de conectividad en redes .</t>
  </si>
  <si>
    <t>No identifica CR2 ni lo aplica en el contexto de Soluciona problemas de conectividad en redes .</t>
  </si>
  <si>
    <t>No identifica CR3 ni lo aplica en el contexto de Soluciona problemas de conectividad en redes .</t>
  </si>
  <si>
    <t>No identifica CR4 ni lo aplica en el contexto de Soluciona problemas de conectividad en redes .</t>
  </si>
  <si>
    <t>No identifica CR5 ni lo aplica en el contexto de Soluciona problemas de conectividad en redes .</t>
  </si>
  <si>
    <t>No identifica CR6 ni lo aplica en el contexto de Soluciona problemas de conectividad en redes .</t>
  </si>
  <si>
    <t>No identifica CR7 ni lo aplica en el contexto de Soluciona problemas de conectividad en redes .</t>
  </si>
  <si>
    <t>📈 Informe de Grupo — PAR 1º ASIR</t>
  </si>
  <si>
    <t>Estadísticas y seguimiento del grupo · Planificación y Administración de Redes · 2026-2027</t>
  </si>
  <si>
    <t>RA6
(10%)</t>
  </si>
  <si>
    <t>Generado automáticamente desde 1ªORD · Planificación y Administración de Redes · 2026-2027</t>
  </si>
  <si>
    <t>Informe de calificaciones por alumno/a · PAR 1º ASIR · 2026-2027</t>
  </si>
  <si>
    <t>📘  EVALUACIÓN 1  ·  RA1 + RA2  (35% del módulo)</t>
  </si>
  <si>
    <t>A003·RA1</t>
  </si>
  <si>
    <t>📗  EVALUACIÓN 2  ·  RA3 + RA4 + RA5  (55% del módulo)</t>
  </si>
  <si>
    <t>A007·RA4</t>
  </si>
  <si>
    <t>📙  EVALUACIÓN 3  ·  RA6  (10% del módulo)</t>
  </si>
  <si>
    <t>A008·RA6</t>
  </si>
  <si>
    <t>Planificación y Administración de Redes  ·  1º ASIR  ·  2026-2027</t>
  </si>
  <si>
    <t>RA1
EV1 · 15%</t>
  </si>
  <si>
    <t>RA2
EV1 · 20%</t>
  </si>
  <si>
    <t>RA3
EV2 · 20%</t>
  </si>
  <si>
    <t>RA4
EV2 · 25%</t>
  </si>
  <si>
    <t>RA5
EV2 · 10%</t>
  </si>
  <si>
    <t>RA6
EV3 · 10%</t>
  </si>
  <si>
    <t>DHCP · DNS · VPN · MPLS</t>
  </si>
  <si>
    <t>CR1, CR2, CR3, CR4, CR5, CR6</t>
  </si>
  <si>
    <t>CR11, CR12</t>
  </si>
  <si>
    <t>1º ASIR — PAR</t>
  </si>
  <si>
    <t>0370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</si>
</sst>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5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10"/>
      <color rgb="FFBDD7EE"/>
      <name val="Calibri"/>
      <family val="2"/>
    </font>
    <font>
      <b/>
      <sz val="9"/>
      <color rgb="FFFFFFFF"/>
      <name val="Calibri"/>
      <family val="2"/>
    </font>
    <font>
      <sz val="9"/>
      <color rgb="FFFFFFFF"/>
      <name val="Calibri"/>
      <family val="2"/>
    </font>
    <font>
      <b/>
      <sz val="13"/>
      <color rgb="FF1B3A5C"/>
      <name val="Calibri"/>
      <family val="2"/>
    </font>
    <font>
      <b/>
      <sz val="10"/>
      <color rgb="FF1B3A5C"/>
      <name val="Calibri"/>
      <family val="2"/>
    </font>
    <font>
      <sz val="10"/>
      <color rgb="FF595959"/>
      <name val="Calibri"/>
      <family val="2"/>
    </font>
    <font>
      <b/>
      <sz val="10"/>
      <color rgb="FFFFFFFF"/>
      <name val="Calibri"/>
      <family val="2"/>
    </font>
    <font>
      <sz val="10"/>
      <color rgb="FF1B3A5C"/>
      <name val="Calibri"/>
      <family val="2"/>
    </font>
    <font>
      <sz val="10"/>
      <color rgb="FF4472C4"/>
      <name val="Calibri"/>
      <family val="2"/>
    </font>
    <font>
      <sz val="10"/>
      <color rgb="FF70AD47"/>
      <name val="Calibri"/>
      <family val="2"/>
    </font>
    <font>
      <sz val="10"/>
      <color rgb="FFE87222"/>
      <name val="Calibri"/>
      <family val="2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i/>
      <sz val="9"/>
      <color rgb="FF70AD47"/>
      <name val="Calibri"/>
      <family val="2"/>
    </font>
    <font>
      <b/>
      <sz val="10"/>
      <color rgb="FFC00000"/>
      <name val="Calibri"/>
      <family val="2"/>
    </font>
    <font>
      <b/>
      <sz val="10"/>
      <color rgb="FF107C10"/>
      <name val="Calibri"/>
      <family val="2"/>
    </font>
    <font>
      <i/>
      <sz val="8"/>
      <color rgb="FF7F6000"/>
      <name val="Calibri"/>
      <family val="2"/>
    </font>
    <font>
      <i/>
      <sz val="9"/>
      <color rgb="FF7F6000"/>
      <name val="Calibri"/>
      <family val="2"/>
    </font>
    <font>
      <sz val="10"/>
      <color rgb="FF2D6A9F"/>
      <name val="Calibri"/>
      <family val="2"/>
    </font>
    <font>
      <b/>
      <sz val="9"/>
      <color rgb="FF107C10"/>
      <name val="Calibri"/>
      <family val="2"/>
    </font>
    <font>
      <i/>
      <sz val="8"/>
      <color rgb="FF595959"/>
      <name val="Calibri"/>
      <family val="2"/>
    </font>
    <font>
      <sz val="9"/>
      <color rgb="FF1B3A5C"/>
      <name val="Calibri"/>
      <family val="2"/>
    </font>
    <font>
      <sz val="9"/>
      <color rgb="FF595959"/>
      <name val="Calibri"/>
      <family val="2"/>
    </font>
    <font>
      <i/>
      <sz val="9"/>
      <color rgb="FF2563EB"/>
      <name val="Calibri"/>
      <family val="2"/>
    </font>
    <font>
      <b/>
      <sz val="16"/>
      <color rgb="FF1B3A5C"/>
      <name val="Calibri"/>
      <family val="2"/>
    </font>
    <font>
      <i/>
      <sz val="11"/>
      <color rgb="FF595959"/>
      <name val="Calibri"/>
      <family val="2"/>
    </font>
    <font>
      <b/>
      <sz val="8"/>
      <color rgb="FFFFFFFF"/>
      <name val="Calibri"/>
      <family val="2"/>
    </font>
    <font>
      <b/>
      <sz val="9"/>
      <color rgb="FF1B3A5C"/>
      <name val="Calibri"/>
      <family val="2"/>
    </font>
    <font>
      <sz val="9"/>
      <color rgb="FF2D6A9F"/>
      <name val="Calibri"/>
      <family val="2"/>
    </font>
    <font>
      <sz val="9"/>
      <color rgb="FF107C10"/>
      <name val="Calibri"/>
      <family val="2"/>
    </font>
    <font>
      <b/>
      <sz val="10"/>
      <color rgb="FF595959"/>
      <name val="Calibri"/>
      <family val="2"/>
    </font>
    <font>
      <b/>
      <sz val="10"/>
      <color rgb="FFE87222"/>
      <name val="Calibri"/>
      <family val="2"/>
    </font>
    <font>
      <sz val="10"/>
      <color rgb="FF107C10"/>
      <name val="Calibri"/>
      <family val="2"/>
    </font>
    <font>
      <sz val="10"/>
      <color rgb="FFC00000"/>
      <name val="Calibri"/>
      <family val="2"/>
    </font>
    <font>
      <b/>
      <sz val="9"/>
      <color rgb="FF2D6A9F"/>
      <name val="Calibri"/>
      <family val="2"/>
    </font>
    <font>
      <b/>
      <sz val="11"/>
      <color rgb="FF1B3A5C"/>
      <name val="Calibri"/>
      <family val="2"/>
    </font>
    <font>
      <sz val="11"/>
      <color rgb="FF333333"/>
      <name val="Calibri"/>
      <family val="2"/>
    </font>
    <font>
      <sz val="9"/>
      <color rgb="FF2D6A9F"/>
      <name val="Courier New"/>
      <family val="1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b/>
      <sz val="9"/>
      <color rgb="FF1F6B3A"/>
      <name val="Calibri"/>
      <family val="2"/>
    </font>
    <font>
      <b/>
      <sz val="9"/>
      <color rgb="FFC00000"/>
      <name val="Calibri"/>
      <family val="2"/>
    </font>
    <font>
      <b/>
      <sz val="9"/>
      <color rgb="FF7F6000"/>
      <name val="Calibri"/>
      <family val="2"/>
    </font>
    <font>
      <b/>
      <sz val="9"/>
      <color rgb="FF595959"/>
      <name val="Calibri"/>
      <family val="2"/>
    </font>
    <font>
      <i/>
      <sz val="10"/>
      <color rgb="FF595959"/>
      <name val="Calibri"/>
      <family val="2"/>
    </font>
    <font>
      <b/>
      <sz val="12"/>
      <color rgb="FF1B3A5C"/>
      <name val="Calibri"/>
      <family val="2"/>
    </font>
    <font>
      <i/>
      <sz val="8"/>
      <color rgb="FF4472C4"/>
      <name val="Calibri"/>
      <family val="2"/>
    </font>
    <font>
      <i/>
      <sz val="8"/>
      <color rgb="FFE87222"/>
      <name val="Calibri"/>
      <family val="2"/>
    </font>
    <font>
      <i/>
      <sz val="8"/>
      <color rgb="FF70AD47"/>
      <name val="Calibri"/>
      <family val="2"/>
    </font>
    <font>
      <i/>
      <sz val="8"/>
      <color rgb="FF2E75B6"/>
      <name val="Calibri"/>
      <family val="2"/>
    </font>
    <font>
      <i/>
      <sz val="8"/>
      <color rgb="FF7030A0"/>
      <name val="Calibri"/>
      <family val="2"/>
    </font>
    <font>
      <i/>
      <sz val="8"/>
      <color rgb="FFC00000"/>
      <name val="Calibri"/>
      <family val="2"/>
    </font>
    <font>
      <i/>
      <sz val="8"/>
      <color rgb="FF375623"/>
      <name val="Calibri"/>
      <family val="2"/>
    </font>
    <font>
      <i/>
      <sz val="8"/>
      <color rgb="FF833C00"/>
      <name val="Calibri"/>
      <family val="2"/>
    </font>
    <font>
      <sz val="9"/>
      <color rgb="FF1F6B3A"/>
      <name val="Calibri"/>
      <family val="2"/>
    </font>
    <font>
      <b/>
      <sz val="8"/>
      <color rgb="FF595959"/>
      <name val="Calibri"/>
      <family val="2"/>
    </font>
    <font>
      <b/>
      <sz val="8"/>
      <color rgb="FF1B3A5C"/>
      <name val="Calibri"/>
      <family val="2"/>
    </font>
    <font>
      <sz val="8"/>
      <color rgb="FF4472C4"/>
      <name val="Calibri"/>
      <family val="2"/>
    </font>
    <font>
      <sz val="8"/>
      <color rgb="FFE87222"/>
      <name val="Calibri"/>
      <family val="2"/>
    </font>
    <font>
      <sz val="8"/>
      <color rgb="FF70AD47"/>
      <name val="Calibri"/>
      <family val="2"/>
    </font>
    <font>
      <sz val="8"/>
      <color rgb="FF2E75B6"/>
      <name val="Calibri"/>
      <family val="2"/>
    </font>
    <font>
      <sz val="8"/>
      <color rgb="FF7030A0"/>
      <name val="Calibri"/>
      <family val="2"/>
    </font>
    <font>
      <sz val="8"/>
      <color rgb="FFC00000"/>
      <name val="Calibri"/>
      <family val="2"/>
    </font>
    <font>
      <sz val="8"/>
      <color rgb="FF375623"/>
      <name val="Calibri"/>
      <family val="2"/>
    </font>
    <font>
      <sz val="8"/>
      <color rgb="FF833C00"/>
      <name val="Calibri"/>
      <family val="2"/>
    </font>
    <font>
      <sz val="9"/>
      <color rgb="FFC00000"/>
      <name val="Calibri"/>
      <family val="2"/>
    </font>
    <font>
      <i/>
      <sz val="9"/>
      <color rgb="FF1B3A5C"/>
      <name val="Calibri"/>
      <family val="2"/>
    </font>
    <font>
      <b/>
      <sz val="14"/>
      <color rgb="FFC00000"/>
      <name val="Calibri"/>
      <family val="2"/>
    </font>
    <font>
      <b/>
      <sz val="9"/>
      <color rgb="FF4472C4"/>
      <name val="Calibri"/>
      <family val="2"/>
    </font>
    <font>
      <b/>
      <sz val="9"/>
      <color rgb="FF70AD47"/>
      <name val="Calibri"/>
      <family val="2"/>
    </font>
    <font>
      <b/>
      <sz val="9"/>
      <color rgb="FFE87222"/>
      <name val="Calibri"/>
      <family val="2"/>
    </font>
    <font>
      <b/>
      <sz val="14"/>
      <color rgb="FFFFFFFF"/>
      <name val="Calibri"/>
      <family val="2"/>
    </font>
    <font>
      <b/>
      <sz val="14"/>
      <color rgb="FF1B3A5C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1B3A5C"/>
      </patternFill>
    </fill>
    <fill>
      <patternFill patternType="solid">
        <fgColor rgb="FFEBF5FE"/>
      </patternFill>
    </fill>
    <fill>
      <patternFill patternType="solid">
        <fgColor rgb="FF2D6A9F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E87222"/>
      </patternFill>
    </fill>
    <fill>
      <patternFill patternType="solid">
        <fgColor rgb="FF70AD47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2F2F2"/>
      </patternFill>
    </fill>
    <fill>
      <patternFill patternType="solid">
        <fgColor rgb="FFFDECEA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FDE9D7"/>
      </patternFill>
    </fill>
    <fill>
      <patternFill patternType="solid">
        <fgColor rgb="FFD6E8F5"/>
      </patternFill>
    </fill>
    <fill>
      <patternFill patternType="solid">
        <fgColor rgb="FFEAE0F5"/>
      </patternFill>
    </fill>
    <fill>
      <patternFill patternType="solid">
        <fgColor rgb="FFF5DCDC"/>
      </patternFill>
    </fill>
    <fill>
      <patternFill patternType="solid">
        <fgColor rgb="FF107C10"/>
      </patternFill>
    </fill>
    <fill>
      <patternFill patternType="solid">
        <fgColor rgb="FFF9E5D7"/>
      </patternFill>
    </fill>
    <fill>
      <patternFill patternType="solid">
        <fgColor rgb="FFD9D9D9"/>
      </patternFill>
    </fill>
    <fill>
      <patternFill patternType="solid">
        <fgColor rgb="FF1F6B3A"/>
      </patternFill>
    </fill>
    <fill>
      <patternFill patternType="solid">
        <fgColor rgb="FFE8F5E9"/>
      </patternFill>
    </fill>
    <fill>
      <patternFill patternType="solid">
        <fgColor rgb="FFC8E6C9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F6B3A"/>
      </left>
      <right style="thin">
        <color rgb="FF1F6B3A"/>
      </right>
      <top style="thin">
        <color rgb="FF1F6B3A"/>
      </top>
      <bottom style="thin">
        <color rgb="FF1F6B3A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1">
    <xf numFmtId="0" fontId="0" fillId="0" borderId="0"/>
  </cellStyleXfs>
  <cellXfs count="362">
    <xf numFmtId="0" fontId="0" fillId="0" borderId="0" xfId="0"/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4" borderId="0" xfId="0" applyFill="1"/>
    <xf numFmtId="0" fontId="5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5" fillId="0" borderId="0" xfId="0" applyFont="1"/>
    <xf numFmtId="0" fontId="8" fillId="3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/>
    <xf numFmtId="0" fontId="7" fillId="15" borderId="1" xfId="0" applyFont="1" applyFill="1" applyBorder="1" applyAlignment="1">
      <alignment horizontal="left" vertical="center"/>
    </xf>
    <xf numFmtId="9" fontId="16" fillId="16" borderId="1" xfId="0" applyNumberFormat="1" applyFont="1" applyFill="1" applyBorder="1" applyAlignment="1">
      <alignment horizontal="center" vertical="center"/>
    </xf>
    <xf numFmtId="9" fontId="17" fillId="17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4" fillId="6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6" borderId="1" xfId="0" applyFill="1" applyBorder="1"/>
    <xf numFmtId="164" fontId="23" fillId="4" borderId="1" xfId="0" applyNumberFormat="1" applyFont="1" applyFill="1" applyBorder="1" applyAlignment="1">
      <alignment horizontal="center" vertical="center"/>
    </xf>
    <xf numFmtId="164" fontId="23" fillId="6" borderId="1" xfId="0" applyNumberFormat="1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33" fillId="20" borderId="1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left"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34" fillId="17" borderId="1" xfId="0" applyNumberFormat="1" applyFont="1" applyFill="1" applyBorder="1" applyAlignment="1">
      <alignment horizontal="center" vertical="center"/>
    </xf>
    <xf numFmtId="49" fontId="35" fillId="23" borderId="1" xfId="0" applyNumberFormat="1" applyFont="1" applyFill="1" applyBorder="1" applyAlignment="1">
      <alignment horizontal="center" vertical="center"/>
    </xf>
    <xf numFmtId="49" fontId="12" fillId="20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6" fillId="23" borderId="2" xfId="0" applyFont="1" applyFill="1" applyBorder="1" applyAlignment="1">
      <alignment horizontal="center" vertical="center"/>
    </xf>
    <xf numFmtId="0" fontId="33" fillId="20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27" fillId="0" borderId="0" xfId="0" applyFont="1"/>
    <xf numFmtId="0" fontId="37" fillId="0" borderId="0" xfId="0" applyFont="1"/>
    <xf numFmtId="0" fontId="38" fillId="0" borderId="0" xfId="0" applyFont="1"/>
    <xf numFmtId="0" fontId="37" fillId="4" borderId="0" xfId="0" applyFont="1" applyFill="1"/>
    <xf numFmtId="0" fontId="39" fillId="0" borderId="0" xfId="0" applyFont="1"/>
    <xf numFmtId="0" fontId="8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32" fillId="4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center" vertical="center"/>
    </xf>
    <xf numFmtId="0" fontId="41" fillId="20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/>
    </xf>
    <xf numFmtId="0" fontId="41" fillId="17" borderId="1" xfId="0" applyFont="1" applyFill="1" applyBorder="1" applyAlignment="1">
      <alignment horizontal="left" vertical="center" wrapText="1"/>
    </xf>
    <xf numFmtId="0" fontId="0" fillId="26" borderId="0" xfId="0" applyFill="1"/>
    <xf numFmtId="0" fontId="3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horizontal="center" vertical="center"/>
    </xf>
    <xf numFmtId="0" fontId="41" fillId="21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/>
    </xf>
    <xf numFmtId="0" fontId="41" fillId="22" borderId="1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24" fillId="23" borderId="1" xfId="0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center" vertical="center"/>
    </xf>
    <xf numFmtId="0" fontId="41" fillId="23" borderId="1" xfId="0" applyFont="1" applyFill="1" applyBorder="1" applyAlignment="1">
      <alignment horizontal="left" vertical="center" wrapText="1"/>
    </xf>
    <xf numFmtId="0" fontId="8" fillId="27" borderId="2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left" vertical="center" wrapText="1"/>
    </xf>
    <xf numFmtId="0" fontId="6" fillId="25" borderId="1" xfId="0" applyFont="1" applyFill="1" applyBorder="1" applyAlignment="1">
      <alignment horizontal="center" vertical="center"/>
    </xf>
    <xf numFmtId="0" fontId="41" fillId="25" borderId="1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/>
    </xf>
    <xf numFmtId="0" fontId="29" fillId="0" borderId="0" xfId="0" applyFont="1"/>
    <xf numFmtId="0" fontId="21" fillId="0" borderId="0" xfId="0" applyFont="1"/>
    <xf numFmtId="0" fontId="43" fillId="0" borderId="0" xfId="0" applyFont="1"/>
    <xf numFmtId="0" fontId="44" fillId="0" borderId="0" xfId="0" applyFont="1"/>
    <xf numFmtId="0" fontId="32" fillId="1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41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46" fillId="0" borderId="0" xfId="0" applyFont="1"/>
    <xf numFmtId="0" fontId="37" fillId="4" borderId="1" xfId="0" applyFont="1" applyFill="1" applyBorder="1" applyAlignment="1">
      <alignment horizontal="left" vertical="center"/>
    </xf>
    <xf numFmtId="0" fontId="47" fillId="6" borderId="1" xfId="0" applyFont="1" applyFill="1" applyBorder="1" applyAlignment="1">
      <alignment horizontal="center" vertical="center"/>
    </xf>
    <xf numFmtId="0" fontId="48" fillId="0" borderId="0" xfId="0" applyFont="1"/>
    <xf numFmtId="0" fontId="49" fillId="0" borderId="0" xfId="0" applyFont="1"/>
    <xf numFmtId="0" fontId="3" fillId="7" borderId="2" xfId="0" applyFont="1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/>
    </xf>
    <xf numFmtId="2" fontId="23" fillId="19" borderId="1" xfId="0" applyNumberFormat="1" applyFont="1" applyFill="1" applyBorder="1" applyAlignment="1">
      <alignment horizontal="center" vertical="center"/>
    </xf>
    <xf numFmtId="2" fontId="23" fillId="20" borderId="1" xfId="0" applyNumberFormat="1" applyFont="1" applyFill="1" applyBorder="1" applyAlignment="1">
      <alignment horizontal="center" vertical="center"/>
    </xf>
    <xf numFmtId="2" fontId="29" fillId="4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50" fillId="0" borderId="0" xfId="0" applyFont="1"/>
    <xf numFmtId="0" fontId="51" fillId="0" borderId="0" xfId="0" applyFont="1"/>
    <xf numFmtId="0" fontId="52" fillId="0" borderId="0" xfId="0" applyFont="1"/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2" fontId="23" fillId="17" borderId="1" xfId="0" applyNumberFormat="1" applyFont="1" applyFill="1" applyBorder="1" applyAlignment="1">
      <alignment horizontal="center" vertical="center"/>
    </xf>
    <xf numFmtId="2" fontId="23" fillId="21" borderId="1" xfId="0" applyNumberFormat="1" applyFont="1" applyFill="1" applyBorder="1" applyAlignment="1">
      <alignment horizontal="center" vertical="center"/>
    </xf>
    <xf numFmtId="2" fontId="23" fillId="22" borderId="1" xfId="0" applyNumberFormat="1" applyFont="1" applyFill="1" applyBorder="1" applyAlignment="1">
      <alignment horizontal="center" vertical="center"/>
    </xf>
    <xf numFmtId="0" fontId="53" fillId="0" borderId="0" xfId="0" applyFont="1"/>
    <xf numFmtId="0" fontId="54" fillId="0" borderId="0" xfId="0" applyFont="1"/>
    <xf numFmtId="0" fontId="55" fillId="0" borderId="0" xfId="0" applyFont="1"/>
    <xf numFmtId="0" fontId="3" fillId="27" borderId="2" xfId="0" applyFont="1" applyFill="1" applyBorder="1" applyAlignment="1">
      <alignment horizontal="center" vertical="center" wrapText="1"/>
    </xf>
    <xf numFmtId="2" fontId="23" fillId="23" borderId="1" xfId="0" applyNumberFormat="1" applyFont="1" applyFill="1" applyBorder="1" applyAlignment="1">
      <alignment horizontal="center" vertical="center"/>
    </xf>
    <xf numFmtId="2" fontId="56" fillId="29" borderId="1" xfId="0" applyNumberFormat="1" applyFont="1" applyFill="1" applyBorder="1" applyAlignment="1">
      <alignment horizontal="center" vertical="center"/>
    </xf>
    <xf numFmtId="0" fontId="57" fillId="0" borderId="0" xfId="0" applyFont="1"/>
    <xf numFmtId="0" fontId="28" fillId="7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58" fillId="0" borderId="0" xfId="0" applyFont="1"/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22" fillId="0" borderId="0" xfId="0" applyFont="1"/>
    <xf numFmtId="0" fontId="8" fillId="12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1" fontId="16" fillId="16" borderId="1" xfId="0" applyNumberFormat="1" applyFont="1" applyFill="1" applyBorder="1" applyAlignment="1">
      <alignment horizontal="center" vertical="center"/>
    </xf>
    <xf numFmtId="2" fontId="67" fillId="23" borderId="1" xfId="0" applyNumberFormat="1" applyFont="1" applyFill="1" applyBorder="1" applyAlignment="1">
      <alignment horizontal="center" vertical="center"/>
    </xf>
    <xf numFmtId="2" fontId="0" fillId="20" borderId="1" xfId="0" applyNumberFormat="1" applyFill="1" applyBorder="1" applyAlignment="1">
      <alignment horizontal="center" vertical="center"/>
    </xf>
    <xf numFmtId="0" fontId="68" fillId="0" borderId="0" xfId="0" applyFont="1"/>
    <xf numFmtId="0" fontId="22" fillId="16" borderId="1" xfId="0" applyFont="1" applyFill="1" applyBorder="1" applyAlignment="1">
      <alignment horizontal="left" vertical="top" wrapText="1"/>
    </xf>
    <xf numFmtId="0" fontId="22" fillId="20" borderId="1" xfId="0" applyFont="1" applyFill="1" applyBorder="1" applyAlignment="1">
      <alignment horizontal="left" vertical="top" wrapText="1"/>
    </xf>
    <xf numFmtId="0" fontId="22" fillId="19" borderId="1" xfId="0" applyFont="1" applyFill="1" applyBorder="1" applyAlignment="1">
      <alignment horizontal="left" vertical="top" wrapText="1"/>
    </xf>
    <xf numFmtId="0" fontId="22" fillId="17" borderId="1" xfId="0" applyFont="1" applyFill="1" applyBorder="1" applyAlignment="1">
      <alignment horizontal="left" vertical="top" wrapText="1"/>
    </xf>
    <xf numFmtId="0" fontId="3" fillId="27" borderId="2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" fontId="13" fillId="24" borderId="1" xfId="0" applyNumberFormat="1" applyFont="1" applyFill="1" applyBorder="1" applyAlignment="1">
      <alignment horizontal="center" vertical="center"/>
    </xf>
    <xf numFmtId="1" fontId="13" fillId="12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2" fontId="13" fillId="24" borderId="1" xfId="0" applyNumberFormat="1" applyFont="1" applyFill="1" applyBorder="1" applyAlignment="1">
      <alignment horizontal="center" vertical="center"/>
    </xf>
    <xf numFmtId="2" fontId="13" fillId="12" borderId="1" xfId="0" applyNumberFormat="1" applyFont="1" applyFill="1" applyBorder="1" applyAlignment="1">
      <alignment horizontal="center" vertical="center"/>
    </xf>
    <xf numFmtId="2" fontId="13" fillId="8" borderId="1" xfId="0" applyNumberFormat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 wrapText="1"/>
    </xf>
    <xf numFmtId="2" fontId="37" fillId="19" borderId="1" xfId="0" applyNumberFormat="1" applyFont="1" applyFill="1" applyBorder="1" applyAlignment="1">
      <alignment horizontal="center" vertical="center"/>
    </xf>
    <xf numFmtId="2" fontId="37" fillId="20" borderId="1" xfId="0" applyNumberFormat="1" applyFont="1" applyFill="1" applyBorder="1" applyAlignment="1">
      <alignment horizontal="center" vertical="center"/>
    </xf>
    <xf numFmtId="2" fontId="37" fillId="17" borderId="1" xfId="0" applyNumberFormat="1" applyFont="1" applyFill="1" applyBorder="1" applyAlignment="1">
      <alignment horizontal="center" vertical="center"/>
    </xf>
    <xf numFmtId="2" fontId="37" fillId="21" borderId="1" xfId="0" applyNumberFormat="1" applyFont="1" applyFill="1" applyBorder="1" applyAlignment="1">
      <alignment horizontal="center" vertical="center"/>
    </xf>
    <xf numFmtId="2" fontId="37" fillId="22" borderId="1" xfId="0" applyNumberFormat="1" applyFont="1" applyFill="1" applyBorder="1" applyAlignment="1">
      <alignment horizontal="center" vertical="center"/>
    </xf>
    <xf numFmtId="2" fontId="37" fillId="23" borderId="1" xfId="0" applyNumberFormat="1" applyFont="1" applyFill="1" applyBorder="1" applyAlignment="1">
      <alignment horizontal="center" vertical="center"/>
    </xf>
    <xf numFmtId="2" fontId="37" fillId="25" borderId="1" xfId="0" applyNumberFormat="1" applyFont="1" applyFill="1" applyBorder="1" applyAlignment="1">
      <alignment horizontal="center" vertical="center"/>
    </xf>
    <xf numFmtId="2" fontId="23" fillId="25" borderId="1" xfId="0" applyNumberFormat="1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69" fillId="16" borderId="6" xfId="0" applyFont="1" applyFill="1" applyBorder="1" applyAlignment="1">
      <alignment horizontal="center" vertical="center"/>
    </xf>
    <xf numFmtId="0" fontId="45" fillId="0" borderId="0" xfId="0" applyFont="1"/>
    <xf numFmtId="0" fontId="23" fillId="0" borderId="0" xfId="0" applyFont="1"/>
    <xf numFmtId="0" fontId="28" fillId="7" borderId="2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left" vertical="center"/>
    </xf>
    <xf numFmtId="2" fontId="23" fillId="4" borderId="1" xfId="0" applyNumberFormat="1" applyFont="1" applyFill="1" applyBorder="1" applyAlignment="1">
      <alignment horizontal="center" vertical="center"/>
    </xf>
    <xf numFmtId="2" fontId="40" fillId="7" borderId="1" xfId="0" applyNumberFormat="1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/>
    </xf>
    <xf numFmtId="2" fontId="40" fillId="9" borderId="1" xfId="0" applyNumberFormat="1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2" fontId="40" fillId="8" borderId="1" xfId="0" applyNumberFormat="1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8" fillId="10" borderId="2" xfId="0" applyFont="1" applyFill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28" fillId="13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2" fontId="6" fillId="19" borderId="1" xfId="0" applyNumberFormat="1" applyFont="1" applyFill="1" applyBorder="1" applyAlignment="1">
      <alignment horizontal="center" vertical="center"/>
    </xf>
    <xf numFmtId="2" fontId="6" fillId="20" borderId="1" xfId="0" applyNumberFormat="1" applyFont="1" applyFill="1" applyBorder="1" applyAlignment="1">
      <alignment horizontal="center" vertical="center"/>
    </xf>
    <xf numFmtId="2" fontId="6" fillId="17" borderId="1" xfId="0" applyNumberFormat="1" applyFont="1" applyFill="1" applyBorder="1" applyAlignment="1">
      <alignment horizontal="center" vertical="center"/>
    </xf>
    <xf numFmtId="2" fontId="6" fillId="21" borderId="1" xfId="0" applyNumberFormat="1" applyFont="1" applyFill="1" applyBorder="1" applyAlignment="1">
      <alignment horizontal="center" vertical="center"/>
    </xf>
    <xf numFmtId="2" fontId="6" fillId="22" borderId="1" xfId="0" applyNumberFormat="1" applyFont="1" applyFill="1" applyBorder="1" applyAlignment="1">
      <alignment horizontal="center" vertical="center"/>
    </xf>
    <xf numFmtId="2" fontId="6" fillId="23" borderId="1" xfId="0" applyNumberFormat="1" applyFont="1" applyFill="1" applyBorder="1" applyAlignment="1">
      <alignment horizontal="center" vertical="center"/>
    </xf>
    <xf numFmtId="2" fontId="6" fillId="25" borderId="1" xfId="0" applyNumberFormat="1" applyFont="1" applyFill="1" applyBorder="1" applyAlignment="1">
      <alignment horizontal="center" vertical="center"/>
    </xf>
    <xf numFmtId="2" fontId="73" fillId="3" borderId="1" xfId="0" applyNumberFormat="1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2" fontId="74" fillId="19" borderId="1" xfId="0" applyNumberFormat="1" applyFont="1" applyFill="1" applyBorder="1" applyAlignment="1">
      <alignment horizontal="center" vertical="center"/>
    </xf>
    <xf numFmtId="2" fontId="74" fillId="20" borderId="1" xfId="0" applyNumberFormat="1" applyFont="1" applyFill="1" applyBorder="1" applyAlignment="1">
      <alignment horizontal="center" vertical="center"/>
    </xf>
    <xf numFmtId="2" fontId="74" fillId="17" borderId="1" xfId="0" applyNumberFormat="1" applyFont="1" applyFill="1" applyBorder="1" applyAlignment="1">
      <alignment horizontal="center" vertical="center"/>
    </xf>
    <xf numFmtId="2" fontId="74" fillId="21" borderId="1" xfId="0" applyNumberFormat="1" applyFont="1" applyFill="1" applyBorder="1" applyAlignment="1">
      <alignment horizontal="center" vertical="center"/>
    </xf>
    <xf numFmtId="2" fontId="74" fillId="22" borderId="1" xfId="0" applyNumberFormat="1" applyFont="1" applyFill="1" applyBorder="1" applyAlignment="1">
      <alignment horizontal="center" vertical="center"/>
    </xf>
    <xf numFmtId="2" fontId="74" fillId="23" borderId="1" xfId="0" applyNumberFormat="1" applyFont="1" applyFill="1" applyBorder="1" applyAlignment="1">
      <alignment horizontal="center" vertical="center"/>
    </xf>
    <xf numFmtId="2" fontId="74" fillId="25" borderId="1" xfId="0" applyNumberFormat="1" applyFont="1" applyFill="1" applyBorder="1" applyAlignment="1">
      <alignment horizontal="center" vertical="center"/>
    </xf>
    <xf numFmtId="0" fontId="40" fillId="3" borderId="0" xfId="0" applyFont="1" applyFill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3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8" fillId="18" borderId="0" xfId="0" applyFont="1" applyFill="1" applyAlignment="1">
      <alignment horizontal="left" vertical="center" wrapText="1"/>
    </xf>
    <xf numFmtId="0" fontId="19" fillId="18" borderId="0" xfId="0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7" fillId="6" borderId="1" xfId="0" applyFont="1" applyFill="1" applyBorder="1"/>
    <xf numFmtId="0" fontId="26" fillId="0" borderId="0" xfId="0" applyFont="1" applyAlignment="1">
      <alignment horizontal="left" vertical="center"/>
    </xf>
    <xf numFmtId="0" fontId="7" fillId="4" borderId="1" xfId="0" applyFont="1" applyFill="1" applyBorder="1"/>
    <xf numFmtId="0" fontId="27" fillId="0" borderId="0" xfId="0" applyFont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36" fillId="4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42" fillId="28" borderId="0" xfId="0" applyFont="1" applyFill="1" applyAlignment="1">
      <alignment horizontal="left" vertical="center"/>
    </xf>
    <xf numFmtId="0" fontId="41" fillId="25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41" fillId="21" borderId="1" xfId="0" applyFont="1" applyFill="1" applyBorder="1" applyAlignment="1">
      <alignment horizontal="left" vertical="center"/>
    </xf>
    <xf numFmtId="0" fontId="41" fillId="17" borderId="1" xfId="0" applyFont="1" applyFill="1" applyBorder="1" applyAlignment="1">
      <alignment horizontal="left" vertical="center"/>
    </xf>
    <xf numFmtId="0" fontId="41" fillId="28" borderId="5" xfId="0" applyFont="1" applyFill="1" applyBorder="1" applyAlignment="1">
      <alignment horizontal="left" vertical="top" wrapText="1"/>
    </xf>
    <xf numFmtId="0" fontId="40" fillId="3" borderId="0" xfId="0" applyFont="1" applyFill="1" applyAlignment="1">
      <alignment horizontal="center" vertical="center"/>
    </xf>
    <xf numFmtId="0" fontId="41" fillId="23" borderId="1" xfId="0" applyFont="1" applyFill="1" applyBorder="1" applyAlignment="1">
      <alignment horizontal="left" vertical="center"/>
    </xf>
    <xf numFmtId="0" fontId="41" fillId="19" borderId="1" xfId="0" applyFont="1" applyFill="1" applyBorder="1" applyAlignment="1">
      <alignment horizontal="left" vertical="center"/>
    </xf>
    <xf numFmtId="0" fontId="41" fillId="20" borderId="1" xfId="0" applyFont="1" applyFill="1" applyBorder="1" applyAlignment="1">
      <alignment horizontal="left" vertical="center"/>
    </xf>
    <xf numFmtId="0" fontId="8" fillId="27" borderId="0" xfId="0" applyFont="1" applyFill="1" applyAlignment="1">
      <alignment horizontal="left" vertical="center"/>
    </xf>
    <xf numFmtId="0" fontId="41" fillId="22" borderId="1" xfId="0" applyFont="1" applyFill="1" applyBorder="1" applyAlignment="1">
      <alignment horizontal="left" vertical="center"/>
    </xf>
    <xf numFmtId="0" fontId="0" fillId="3" borderId="0" xfId="0" applyFill="1"/>
    <xf numFmtId="0" fontId="8" fillId="5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2" fillId="15" borderId="0" xfId="0" applyFont="1" applyFill="1" applyAlignment="1">
      <alignment horizontal="left" vertical="center" wrapText="1"/>
    </xf>
    <xf numFmtId="0" fontId="28" fillId="8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8" fillId="27" borderId="0" xfId="0" applyFont="1" applyFill="1" applyAlignment="1">
      <alignment horizontal="left" vertical="center" wrapText="1"/>
    </xf>
    <xf numFmtId="0" fontId="22" fillId="15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8" fillId="11" borderId="0" xfId="0" applyFont="1" applyFill="1" applyAlignment="1">
      <alignment horizontal="left" vertical="center" wrapText="1"/>
    </xf>
    <xf numFmtId="0" fontId="8" fillId="12" borderId="0" xfId="0" applyFont="1" applyFill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40" fillId="3" borderId="0" xfId="0" applyFont="1" applyFill="1" applyAlignment="1">
      <alignment horizontal="left" vertical="center"/>
    </xf>
    <xf numFmtId="0" fontId="40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70" fillId="0" borderId="0" xfId="0" applyFont="1"/>
    <xf numFmtId="0" fontId="8" fillId="9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72" fillId="0" borderId="0" xfId="0" applyFont="1"/>
    <xf numFmtId="0" fontId="71" fillId="0" borderId="0" xfId="0" applyFont="1"/>
    <xf numFmtId="0" fontId="1" fillId="5" borderId="2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3" width="25" customWidth="1"/>
    <col min="4" max="11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0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3" t="s">
        <v>2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6" t="s">
        <v>3</v>
      </c>
    </row>
    <row r="9" spans="1:29" ht="18" customHeight="1" x14ac:dyDescent="0.2">
      <c r="B9" s="7" t="s">
        <v>4</v>
      </c>
      <c r="C9" s="8" t="s">
        <v>5</v>
      </c>
    </row>
    <row r="10" spans="1:29" ht="18" customHeight="1" x14ac:dyDescent="0.2">
      <c r="B10" s="9" t="s">
        <v>6</v>
      </c>
      <c r="C10" s="10" t="s">
        <v>7</v>
      </c>
    </row>
    <row r="11" spans="1:29" ht="18" customHeight="1" x14ac:dyDescent="0.2">
      <c r="B11" s="7" t="s">
        <v>8</v>
      </c>
      <c r="C11" s="8" t="s">
        <v>9</v>
      </c>
    </row>
    <row r="12" spans="1:29" ht="18" customHeight="1" x14ac:dyDescent="0.2">
      <c r="B12" s="9" t="s">
        <v>10</v>
      </c>
      <c r="C12" s="10" t="s">
        <v>11</v>
      </c>
    </row>
    <row r="13" spans="1:29" ht="18" customHeight="1" x14ac:dyDescent="0.2">
      <c r="B13" s="7" t="s">
        <v>12</v>
      </c>
      <c r="C13" s="8" t="s">
        <v>13</v>
      </c>
    </row>
    <row r="14" spans="1:29" ht="18" customHeight="1" x14ac:dyDescent="0.2">
      <c r="B14" s="9" t="s">
        <v>14</v>
      </c>
      <c r="C14" s="10" t="s">
        <v>15</v>
      </c>
    </row>
    <row r="15" spans="1:29" ht="18" customHeight="1" x14ac:dyDescent="0.2">
      <c r="B15" s="7" t="s">
        <v>16</v>
      </c>
      <c r="C15" s="8" t="s">
        <v>17</v>
      </c>
    </row>
    <row r="16" spans="1:29" ht="18" customHeight="1" x14ac:dyDescent="0.2">
      <c r="B16" s="9" t="s">
        <v>18</v>
      </c>
      <c r="C16" s="10" t="s">
        <v>19</v>
      </c>
    </row>
    <row r="18" spans="2:6" ht="18" customHeight="1" x14ac:dyDescent="0.2">
      <c r="B18" s="11" t="s">
        <v>20</v>
      </c>
    </row>
    <row r="19" spans="2:6" ht="18" customHeight="1" x14ac:dyDescent="0.2">
      <c r="B19" s="12" t="s">
        <v>21</v>
      </c>
      <c r="C19" s="12" t="s">
        <v>22</v>
      </c>
      <c r="D19" s="12" t="s">
        <v>23</v>
      </c>
      <c r="E19" s="12" t="s">
        <v>24</v>
      </c>
      <c r="F19" s="12" t="s">
        <v>25</v>
      </c>
    </row>
    <row r="20" spans="2:6" ht="18" customHeight="1" x14ac:dyDescent="0.2">
      <c r="B20" s="13" t="s">
        <v>26</v>
      </c>
      <c r="C20" s="8" t="s">
        <v>27</v>
      </c>
      <c r="D20" s="14" t="s">
        <v>28</v>
      </c>
      <c r="E20" s="15" t="s">
        <v>29</v>
      </c>
      <c r="F20" s="15" t="s">
        <v>30</v>
      </c>
    </row>
    <row r="21" spans="2:6" ht="18" customHeight="1" x14ac:dyDescent="0.2">
      <c r="B21" s="16" t="s">
        <v>31</v>
      </c>
      <c r="C21" s="10" t="s">
        <v>32</v>
      </c>
      <c r="D21" s="17" t="s">
        <v>33</v>
      </c>
      <c r="E21" s="18" t="s">
        <v>34</v>
      </c>
      <c r="F21" s="18" t="s">
        <v>35</v>
      </c>
    </row>
    <row r="22" spans="2:6" ht="18" customHeight="1" x14ac:dyDescent="0.2">
      <c r="B22" s="19" t="s">
        <v>36</v>
      </c>
      <c r="C22" s="8" t="s">
        <v>37</v>
      </c>
      <c r="D22" s="14" t="s">
        <v>38</v>
      </c>
      <c r="E22" s="15" t="s">
        <v>39</v>
      </c>
      <c r="F22" s="15" t="s">
        <v>30</v>
      </c>
    </row>
    <row r="23" spans="2:6" ht="18" customHeight="1" x14ac:dyDescent="0.2">
      <c r="B23" s="20" t="s">
        <v>40</v>
      </c>
      <c r="C23" s="10" t="s">
        <v>41</v>
      </c>
      <c r="D23" s="17" t="s">
        <v>42</v>
      </c>
      <c r="E23" s="18" t="s">
        <v>43</v>
      </c>
      <c r="F23" s="18" t="s">
        <v>30</v>
      </c>
    </row>
    <row r="24" spans="2:6" ht="18" customHeight="1" x14ac:dyDescent="0.2">
      <c r="B24" s="21" t="s">
        <v>44</v>
      </c>
      <c r="C24" s="8" t="s">
        <v>45</v>
      </c>
      <c r="D24" s="14" t="s">
        <v>28</v>
      </c>
      <c r="E24" s="15" t="s">
        <v>46</v>
      </c>
      <c r="F24" s="15" t="s">
        <v>30</v>
      </c>
    </row>
    <row r="25" spans="2:6" ht="18" customHeight="1" x14ac:dyDescent="0.2">
      <c r="B25" s="22" t="s">
        <v>47</v>
      </c>
      <c r="C25" s="10" t="s">
        <v>48</v>
      </c>
      <c r="D25" s="17" t="s">
        <v>49</v>
      </c>
      <c r="E25" s="18" t="s">
        <v>50</v>
      </c>
      <c r="F25" s="18" t="s">
        <v>51</v>
      </c>
    </row>
    <row r="26" spans="2:6" ht="18" customHeight="1" x14ac:dyDescent="0.2">
      <c r="B26" s="23" t="s">
        <v>52</v>
      </c>
      <c r="C26" s="8" t="s">
        <v>53</v>
      </c>
      <c r="D26" s="14" t="s">
        <v>28</v>
      </c>
      <c r="E26" s="15" t="s">
        <v>54</v>
      </c>
      <c r="F26" s="15" t="s">
        <v>55</v>
      </c>
    </row>
    <row r="27" spans="2:6" ht="18" customHeight="1" x14ac:dyDescent="0.2">
      <c r="B27" s="24" t="s">
        <v>56</v>
      </c>
      <c r="C27" s="10" t="s">
        <v>57</v>
      </c>
      <c r="D27" s="17" t="s">
        <v>58</v>
      </c>
      <c r="E27" s="18" t="s">
        <v>59</v>
      </c>
      <c r="F27" s="18" t="s">
        <v>55</v>
      </c>
    </row>
    <row r="29" spans="2:6" ht="17" x14ac:dyDescent="0.2">
      <c r="B29" s="11" t="s">
        <v>60</v>
      </c>
    </row>
    <row r="30" spans="2:6" ht="18" customHeight="1" x14ac:dyDescent="0.2">
      <c r="B30" s="12" t="s">
        <v>61</v>
      </c>
      <c r="C30" s="12" t="s">
        <v>62</v>
      </c>
      <c r="D30" s="12" t="s">
        <v>63</v>
      </c>
      <c r="E30" s="12" t="s">
        <v>64</v>
      </c>
      <c r="F30" s="12" t="s">
        <v>65</v>
      </c>
    </row>
    <row r="31" spans="2:6" ht="18" customHeight="1" x14ac:dyDescent="0.2">
      <c r="B31" s="25" t="s">
        <v>66</v>
      </c>
      <c r="C31" s="8" t="s">
        <v>67</v>
      </c>
      <c r="D31" s="15" t="s">
        <v>68</v>
      </c>
      <c r="E31" s="14" t="s">
        <v>69</v>
      </c>
      <c r="F31" s="26" t="s">
        <v>70</v>
      </c>
    </row>
    <row r="32" spans="2:6" ht="18" customHeight="1" x14ac:dyDescent="0.2">
      <c r="B32" s="25" t="s">
        <v>71</v>
      </c>
      <c r="C32" s="10" t="s">
        <v>72</v>
      </c>
      <c r="D32" s="18" t="s">
        <v>73</v>
      </c>
      <c r="E32" s="17" t="s">
        <v>74</v>
      </c>
      <c r="F32" s="27" t="s">
        <v>70</v>
      </c>
    </row>
    <row r="33" spans="2:6" ht="18" customHeight="1" x14ac:dyDescent="0.2">
      <c r="B33" s="25" t="s">
        <v>75</v>
      </c>
      <c r="C33" s="8" t="s">
        <v>76</v>
      </c>
      <c r="D33" s="15" t="s">
        <v>77</v>
      </c>
      <c r="E33" s="14" t="s">
        <v>78</v>
      </c>
      <c r="F33" s="28" t="s">
        <v>79</v>
      </c>
    </row>
    <row r="34" spans="2:6" ht="18" customHeight="1" x14ac:dyDescent="0.2">
      <c r="B34" s="25" t="s">
        <v>80</v>
      </c>
      <c r="C34" s="10" t="s">
        <v>81</v>
      </c>
      <c r="D34" s="18" t="s">
        <v>68</v>
      </c>
      <c r="E34" s="17" t="s">
        <v>69</v>
      </c>
      <c r="F34" s="29" t="s">
        <v>79</v>
      </c>
    </row>
    <row r="35" spans="2:6" ht="18" customHeight="1" x14ac:dyDescent="0.2">
      <c r="B35" s="25" t="s">
        <v>82</v>
      </c>
      <c r="C35" s="8" t="s">
        <v>83</v>
      </c>
      <c r="D35" s="15" t="s">
        <v>73</v>
      </c>
      <c r="E35" s="14" t="s">
        <v>74</v>
      </c>
      <c r="F35" s="28" t="s">
        <v>79</v>
      </c>
    </row>
    <row r="36" spans="2:6" ht="18" customHeight="1" x14ac:dyDescent="0.2">
      <c r="B36" s="25" t="s">
        <v>84</v>
      </c>
      <c r="C36" s="10" t="s">
        <v>85</v>
      </c>
      <c r="D36" s="18" t="s">
        <v>77</v>
      </c>
      <c r="E36" s="17" t="s">
        <v>78</v>
      </c>
      <c r="F36" s="30" t="s">
        <v>86</v>
      </c>
    </row>
    <row r="37" spans="2:6" ht="18" customHeight="1" x14ac:dyDescent="0.2">
      <c r="B37" s="25" t="s">
        <v>87</v>
      </c>
      <c r="C37" s="8" t="s">
        <v>88</v>
      </c>
      <c r="D37" s="15" t="s">
        <v>77</v>
      </c>
      <c r="E37" s="14" t="s">
        <v>78</v>
      </c>
      <c r="F37" s="31" t="s">
        <v>86</v>
      </c>
    </row>
    <row r="38" spans="2:6" ht="18" customHeight="1" x14ac:dyDescent="0.2">
      <c r="B38" s="25" t="s">
        <v>89</v>
      </c>
      <c r="C38" s="10" t="s">
        <v>90</v>
      </c>
      <c r="D38" s="18" t="s">
        <v>91</v>
      </c>
      <c r="E38" s="17" t="s">
        <v>92</v>
      </c>
      <c r="F38" s="30" t="s">
        <v>86</v>
      </c>
    </row>
    <row r="39" spans="2:6" x14ac:dyDescent="0.2">
      <c r="B39" s="32" t="s">
        <v>93</v>
      </c>
      <c r="D39" s="32" t="s">
        <v>94</v>
      </c>
      <c r="E39" s="32" t="s">
        <v>95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0" customWidth="1"/>
    <col min="3" max="3" width="40" customWidth="1"/>
    <col min="4" max="4" width="15" customWidth="1"/>
    <col min="5" max="7" width="10" customWidth="1"/>
    <col min="8" max="9" width="18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96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3" t="s">
        <v>98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99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100</v>
      </c>
      <c r="C9" s="33" t="s">
        <v>4</v>
      </c>
      <c r="D9" s="34" t="s">
        <v>101</v>
      </c>
      <c r="E9" s="34" t="s">
        <v>63</v>
      </c>
      <c r="F9" s="34" t="s">
        <v>102</v>
      </c>
      <c r="G9" s="34" t="s">
        <v>103</v>
      </c>
      <c r="H9" s="35" t="s">
        <v>104</v>
      </c>
      <c r="I9" s="35" t="s">
        <v>105</v>
      </c>
    </row>
    <row r="10" spans="1:29" ht="22" customHeight="1" x14ac:dyDescent="0.2">
      <c r="B10" s="36" t="s">
        <v>106</v>
      </c>
      <c r="C10" s="8" t="s">
        <v>107</v>
      </c>
      <c r="D10" s="37" t="s">
        <v>108</v>
      </c>
      <c r="E10" s="15" t="s">
        <v>17</v>
      </c>
      <c r="F10" s="15" t="s">
        <v>30</v>
      </c>
      <c r="G10" s="15" t="s">
        <v>109</v>
      </c>
      <c r="H10" s="38" t="str">
        <f>HYPERLINK("#ISO · Programación!A1","→ Programación")</f>
        <v>→ Programación</v>
      </c>
      <c r="I10" s="38" t="str">
        <f>HYPERLINK("#ISO · Dashboard!A1","→ Dashboard")</f>
        <v>→ Dashboard</v>
      </c>
    </row>
    <row r="11" spans="1:29" ht="22" customHeight="1" x14ac:dyDescent="0.2">
      <c r="B11" s="39" t="s">
        <v>110</v>
      </c>
      <c r="C11" s="10" t="s">
        <v>111</v>
      </c>
      <c r="D11" s="40" t="s">
        <v>108</v>
      </c>
      <c r="E11" s="18" t="s">
        <v>112</v>
      </c>
      <c r="F11" s="18" t="s">
        <v>113</v>
      </c>
      <c r="G11" s="18" t="s">
        <v>109</v>
      </c>
      <c r="H11" s="38" t="str">
        <f>HYPERLINK("#PAR · Programación!A1","→ Programación")</f>
        <v>→ Programación</v>
      </c>
      <c r="I11" s="38" t="str">
        <f>HYPERLINK("#PAR · Dashboard!A1","→ Dashboard")</f>
        <v>→ Dashboard</v>
      </c>
    </row>
    <row r="13" spans="1:29" ht="14" customHeight="1" x14ac:dyDescent="0.2">
      <c r="B13" s="294" t="s">
        <v>114</v>
      </c>
      <c r="C13" s="292"/>
      <c r="D13" s="292"/>
      <c r="E13" s="292"/>
      <c r="F13" s="292"/>
      <c r="G13" s="292"/>
      <c r="H13" s="292"/>
      <c r="I13" s="292"/>
    </row>
  </sheetData>
  <mergeCells count="4">
    <mergeCell ref="B13:I13"/>
    <mergeCell ref="B8:I8"/>
    <mergeCell ref="B3:K3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35" customWidth="1"/>
    <col min="4" max="5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115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116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3" t="s">
        <v>117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296" t="s">
        <v>118</v>
      </c>
      <c r="C8" s="292"/>
      <c r="D8" s="292"/>
      <c r="E8" s="292"/>
    </row>
    <row r="9" spans="1:29" ht="18" customHeight="1" x14ac:dyDescent="0.2">
      <c r="B9" s="41" t="s">
        <v>119</v>
      </c>
      <c r="C9" s="42" t="s">
        <v>107</v>
      </c>
      <c r="D9" s="43" t="s">
        <v>120</v>
      </c>
    </row>
    <row r="10" spans="1:29" ht="18" customHeight="1" x14ac:dyDescent="0.2">
      <c r="B10" s="41" t="s">
        <v>121</v>
      </c>
      <c r="C10" s="42" t="s">
        <v>7</v>
      </c>
      <c r="D10" s="43" t="s">
        <v>120</v>
      </c>
    </row>
    <row r="11" spans="1:29" ht="18" customHeight="1" x14ac:dyDescent="0.2">
      <c r="B11" s="41" t="s">
        <v>122</v>
      </c>
      <c r="C11" s="42" t="s">
        <v>9</v>
      </c>
      <c r="D11" s="43" t="s">
        <v>120</v>
      </c>
    </row>
    <row r="12" spans="1:29" ht="18" customHeight="1" x14ac:dyDescent="0.2">
      <c r="B12" s="41" t="s">
        <v>10</v>
      </c>
      <c r="C12" s="42" t="s">
        <v>11</v>
      </c>
      <c r="D12" s="43" t="s">
        <v>120</v>
      </c>
    </row>
    <row r="13" spans="1:29" ht="18" customHeight="1" x14ac:dyDescent="0.2">
      <c r="B13" s="41" t="s">
        <v>12</v>
      </c>
      <c r="C13" s="42" t="s">
        <v>13</v>
      </c>
      <c r="D13" s="43" t="s">
        <v>120</v>
      </c>
    </row>
    <row r="14" spans="1:29" ht="18" customHeight="1" x14ac:dyDescent="0.2">
      <c r="B14" s="41" t="s">
        <v>123</v>
      </c>
      <c r="C14" s="42"/>
      <c r="D14" s="43" t="s">
        <v>120</v>
      </c>
    </row>
    <row r="15" spans="1:29" ht="18" customHeight="1" x14ac:dyDescent="0.2">
      <c r="B15" s="41" t="s">
        <v>124</v>
      </c>
      <c r="C15" s="42"/>
      <c r="D15" s="43" t="s">
        <v>120</v>
      </c>
    </row>
    <row r="16" spans="1:29" ht="18" customHeight="1" x14ac:dyDescent="0.2">
      <c r="B16" s="41" t="s">
        <v>125</v>
      </c>
      <c r="C16" s="42"/>
      <c r="D16" s="43" t="s">
        <v>120</v>
      </c>
    </row>
    <row r="18" spans="2:6" ht="22" customHeight="1" x14ac:dyDescent="0.2">
      <c r="B18" s="296" t="s">
        <v>126</v>
      </c>
      <c r="C18" s="292"/>
      <c r="D18" s="292"/>
      <c r="E18" s="292"/>
    </row>
    <row r="19" spans="2:6" ht="18" customHeight="1" x14ac:dyDescent="0.2">
      <c r="B19" s="41" t="s">
        <v>127</v>
      </c>
      <c r="C19" s="44">
        <v>3</v>
      </c>
    </row>
    <row r="20" spans="2:6" ht="18" customHeight="1" x14ac:dyDescent="0.2">
      <c r="B20" s="41" t="s">
        <v>128</v>
      </c>
      <c r="C20" s="42">
        <v>5</v>
      </c>
      <c r="D20" s="43" t="s">
        <v>120</v>
      </c>
    </row>
    <row r="21" spans="2:6" ht="18" customHeight="1" x14ac:dyDescent="0.2">
      <c r="B21" s="41" t="s">
        <v>129</v>
      </c>
      <c r="C21" s="44">
        <v>10</v>
      </c>
    </row>
    <row r="22" spans="2:6" ht="18" customHeight="1" x14ac:dyDescent="0.2">
      <c r="B22" s="41" t="s">
        <v>130</v>
      </c>
      <c r="C22" s="42" t="s">
        <v>131</v>
      </c>
      <c r="D22" s="43" t="s">
        <v>120</v>
      </c>
    </row>
    <row r="23" spans="2:6" ht="18" customHeight="1" x14ac:dyDescent="0.2">
      <c r="B23" s="41" t="s">
        <v>132</v>
      </c>
      <c r="C23" s="44" t="s">
        <v>133</v>
      </c>
    </row>
    <row r="24" spans="2:6" ht="18" customHeight="1" x14ac:dyDescent="0.2">
      <c r="B24" s="41" t="s">
        <v>134</v>
      </c>
      <c r="C24" s="44" t="s">
        <v>135</v>
      </c>
    </row>
    <row r="25" spans="2:6" ht="18" customHeight="1" x14ac:dyDescent="0.2">
      <c r="B25" s="41" t="s">
        <v>136</v>
      </c>
      <c r="C25" s="44" t="s">
        <v>137</v>
      </c>
    </row>
    <row r="26" spans="2:6" x14ac:dyDescent="0.2">
      <c r="B26" s="7" t="s">
        <v>138</v>
      </c>
      <c r="C26" s="45">
        <v>0.75</v>
      </c>
    </row>
    <row r="27" spans="2:6" x14ac:dyDescent="0.2">
      <c r="B27" s="7" t="s">
        <v>139</v>
      </c>
      <c r="C27" s="46">
        <v>0.25</v>
      </c>
    </row>
    <row r="28" spans="2:6" ht="28" customHeight="1" x14ac:dyDescent="0.2">
      <c r="B28" s="297" t="s">
        <v>140</v>
      </c>
      <c r="C28" s="292"/>
    </row>
    <row r="29" spans="2:6" ht="18" customHeight="1" x14ac:dyDescent="0.2">
      <c r="B29" s="41" t="s">
        <v>141</v>
      </c>
      <c r="C29" s="42" t="s">
        <v>142</v>
      </c>
      <c r="D29" s="43" t="s">
        <v>120</v>
      </c>
    </row>
    <row r="31" spans="2:6" ht="52" customHeight="1" x14ac:dyDescent="0.2">
      <c r="B31" s="298" t="s">
        <v>143</v>
      </c>
      <c r="C31" s="292"/>
      <c r="D31" s="292"/>
      <c r="E31" s="292"/>
      <c r="F31" s="292"/>
    </row>
    <row r="33" spans="2:5" ht="22" customHeight="1" x14ac:dyDescent="0.2">
      <c r="B33" s="296" t="s">
        <v>144</v>
      </c>
      <c r="C33" s="292"/>
      <c r="D33" s="292"/>
      <c r="E33" s="292"/>
    </row>
    <row r="34" spans="2:5" ht="18" customHeight="1" x14ac:dyDescent="0.2">
      <c r="B34" s="41" t="s">
        <v>145</v>
      </c>
      <c r="C34" s="42" t="s">
        <v>146</v>
      </c>
      <c r="D34" s="43" t="s">
        <v>120</v>
      </c>
    </row>
    <row r="35" spans="2:5" ht="18" customHeight="1" x14ac:dyDescent="0.2">
      <c r="B35" s="41" t="s">
        <v>147</v>
      </c>
      <c r="C35" s="42"/>
      <c r="D35" s="43" t="s">
        <v>120</v>
      </c>
    </row>
    <row r="36" spans="2:5" ht="18" customHeight="1" x14ac:dyDescent="0.2">
      <c r="B36" s="41" t="s">
        <v>148</v>
      </c>
      <c r="C36" s="42"/>
      <c r="D36" s="43" t="s">
        <v>120</v>
      </c>
    </row>
    <row r="37" spans="2:5" ht="18" customHeight="1" x14ac:dyDescent="0.2">
      <c r="B37" s="41" t="s">
        <v>149</v>
      </c>
      <c r="C37" s="42" t="s">
        <v>150</v>
      </c>
      <c r="D37" s="43" t="s">
        <v>120</v>
      </c>
    </row>
  </sheetData>
  <mergeCells count="7">
    <mergeCell ref="B2:K2"/>
    <mergeCell ref="B3:K3"/>
    <mergeCell ref="B18:E18"/>
    <mergeCell ref="B8:E8"/>
    <mergeCell ref="B28:C28"/>
    <mergeCell ref="B33:E33"/>
    <mergeCell ref="B31:F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0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8" customWidth="1"/>
    <col min="3" max="4" width="10" customWidth="1"/>
    <col min="5" max="5" width="38" customWidth="1"/>
    <col min="6" max="6" width="12" customWidth="1"/>
    <col min="7" max="7" width="25" customWidth="1"/>
    <col min="8" max="8" width="15" customWidth="1"/>
    <col min="9" max="9" width="8" customWidth="1"/>
    <col min="10" max="10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151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152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3" t="s">
        <v>153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154</v>
      </c>
      <c r="C8" s="292"/>
      <c r="D8" s="292"/>
      <c r="E8" s="292"/>
      <c r="F8" s="292"/>
      <c r="G8" s="292"/>
      <c r="H8" s="292"/>
      <c r="I8" s="292"/>
    </row>
    <row r="9" spans="1:29" ht="26" customHeight="1" x14ac:dyDescent="0.2">
      <c r="B9" s="33" t="s">
        <v>155</v>
      </c>
      <c r="C9" s="33" t="s">
        <v>4</v>
      </c>
      <c r="D9" s="33" t="s">
        <v>21</v>
      </c>
      <c r="E9" s="33" t="s">
        <v>156</v>
      </c>
      <c r="F9" s="34" t="s">
        <v>157</v>
      </c>
      <c r="G9" s="34" t="s">
        <v>158</v>
      </c>
      <c r="H9" s="34" t="s">
        <v>159</v>
      </c>
      <c r="I9" s="34" t="s">
        <v>160</v>
      </c>
      <c r="J9" s="34" t="s">
        <v>161</v>
      </c>
    </row>
    <row r="10" spans="1:29" ht="18" customHeight="1" x14ac:dyDescent="0.2">
      <c r="B10" s="47" t="s">
        <v>162</v>
      </c>
      <c r="C10" s="48" t="s">
        <v>106</v>
      </c>
      <c r="D10" s="49" t="s">
        <v>26</v>
      </c>
      <c r="E10" s="50" t="s">
        <v>163</v>
      </c>
      <c r="F10" s="51" t="s">
        <v>164</v>
      </c>
      <c r="G10" s="50" t="s">
        <v>165</v>
      </c>
      <c r="H10" s="48" t="s">
        <v>166</v>
      </c>
      <c r="I10" s="51" t="s">
        <v>95</v>
      </c>
      <c r="J10" s="52" t="str">
        <f>HYPERLINK("../apuntes/04-FP/ISO/1-asir/instalacion-de-software-libre-y-propietario/index.html","📖 Ver apunte")</f>
        <v>📖 Ver apunte</v>
      </c>
    </row>
    <row r="11" spans="1:29" ht="18" customHeight="1" x14ac:dyDescent="0.2">
      <c r="B11" s="53" t="s">
        <v>167</v>
      </c>
      <c r="C11" s="54" t="s">
        <v>106</v>
      </c>
      <c r="D11" s="55" t="s">
        <v>31</v>
      </c>
      <c r="E11" s="56" t="s">
        <v>168</v>
      </c>
      <c r="F11" s="57" t="s">
        <v>164</v>
      </c>
      <c r="G11" s="56" t="s">
        <v>165</v>
      </c>
      <c r="H11" s="48" t="s">
        <v>166</v>
      </c>
      <c r="I11" s="57" t="s">
        <v>95</v>
      </c>
      <c r="J11" s="52" t="str">
        <f>HYPERLINK("../apuntes/04-FP/ISO/1-asir/instalacion-de-software-libre-y-propietario/index.html","📖 Ver apunte")</f>
        <v>📖 Ver apunte</v>
      </c>
    </row>
    <row r="12" spans="1:29" ht="18" customHeight="1" x14ac:dyDescent="0.2">
      <c r="B12" s="47" t="s">
        <v>169</v>
      </c>
      <c r="C12" s="54" t="s">
        <v>106</v>
      </c>
      <c r="D12" s="55" t="s">
        <v>31</v>
      </c>
      <c r="E12" s="50" t="s">
        <v>170</v>
      </c>
      <c r="F12" s="51" t="s">
        <v>164</v>
      </c>
      <c r="G12" s="50" t="s">
        <v>171</v>
      </c>
      <c r="H12" s="48" t="s">
        <v>166</v>
      </c>
      <c r="I12" s="51" t="s">
        <v>95</v>
      </c>
      <c r="J12" s="52" t="str">
        <f>HYPERLINK("../apuntes/04-FP/ISO/1-asir/administracion-de-software-base/index.html","📖 Ver apunte")</f>
        <v>📖 Ver apunte</v>
      </c>
    </row>
    <row r="13" spans="1:29" ht="18" customHeight="1" x14ac:dyDescent="0.2">
      <c r="B13" s="53" t="s">
        <v>172</v>
      </c>
      <c r="C13" s="58" t="s">
        <v>106</v>
      </c>
      <c r="D13" s="59" t="s">
        <v>36</v>
      </c>
      <c r="E13" s="56" t="s">
        <v>173</v>
      </c>
      <c r="F13" s="57" t="s">
        <v>164</v>
      </c>
      <c r="G13" s="56" t="s">
        <v>174</v>
      </c>
      <c r="H13" s="54" t="s">
        <v>175</v>
      </c>
      <c r="I13" s="57" t="s">
        <v>95</v>
      </c>
      <c r="J13" s="52" t="str">
        <f>HYPERLINK("../apuntes/04-FP/ISO/1-asir/administracion-y-aseguramiento-de-la-informacion/index.html","📖 Ver apunte")</f>
        <v>📖 Ver apunte</v>
      </c>
    </row>
    <row r="14" spans="1:29" ht="18" customHeight="1" x14ac:dyDescent="0.2">
      <c r="B14" s="47" t="s">
        <v>176</v>
      </c>
      <c r="C14" s="60" t="s">
        <v>106</v>
      </c>
      <c r="D14" s="61" t="s">
        <v>40</v>
      </c>
      <c r="E14" s="50" t="s">
        <v>177</v>
      </c>
      <c r="F14" s="51" t="s">
        <v>164</v>
      </c>
      <c r="G14" s="50" t="s">
        <v>178</v>
      </c>
      <c r="H14" s="54" t="s">
        <v>175</v>
      </c>
      <c r="I14" s="51" t="s">
        <v>95</v>
      </c>
      <c r="J14" s="52" t="str">
        <f>HYPERLINK("../apuntes/04-FP/ISO/1-asir/gestion-de-dominios/index.html","📖 Ver apunte")</f>
        <v>📖 Ver apunte</v>
      </c>
    </row>
    <row r="15" spans="1:29" ht="18" customHeight="1" x14ac:dyDescent="0.2">
      <c r="B15" s="53" t="s">
        <v>179</v>
      </c>
      <c r="C15" s="62" t="s">
        <v>106</v>
      </c>
      <c r="D15" s="63" t="s">
        <v>44</v>
      </c>
      <c r="E15" s="56" t="s">
        <v>180</v>
      </c>
      <c r="F15" s="57" t="s">
        <v>164</v>
      </c>
      <c r="G15" s="56" t="s">
        <v>181</v>
      </c>
      <c r="H15" s="54" t="s">
        <v>175</v>
      </c>
      <c r="I15" s="57" t="s">
        <v>95</v>
      </c>
      <c r="J15" s="52" t="str">
        <f>HYPERLINK("../apuntes/04-FP/ISO/1-asir/administracion-de-acceso-al-dominio/index.html","📖 Ver apunte")</f>
        <v>📖 Ver apunte</v>
      </c>
    </row>
    <row r="16" spans="1:29" ht="18" customHeight="1" x14ac:dyDescent="0.2">
      <c r="B16" s="47" t="s">
        <v>182</v>
      </c>
      <c r="C16" s="64" t="s">
        <v>106</v>
      </c>
      <c r="D16" s="65" t="s">
        <v>47</v>
      </c>
      <c r="E16" s="50" t="s">
        <v>183</v>
      </c>
      <c r="F16" s="51" t="s">
        <v>164</v>
      </c>
      <c r="G16" s="50" t="s">
        <v>184</v>
      </c>
      <c r="H16" s="66" t="s">
        <v>185</v>
      </c>
      <c r="I16" s="51" t="s">
        <v>95</v>
      </c>
      <c r="J16" s="52" t="str">
        <f>HYPERLINK("../apuntes/04-FP/ISO/1-asir/supervision-del-rendimiento-del-sistema/index.html","📖 Ver apunte")</f>
        <v>📖 Ver apunte</v>
      </c>
    </row>
    <row r="17" spans="2:10" ht="18" customHeight="1" x14ac:dyDescent="0.2">
      <c r="B17" s="53" t="s">
        <v>186</v>
      </c>
      <c r="C17" s="67" t="s">
        <v>106</v>
      </c>
      <c r="D17" s="59" t="s">
        <v>52</v>
      </c>
      <c r="E17" s="56" t="s">
        <v>187</v>
      </c>
      <c r="F17" s="57" t="s">
        <v>164</v>
      </c>
      <c r="G17" s="56" t="s">
        <v>188</v>
      </c>
      <c r="H17" s="66" t="s">
        <v>185</v>
      </c>
      <c r="I17" s="57" t="s">
        <v>95</v>
      </c>
      <c r="J17" s="52" t="str">
        <f>HYPERLINK("../apuntes/04-FP/ISO/1-asir/directivas-de-seguridad-y-auditorias/index.html","📖 Ver apunte")</f>
        <v>📖 Ver apunte</v>
      </c>
    </row>
    <row r="18" spans="2:10" ht="18" customHeight="1" x14ac:dyDescent="0.2">
      <c r="B18" s="47" t="s">
        <v>189</v>
      </c>
      <c r="C18" s="68" t="s">
        <v>106</v>
      </c>
      <c r="D18" s="69" t="s">
        <v>56</v>
      </c>
      <c r="E18" s="50" t="s">
        <v>190</v>
      </c>
      <c r="F18" s="51" t="s">
        <v>164</v>
      </c>
      <c r="G18" s="50" t="s">
        <v>191</v>
      </c>
      <c r="H18" s="66" t="s">
        <v>185</v>
      </c>
      <c r="I18" s="51" t="s">
        <v>95</v>
      </c>
      <c r="J18" s="52" t="str">
        <f>HYPERLINK("../apuntes/04-FP/ISO/1-asir/resolucion-de-incidencias-y-asistencia-tecnica/index.html","📖 Ver apunte")</f>
        <v>📖 Ver apunte</v>
      </c>
    </row>
    <row r="19" spans="2:10" ht="18" customHeight="1" x14ac:dyDescent="0.2">
      <c r="B19" s="57" t="s">
        <v>192</v>
      </c>
      <c r="C19" s="70" t="s">
        <v>106</v>
      </c>
      <c r="D19" s="53" t="s">
        <v>193</v>
      </c>
      <c r="E19" s="56" t="s">
        <v>194</v>
      </c>
      <c r="F19" s="57" t="s">
        <v>195</v>
      </c>
      <c r="G19" s="56" t="s">
        <v>196</v>
      </c>
      <c r="H19" s="48" t="s">
        <v>166</v>
      </c>
      <c r="I19" s="57" t="s">
        <v>197</v>
      </c>
      <c r="J19" s="71"/>
    </row>
    <row r="20" spans="2:10" ht="18" customHeight="1" x14ac:dyDescent="0.2">
      <c r="B20" s="51" t="s">
        <v>198</v>
      </c>
      <c r="C20" s="70" t="s">
        <v>106</v>
      </c>
      <c r="D20" s="53" t="s">
        <v>199</v>
      </c>
      <c r="E20" s="50" t="s">
        <v>200</v>
      </c>
      <c r="F20" s="51" t="s">
        <v>195</v>
      </c>
      <c r="G20" s="50" t="s">
        <v>196</v>
      </c>
      <c r="H20" s="54" t="s">
        <v>175</v>
      </c>
      <c r="I20" s="51" t="s">
        <v>197</v>
      </c>
      <c r="J20" s="72"/>
    </row>
    <row r="21" spans="2:10" ht="18" customHeight="1" x14ac:dyDescent="0.2">
      <c r="B21" s="57" t="s">
        <v>201</v>
      </c>
      <c r="C21" s="70" t="s">
        <v>106</v>
      </c>
      <c r="D21" s="53" t="s">
        <v>202</v>
      </c>
      <c r="E21" s="56" t="s">
        <v>203</v>
      </c>
      <c r="F21" s="57" t="s">
        <v>195</v>
      </c>
      <c r="G21" s="56" t="s">
        <v>196</v>
      </c>
      <c r="H21" s="66" t="s">
        <v>185</v>
      </c>
      <c r="I21" s="57" t="s">
        <v>197</v>
      </c>
      <c r="J21" s="71"/>
    </row>
    <row r="22" spans="2:10" ht="18" customHeight="1" x14ac:dyDescent="0.2">
      <c r="B22" s="47" t="s">
        <v>162</v>
      </c>
      <c r="C22" s="48" t="s">
        <v>110</v>
      </c>
      <c r="D22" s="49" t="s">
        <v>26</v>
      </c>
      <c r="E22" s="50" t="s">
        <v>204</v>
      </c>
      <c r="F22" s="51" t="s">
        <v>164</v>
      </c>
      <c r="G22" s="50" t="s">
        <v>205</v>
      </c>
      <c r="H22" s="48" t="s">
        <v>166</v>
      </c>
      <c r="I22" s="51" t="s">
        <v>95</v>
      </c>
      <c r="J22" s="52" t="str">
        <f>HYPERLINK("../apuntes/04-FP/PAR/1-asir/introduccion-a-las-redes-locales/index.html","📖 Ver apunte")</f>
        <v>📖 Ver apunte</v>
      </c>
    </row>
    <row r="23" spans="2:10" ht="18" customHeight="1" x14ac:dyDescent="0.2">
      <c r="B23" s="53" t="s">
        <v>167</v>
      </c>
      <c r="C23" s="54" t="s">
        <v>110</v>
      </c>
      <c r="D23" s="55" t="s">
        <v>31</v>
      </c>
      <c r="E23" s="56" t="s">
        <v>206</v>
      </c>
      <c r="F23" s="57" t="s">
        <v>164</v>
      </c>
      <c r="G23" s="56" t="s">
        <v>207</v>
      </c>
      <c r="H23" s="48" t="s">
        <v>166</v>
      </c>
      <c r="I23" s="57" t="s">
        <v>95</v>
      </c>
      <c r="J23" s="52" t="str">
        <f>HYPERLINK("../apuntes/04-FP/PAR/1-asir/dispositivos-de-red-y-medios-de-transmision/index.html","📖 Ver apunte")</f>
        <v>📖 Ver apunte</v>
      </c>
    </row>
    <row r="24" spans="2:10" ht="18" customHeight="1" x14ac:dyDescent="0.2">
      <c r="B24" s="47" t="s">
        <v>169</v>
      </c>
      <c r="C24" s="48" t="s">
        <v>110</v>
      </c>
      <c r="D24" s="49" t="s">
        <v>26</v>
      </c>
      <c r="E24" s="50" t="s">
        <v>208</v>
      </c>
      <c r="F24" s="51" t="s">
        <v>164</v>
      </c>
      <c r="G24" s="50" t="s">
        <v>207</v>
      </c>
      <c r="H24" s="48" t="s">
        <v>166</v>
      </c>
      <c r="I24" s="51" t="s">
        <v>95</v>
      </c>
      <c r="J24" s="52" t="str">
        <f>HYPERLINK("../apuntes/04-FP/PAR/1-asir/dispositivos-de-red-y-medios-de-transmision/index.html","📖 Ver apunte")</f>
        <v>📖 Ver apunte</v>
      </c>
    </row>
    <row r="25" spans="2:10" ht="18" customHeight="1" x14ac:dyDescent="0.2">
      <c r="B25" s="53" t="s">
        <v>172</v>
      </c>
      <c r="C25" s="58" t="s">
        <v>110</v>
      </c>
      <c r="D25" s="59" t="s">
        <v>36</v>
      </c>
      <c r="E25" s="56" t="s">
        <v>209</v>
      </c>
      <c r="F25" s="57" t="s">
        <v>164</v>
      </c>
      <c r="G25" s="56" t="s">
        <v>210</v>
      </c>
      <c r="H25" s="54" t="s">
        <v>175</v>
      </c>
      <c r="I25" s="57" t="s">
        <v>95</v>
      </c>
      <c r="J25" s="52" t="str">
        <f>HYPERLINK("../apuntes/04-FP/PAR/1-asir/configuracion-y-administracion-de-conmutadores/index.html","📖 Ver apunte")</f>
        <v>📖 Ver apunte</v>
      </c>
    </row>
    <row r="26" spans="2:10" ht="18" customHeight="1" x14ac:dyDescent="0.2">
      <c r="B26" s="47" t="s">
        <v>176</v>
      </c>
      <c r="C26" s="60" t="s">
        <v>110</v>
      </c>
      <c r="D26" s="61" t="s">
        <v>40</v>
      </c>
      <c r="E26" s="50" t="s">
        <v>211</v>
      </c>
      <c r="F26" s="51" t="s">
        <v>164</v>
      </c>
      <c r="G26" s="50" t="s">
        <v>212</v>
      </c>
      <c r="H26" s="54" t="s">
        <v>175</v>
      </c>
      <c r="I26" s="51" t="s">
        <v>95</v>
      </c>
      <c r="J26" s="52" t="str">
        <f>HYPERLINK("../apuntes/04-FP/PAR/1-asir/configuracion-y-administracion-de-routers/index.html","📖 Ver apunte")</f>
        <v>📖 Ver apunte</v>
      </c>
    </row>
    <row r="27" spans="2:10" ht="18" customHeight="1" x14ac:dyDescent="0.2">
      <c r="B27" s="53" t="s">
        <v>179</v>
      </c>
      <c r="C27" s="62" t="s">
        <v>110</v>
      </c>
      <c r="D27" s="63" t="s">
        <v>44</v>
      </c>
      <c r="E27" s="56" t="s">
        <v>213</v>
      </c>
      <c r="F27" s="57" t="s">
        <v>164</v>
      </c>
      <c r="G27" s="56" t="s">
        <v>214</v>
      </c>
      <c r="H27" s="54" t="s">
        <v>175</v>
      </c>
      <c r="I27" s="57" t="s">
        <v>95</v>
      </c>
      <c r="J27" s="52" t="str">
        <f>HYPERLINK("../apuntes/04-FP/PAR/1-asir/configuracion-de-redes-inalambricas/index.html","📖 Ver apunte")</f>
        <v>📖 Ver apunte</v>
      </c>
    </row>
    <row r="28" spans="2:10" ht="18" customHeight="1" x14ac:dyDescent="0.2">
      <c r="B28" s="47" t="s">
        <v>182</v>
      </c>
      <c r="C28" s="60" t="s">
        <v>110</v>
      </c>
      <c r="D28" s="61" t="s">
        <v>40</v>
      </c>
      <c r="E28" s="50" t="s">
        <v>215</v>
      </c>
      <c r="F28" s="51" t="s">
        <v>164</v>
      </c>
      <c r="G28" s="50" t="s">
        <v>214</v>
      </c>
      <c r="H28" s="54" t="s">
        <v>175</v>
      </c>
      <c r="I28" s="51" t="s">
        <v>95</v>
      </c>
      <c r="J28" s="52" t="str">
        <f>HYPERLINK("../apuntes/04-FP/PAR/1-asir/configuracion-de-redes-inalambricas/index.html","📖 Ver apunte")</f>
        <v>📖 Ver apunte</v>
      </c>
    </row>
    <row r="29" spans="2:10" ht="18" customHeight="1" x14ac:dyDescent="0.2">
      <c r="B29" s="53" t="s">
        <v>186</v>
      </c>
      <c r="C29" s="64" t="s">
        <v>110</v>
      </c>
      <c r="D29" s="65" t="s">
        <v>47</v>
      </c>
      <c r="E29" s="56" t="s">
        <v>216</v>
      </c>
      <c r="F29" s="57" t="s">
        <v>164</v>
      </c>
      <c r="G29" s="56" t="s">
        <v>217</v>
      </c>
      <c r="H29" s="66" t="s">
        <v>185</v>
      </c>
      <c r="I29" s="57" t="s">
        <v>95</v>
      </c>
      <c r="J29" s="52" t="str">
        <f>HYPERLINK("../apuntes/04-FP/PAR/1-asir/resolucion-de-incidencias-de-red/index.html","📖 Ver apunte")</f>
        <v>📖 Ver apunte</v>
      </c>
    </row>
    <row r="30" spans="2:10" ht="18" customHeight="1" x14ac:dyDescent="0.2">
      <c r="B30" s="51" t="s">
        <v>192</v>
      </c>
      <c r="C30" s="70" t="s">
        <v>110</v>
      </c>
      <c r="D30" s="53" t="s">
        <v>193</v>
      </c>
      <c r="E30" s="50" t="s">
        <v>194</v>
      </c>
      <c r="F30" s="51" t="s">
        <v>195</v>
      </c>
      <c r="G30" s="50" t="s">
        <v>196</v>
      </c>
      <c r="H30" s="48" t="s">
        <v>166</v>
      </c>
      <c r="I30" s="51" t="s">
        <v>197</v>
      </c>
      <c r="J30" s="72"/>
    </row>
    <row r="31" spans="2:10" ht="18" customHeight="1" x14ac:dyDescent="0.2">
      <c r="B31" s="57" t="s">
        <v>198</v>
      </c>
      <c r="C31" s="70" t="s">
        <v>110</v>
      </c>
      <c r="D31" s="53" t="s">
        <v>199</v>
      </c>
      <c r="E31" s="56" t="s">
        <v>200</v>
      </c>
      <c r="F31" s="57" t="s">
        <v>195</v>
      </c>
      <c r="G31" s="56" t="s">
        <v>196</v>
      </c>
      <c r="H31" s="54" t="s">
        <v>175</v>
      </c>
      <c r="I31" s="57" t="s">
        <v>197</v>
      </c>
      <c r="J31" s="71"/>
    </row>
    <row r="32" spans="2:10" ht="18" customHeight="1" x14ac:dyDescent="0.2">
      <c r="B32" s="51" t="s">
        <v>201</v>
      </c>
      <c r="C32" s="70" t="s">
        <v>110</v>
      </c>
      <c r="D32" s="53" t="s">
        <v>47</v>
      </c>
      <c r="E32" s="50" t="s">
        <v>203</v>
      </c>
      <c r="F32" s="51" t="s">
        <v>195</v>
      </c>
      <c r="G32" s="50" t="s">
        <v>196</v>
      </c>
      <c r="H32" s="66" t="s">
        <v>185</v>
      </c>
      <c r="I32" s="51" t="s">
        <v>197</v>
      </c>
      <c r="J32" s="72"/>
    </row>
    <row r="33" spans="2:10" ht="5" customHeight="1" x14ac:dyDescent="0.2">
      <c r="B33" s="1"/>
      <c r="C33" s="1"/>
      <c r="D33" s="1"/>
      <c r="E33" s="1"/>
      <c r="F33" s="1"/>
      <c r="G33" s="1"/>
      <c r="H33" s="1"/>
      <c r="I33" s="1"/>
      <c r="J33" s="1"/>
    </row>
    <row r="34" spans="2:10" ht="14" customHeight="1" x14ac:dyDescent="0.2">
      <c r="B34" s="300" t="s">
        <v>218</v>
      </c>
      <c r="C34" s="292"/>
      <c r="D34" s="292"/>
      <c r="E34" s="292"/>
      <c r="F34" s="292"/>
      <c r="G34" s="292"/>
      <c r="H34" s="292"/>
      <c r="I34" s="292"/>
      <c r="J34" s="292"/>
    </row>
    <row r="35" spans="2:10" ht="16" customHeight="1" x14ac:dyDescent="0.2">
      <c r="B35" s="299" t="s">
        <v>219</v>
      </c>
      <c r="C35" s="292"/>
      <c r="D35" s="292"/>
      <c r="E35" s="292"/>
      <c r="F35" s="292"/>
      <c r="G35" s="292"/>
      <c r="H35" s="292"/>
      <c r="I35" s="292"/>
      <c r="J35" s="292"/>
    </row>
    <row r="36" spans="2:10" ht="16" customHeight="1" x14ac:dyDescent="0.2">
      <c r="B36" s="299" t="s">
        <v>220</v>
      </c>
      <c r="C36" s="292"/>
      <c r="D36" s="292"/>
      <c r="E36" s="292"/>
      <c r="F36" s="292"/>
      <c r="G36" s="292"/>
      <c r="H36" s="292"/>
      <c r="I36" s="292"/>
      <c r="J36" s="292"/>
    </row>
    <row r="37" spans="2:10" ht="16" customHeight="1" x14ac:dyDescent="0.2">
      <c r="B37" s="299" t="s">
        <v>221</v>
      </c>
      <c r="C37" s="292"/>
      <c r="D37" s="292"/>
      <c r="E37" s="292"/>
      <c r="F37" s="292"/>
      <c r="G37" s="292"/>
      <c r="H37" s="292"/>
      <c r="I37" s="292"/>
      <c r="J37" s="292"/>
    </row>
    <row r="38" spans="2:10" ht="16" customHeight="1" x14ac:dyDescent="0.2">
      <c r="B38" s="299" t="s">
        <v>222</v>
      </c>
      <c r="C38" s="292"/>
      <c r="D38" s="292"/>
      <c r="E38" s="292"/>
      <c r="F38" s="292"/>
      <c r="G38" s="292"/>
      <c r="H38" s="292"/>
      <c r="I38" s="292"/>
      <c r="J38" s="292"/>
    </row>
    <row r="39" spans="2:10" ht="16" customHeight="1" x14ac:dyDescent="0.2">
      <c r="B39" s="299" t="s">
        <v>223</v>
      </c>
      <c r="C39" s="292"/>
      <c r="D39" s="292"/>
      <c r="E39" s="292"/>
      <c r="F39" s="292"/>
      <c r="G39" s="292"/>
      <c r="H39" s="292"/>
      <c r="I39" s="292"/>
      <c r="J39" s="292"/>
    </row>
    <row r="40" spans="2:10" ht="16" customHeight="1" x14ac:dyDescent="0.2">
      <c r="B40" s="299" t="s">
        <v>224</v>
      </c>
      <c r="C40" s="292"/>
      <c r="D40" s="292"/>
      <c r="E40" s="292"/>
      <c r="F40" s="292"/>
      <c r="G40" s="292"/>
      <c r="H40" s="292"/>
      <c r="I40" s="292"/>
      <c r="J40" s="292"/>
    </row>
  </sheetData>
  <mergeCells count="10">
    <mergeCell ref="B2:K2"/>
    <mergeCell ref="B39:J39"/>
    <mergeCell ref="B8:I8"/>
    <mergeCell ref="B3:K3"/>
    <mergeCell ref="B38:J38"/>
    <mergeCell ref="B34:J34"/>
    <mergeCell ref="B37:J37"/>
    <mergeCell ref="B36:J36"/>
    <mergeCell ref="B40:J40"/>
    <mergeCell ref="B35:J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70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5" width="12" customWidth="1"/>
    <col min="6" max="6" width="30" customWidth="1"/>
    <col min="7" max="7" width="20" customWidth="1"/>
    <col min="8" max="8" width="10" customWidth="1"/>
    <col min="9" max="9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225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226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3" t="s">
        <v>227</v>
      </c>
      <c r="G5" s="4" t="str">
        <f>HYPERLINK("#Hoy!A1","☀️ Hoy")</f>
        <v>☀️ Hoy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228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4</v>
      </c>
      <c r="C9" s="33" t="s">
        <v>229</v>
      </c>
      <c r="D9" s="33" t="s">
        <v>230</v>
      </c>
      <c r="E9" s="33" t="s">
        <v>65</v>
      </c>
      <c r="F9" s="33" t="s">
        <v>156</v>
      </c>
      <c r="G9" s="34" t="s">
        <v>101</v>
      </c>
      <c r="H9" s="34" t="s">
        <v>231</v>
      </c>
      <c r="I9" s="34" t="s">
        <v>232</v>
      </c>
    </row>
    <row r="10" spans="1:29" ht="18" customHeight="1" x14ac:dyDescent="0.2">
      <c r="B10" s="53"/>
      <c r="C10" s="73"/>
      <c r="D10" s="73"/>
      <c r="E10" s="53"/>
      <c r="F10" s="56"/>
      <c r="G10" s="53"/>
      <c r="H10" s="53"/>
      <c r="I10" s="53"/>
    </row>
    <row r="11" spans="1:29" ht="18" customHeight="1" x14ac:dyDescent="0.2">
      <c r="B11" s="53"/>
      <c r="C11" s="74"/>
      <c r="D11" s="74"/>
      <c r="E11" s="47"/>
      <c r="F11" s="50"/>
      <c r="G11" s="47"/>
      <c r="H11" s="47"/>
      <c r="I11" s="47"/>
    </row>
    <row r="12" spans="1:29" ht="18" customHeight="1" x14ac:dyDescent="0.2">
      <c r="B12" s="53"/>
      <c r="C12" s="73"/>
      <c r="D12" s="73"/>
      <c r="E12" s="53"/>
      <c r="F12" s="56"/>
      <c r="G12" s="53"/>
      <c r="H12" s="53"/>
      <c r="I12" s="53"/>
    </row>
    <row r="13" spans="1:29" ht="18" customHeight="1" x14ac:dyDescent="0.2">
      <c r="B13" s="53"/>
      <c r="C13" s="74"/>
      <c r="D13" s="74"/>
      <c r="E13" s="47"/>
      <c r="F13" s="50"/>
      <c r="G13" s="47"/>
      <c r="H13" s="47"/>
      <c r="I13" s="47"/>
    </row>
    <row r="14" spans="1:29" ht="18" customHeight="1" x14ac:dyDescent="0.2">
      <c r="B14" s="53"/>
      <c r="C14" s="73"/>
      <c r="D14" s="73"/>
      <c r="E14" s="53"/>
      <c r="F14" s="56"/>
      <c r="G14" s="53"/>
      <c r="H14" s="53"/>
      <c r="I14" s="53"/>
    </row>
    <row r="15" spans="1:29" ht="18" customHeight="1" x14ac:dyDescent="0.2">
      <c r="B15" s="53"/>
      <c r="C15" s="74"/>
      <c r="D15" s="74"/>
      <c r="E15" s="47"/>
      <c r="F15" s="50"/>
      <c r="G15" s="47"/>
      <c r="H15" s="47"/>
      <c r="I15" s="47"/>
    </row>
    <row r="16" spans="1:29" ht="18" customHeight="1" x14ac:dyDescent="0.2">
      <c r="B16" s="53"/>
      <c r="C16" s="73"/>
      <c r="D16" s="73"/>
      <c r="E16" s="53"/>
      <c r="F16" s="56"/>
      <c r="G16" s="53"/>
      <c r="H16" s="53"/>
      <c r="I16" s="53"/>
    </row>
    <row r="17" spans="2:9" ht="18" customHeight="1" x14ac:dyDescent="0.2">
      <c r="B17" s="53"/>
      <c r="C17" s="74"/>
      <c r="D17" s="74"/>
      <c r="E17" s="47"/>
      <c r="F17" s="50"/>
      <c r="G17" s="47"/>
      <c r="H17" s="47"/>
      <c r="I17" s="47"/>
    </row>
    <row r="18" spans="2:9" ht="18" customHeight="1" x14ac:dyDescent="0.2">
      <c r="B18" s="53"/>
      <c r="C18" s="73"/>
      <c r="D18" s="73"/>
      <c r="E18" s="53"/>
      <c r="F18" s="56"/>
      <c r="G18" s="53"/>
      <c r="H18" s="53"/>
      <c r="I18" s="53"/>
    </row>
    <row r="19" spans="2:9" ht="18" customHeight="1" x14ac:dyDescent="0.2">
      <c r="B19" s="53"/>
      <c r="C19" s="74"/>
      <c r="D19" s="74"/>
      <c r="E19" s="47"/>
      <c r="F19" s="50"/>
      <c r="G19" s="47"/>
      <c r="H19" s="47"/>
      <c r="I19" s="47"/>
    </row>
    <row r="20" spans="2:9" ht="18" customHeight="1" x14ac:dyDescent="0.2">
      <c r="B20" s="53"/>
      <c r="C20" s="73"/>
      <c r="D20" s="73"/>
      <c r="E20" s="53"/>
      <c r="F20" s="56"/>
      <c r="G20" s="53"/>
      <c r="H20" s="53"/>
      <c r="I20" s="53"/>
    </row>
    <row r="21" spans="2:9" ht="18" customHeight="1" x14ac:dyDescent="0.2">
      <c r="B21" s="53"/>
      <c r="C21" s="74"/>
      <c r="D21" s="74"/>
      <c r="E21" s="47"/>
      <c r="F21" s="50"/>
      <c r="G21" s="47"/>
      <c r="H21" s="47"/>
      <c r="I21" s="47"/>
    </row>
    <row r="22" spans="2:9" ht="18" customHeight="1" x14ac:dyDescent="0.2">
      <c r="B22" s="53"/>
      <c r="C22" s="73"/>
      <c r="D22" s="73"/>
      <c r="E22" s="53"/>
      <c r="F22" s="56"/>
      <c r="G22" s="53"/>
      <c r="H22" s="53"/>
      <c r="I22" s="53"/>
    </row>
    <row r="23" spans="2:9" ht="18" customHeight="1" x14ac:dyDescent="0.2">
      <c r="B23" s="53"/>
      <c r="C23" s="74"/>
      <c r="D23" s="74"/>
      <c r="E23" s="47"/>
      <c r="F23" s="50"/>
      <c r="G23" s="47"/>
      <c r="H23" s="47"/>
      <c r="I23" s="47"/>
    </row>
    <row r="24" spans="2:9" ht="18" customHeight="1" x14ac:dyDescent="0.2">
      <c r="B24" s="53"/>
      <c r="C24" s="73"/>
      <c r="D24" s="73"/>
      <c r="E24" s="53"/>
      <c r="F24" s="56"/>
      <c r="G24" s="53"/>
      <c r="H24" s="53"/>
      <c r="I24" s="53"/>
    </row>
    <row r="25" spans="2:9" ht="18" customHeight="1" x14ac:dyDescent="0.2">
      <c r="B25" s="53"/>
      <c r="C25" s="74"/>
      <c r="D25" s="74"/>
      <c r="E25" s="47"/>
      <c r="F25" s="50"/>
      <c r="G25" s="47"/>
      <c r="H25" s="47"/>
      <c r="I25" s="47"/>
    </row>
    <row r="26" spans="2:9" ht="18" customHeight="1" x14ac:dyDescent="0.2">
      <c r="B26" s="53"/>
      <c r="C26" s="73"/>
      <c r="D26" s="73"/>
      <c r="E26" s="53"/>
      <c r="F26" s="56"/>
      <c r="G26" s="53"/>
      <c r="H26" s="53"/>
      <c r="I26" s="53"/>
    </row>
    <row r="27" spans="2:9" ht="18" customHeight="1" x14ac:dyDescent="0.2">
      <c r="B27" s="53"/>
      <c r="C27" s="74"/>
      <c r="D27" s="74"/>
      <c r="E27" s="47"/>
      <c r="F27" s="50"/>
      <c r="G27" s="47"/>
      <c r="H27" s="47"/>
      <c r="I27" s="47"/>
    </row>
    <row r="28" spans="2:9" ht="18" customHeight="1" x14ac:dyDescent="0.2">
      <c r="B28" s="53"/>
      <c r="C28" s="73"/>
      <c r="D28" s="73"/>
      <c r="E28" s="53"/>
      <c r="F28" s="56"/>
      <c r="G28" s="53"/>
      <c r="H28" s="53"/>
      <c r="I28" s="53"/>
    </row>
    <row r="29" spans="2:9" ht="18" customHeight="1" x14ac:dyDescent="0.2">
      <c r="B29" s="53"/>
      <c r="C29" s="74"/>
      <c r="D29" s="74"/>
      <c r="E29" s="47"/>
      <c r="F29" s="50"/>
      <c r="G29" s="47"/>
      <c r="H29" s="47"/>
      <c r="I29" s="47"/>
    </row>
    <row r="30" spans="2:9" ht="18" customHeight="1" x14ac:dyDescent="0.2">
      <c r="B30" s="53"/>
      <c r="C30" s="73"/>
      <c r="D30" s="73"/>
      <c r="E30" s="53"/>
      <c r="F30" s="56"/>
      <c r="G30" s="53"/>
      <c r="H30" s="53"/>
      <c r="I30" s="53"/>
    </row>
    <row r="31" spans="2:9" ht="18" customHeight="1" x14ac:dyDescent="0.2">
      <c r="B31" s="53"/>
      <c r="C31" s="74"/>
      <c r="D31" s="74"/>
      <c r="E31" s="47"/>
      <c r="F31" s="50"/>
      <c r="G31" s="47"/>
      <c r="H31" s="47"/>
      <c r="I31" s="47"/>
    </row>
    <row r="32" spans="2:9" ht="18" customHeight="1" x14ac:dyDescent="0.2">
      <c r="B32" s="53"/>
      <c r="C32" s="73"/>
      <c r="D32" s="73"/>
      <c r="E32" s="53"/>
      <c r="F32" s="56"/>
      <c r="G32" s="53"/>
      <c r="H32" s="53"/>
      <c r="I32" s="53"/>
    </row>
    <row r="33" spans="2:9" ht="18" customHeight="1" x14ac:dyDescent="0.2">
      <c r="B33" s="53"/>
      <c r="C33" s="74"/>
      <c r="D33" s="74"/>
      <c r="E33" s="47"/>
      <c r="F33" s="50"/>
      <c r="G33" s="47"/>
      <c r="H33" s="47"/>
      <c r="I33" s="47"/>
    </row>
    <row r="34" spans="2:9" ht="18" customHeight="1" x14ac:dyDescent="0.2">
      <c r="B34" s="53"/>
      <c r="C34" s="73"/>
      <c r="D34" s="73"/>
      <c r="E34" s="53"/>
      <c r="F34" s="56"/>
      <c r="G34" s="53"/>
      <c r="H34" s="53"/>
      <c r="I34" s="53"/>
    </row>
    <row r="35" spans="2:9" ht="18" customHeight="1" x14ac:dyDescent="0.2">
      <c r="B35" s="53"/>
      <c r="C35" s="74"/>
      <c r="D35" s="74"/>
      <c r="E35" s="47"/>
      <c r="F35" s="50"/>
      <c r="G35" s="47"/>
      <c r="H35" s="47"/>
      <c r="I35" s="47"/>
    </row>
    <row r="36" spans="2:9" ht="18" customHeight="1" x14ac:dyDescent="0.2">
      <c r="B36" s="53"/>
      <c r="C36" s="73"/>
      <c r="D36" s="73"/>
      <c r="E36" s="53"/>
      <c r="F36" s="56"/>
      <c r="G36" s="53"/>
      <c r="H36" s="53"/>
      <c r="I36" s="53"/>
    </row>
    <row r="37" spans="2:9" ht="18" customHeight="1" x14ac:dyDescent="0.2">
      <c r="B37" s="53"/>
      <c r="C37" s="74"/>
      <c r="D37" s="74"/>
      <c r="E37" s="47"/>
      <c r="F37" s="50"/>
      <c r="G37" s="47"/>
      <c r="H37" s="47"/>
      <c r="I37" s="47"/>
    </row>
    <row r="38" spans="2:9" ht="18" customHeight="1" x14ac:dyDescent="0.2">
      <c r="B38" s="53"/>
      <c r="C38" s="73"/>
      <c r="D38" s="73"/>
      <c r="E38" s="53"/>
      <c r="F38" s="56"/>
      <c r="G38" s="53"/>
      <c r="H38" s="53"/>
      <c r="I38" s="53"/>
    </row>
    <row r="39" spans="2:9" ht="18" customHeight="1" x14ac:dyDescent="0.2">
      <c r="B39" s="53"/>
      <c r="C39" s="74"/>
      <c r="D39" s="74"/>
      <c r="E39" s="47"/>
      <c r="F39" s="50"/>
      <c r="G39" s="47"/>
      <c r="H39" s="47"/>
      <c r="I39" s="47"/>
    </row>
    <row r="40" spans="2:9" ht="18" customHeight="1" x14ac:dyDescent="0.2">
      <c r="B40" s="53"/>
      <c r="C40" s="73"/>
      <c r="D40" s="73"/>
      <c r="E40" s="53"/>
      <c r="F40" s="56"/>
      <c r="G40" s="53"/>
      <c r="H40" s="53"/>
      <c r="I40" s="53"/>
    </row>
    <row r="41" spans="2:9" ht="18" customHeight="1" x14ac:dyDescent="0.2">
      <c r="B41" s="53"/>
      <c r="C41" s="74"/>
      <c r="D41" s="74"/>
      <c r="E41" s="47"/>
      <c r="F41" s="50"/>
      <c r="G41" s="47"/>
      <c r="H41" s="47"/>
      <c r="I41" s="47"/>
    </row>
    <row r="42" spans="2:9" ht="18" customHeight="1" x14ac:dyDescent="0.2">
      <c r="B42" s="53"/>
      <c r="C42" s="73"/>
      <c r="D42" s="73"/>
      <c r="E42" s="53"/>
      <c r="F42" s="56"/>
      <c r="G42" s="53"/>
      <c r="H42" s="53"/>
      <c r="I42" s="53"/>
    </row>
    <row r="43" spans="2:9" ht="18" customHeight="1" x14ac:dyDescent="0.2">
      <c r="B43" s="53"/>
      <c r="C43" s="74"/>
      <c r="D43" s="74"/>
      <c r="E43" s="47"/>
      <c r="F43" s="50"/>
      <c r="G43" s="47"/>
      <c r="H43" s="47"/>
      <c r="I43" s="47"/>
    </row>
    <row r="44" spans="2:9" ht="18" customHeight="1" x14ac:dyDescent="0.2">
      <c r="B44" s="53"/>
      <c r="C44" s="73"/>
      <c r="D44" s="73"/>
      <c r="E44" s="53"/>
      <c r="F44" s="56"/>
      <c r="G44" s="53"/>
      <c r="H44" s="53"/>
      <c r="I44" s="53"/>
    </row>
    <row r="45" spans="2:9" ht="18" customHeight="1" x14ac:dyDescent="0.2">
      <c r="B45" s="53"/>
      <c r="C45" s="74"/>
      <c r="D45" s="74"/>
      <c r="E45" s="47"/>
      <c r="F45" s="50"/>
      <c r="G45" s="47"/>
      <c r="H45" s="47"/>
      <c r="I45" s="47"/>
    </row>
    <row r="46" spans="2:9" ht="18" customHeight="1" x14ac:dyDescent="0.2">
      <c r="B46" s="53"/>
      <c r="C46" s="73"/>
      <c r="D46" s="73"/>
      <c r="E46" s="53"/>
      <c r="F46" s="56"/>
      <c r="G46" s="53"/>
      <c r="H46" s="53"/>
      <c r="I46" s="53"/>
    </row>
    <row r="47" spans="2:9" ht="18" customHeight="1" x14ac:dyDescent="0.2">
      <c r="B47" s="53"/>
      <c r="C47" s="74"/>
      <c r="D47" s="74"/>
      <c r="E47" s="47"/>
      <c r="F47" s="50"/>
      <c r="G47" s="47"/>
      <c r="H47" s="47"/>
      <c r="I47" s="47"/>
    </row>
    <row r="48" spans="2:9" ht="18" customHeight="1" x14ac:dyDescent="0.2">
      <c r="B48" s="53"/>
      <c r="C48" s="73"/>
      <c r="D48" s="73"/>
      <c r="E48" s="53"/>
      <c r="F48" s="56"/>
      <c r="G48" s="53"/>
      <c r="H48" s="53"/>
      <c r="I48" s="53"/>
    </row>
    <row r="49" spans="2:9" ht="18" customHeight="1" x14ac:dyDescent="0.2">
      <c r="B49" s="53"/>
      <c r="C49" s="74"/>
      <c r="D49" s="74"/>
      <c r="E49" s="47"/>
      <c r="F49" s="50"/>
      <c r="G49" s="47"/>
      <c r="H49" s="47"/>
      <c r="I49" s="47"/>
    </row>
    <row r="50" spans="2:9" ht="18" customHeight="1" x14ac:dyDescent="0.2">
      <c r="B50" s="53"/>
      <c r="C50" s="73"/>
      <c r="D50" s="73"/>
      <c r="E50" s="53"/>
      <c r="F50" s="56"/>
      <c r="G50" s="53"/>
      <c r="H50" s="53"/>
      <c r="I50" s="53"/>
    </row>
    <row r="51" spans="2:9" ht="18" customHeight="1" x14ac:dyDescent="0.2">
      <c r="B51" s="53"/>
      <c r="C51" s="74"/>
      <c r="D51" s="74"/>
      <c r="E51" s="47"/>
      <c r="F51" s="50"/>
      <c r="G51" s="47"/>
      <c r="H51" s="47"/>
      <c r="I51" s="47"/>
    </row>
    <row r="52" spans="2:9" ht="18" customHeight="1" x14ac:dyDescent="0.2">
      <c r="B52" s="53"/>
      <c r="C52" s="73"/>
      <c r="D52" s="73"/>
      <c r="E52" s="53"/>
      <c r="F52" s="56"/>
      <c r="G52" s="53"/>
      <c r="H52" s="53"/>
      <c r="I52" s="53"/>
    </row>
    <row r="53" spans="2:9" ht="18" customHeight="1" x14ac:dyDescent="0.2">
      <c r="B53" s="53"/>
      <c r="C53" s="74"/>
      <c r="D53" s="74"/>
      <c r="E53" s="47"/>
      <c r="F53" s="50"/>
      <c r="G53" s="47"/>
      <c r="H53" s="47"/>
      <c r="I53" s="47"/>
    </row>
    <row r="54" spans="2:9" ht="18" customHeight="1" x14ac:dyDescent="0.2">
      <c r="B54" s="53"/>
      <c r="C54" s="73"/>
      <c r="D54" s="73"/>
      <c r="E54" s="53"/>
      <c r="F54" s="56"/>
      <c r="G54" s="53"/>
      <c r="H54" s="53"/>
      <c r="I54" s="53"/>
    </row>
    <row r="55" spans="2:9" ht="18" customHeight="1" x14ac:dyDescent="0.2">
      <c r="B55" s="53"/>
      <c r="C55" s="74"/>
      <c r="D55" s="74"/>
      <c r="E55" s="47"/>
      <c r="F55" s="50"/>
      <c r="G55" s="47"/>
      <c r="H55" s="47"/>
      <c r="I55" s="47"/>
    </row>
    <row r="56" spans="2:9" ht="18" customHeight="1" x14ac:dyDescent="0.2">
      <c r="B56" s="53"/>
      <c r="C56" s="73"/>
      <c r="D56" s="73"/>
      <c r="E56" s="53"/>
      <c r="F56" s="56"/>
      <c r="G56" s="53"/>
      <c r="H56" s="53"/>
      <c r="I56" s="53"/>
    </row>
    <row r="57" spans="2:9" ht="18" customHeight="1" x14ac:dyDescent="0.2">
      <c r="B57" s="53"/>
      <c r="C57" s="74"/>
      <c r="D57" s="74"/>
      <c r="E57" s="47"/>
      <c r="F57" s="50"/>
      <c r="G57" s="47"/>
      <c r="H57" s="47"/>
      <c r="I57" s="47"/>
    </row>
    <row r="58" spans="2:9" ht="18" customHeight="1" x14ac:dyDescent="0.2">
      <c r="B58" s="53"/>
      <c r="C58" s="73"/>
      <c r="D58" s="73"/>
      <c r="E58" s="53"/>
      <c r="F58" s="56"/>
      <c r="G58" s="53"/>
      <c r="H58" s="53"/>
      <c r="I58" s="53"/>
    </row>
    <row r="59" spans="2:9" ht="18" customHeight="1" x14ac:dyDescent="0.2">
      <c r="B59" s="53"/>
      <c r="C59" s="74"/>
      <c r="D59" s="74"/>
      <c r="E59" s="47"/>
      <c r="F59" s="50"/>
      <c r="G59" s="47"/>
      <c r="H59" s="47"/>
      <c r="I59" s="47"/>
    </row>
    <row r="60" spans="2:9" ht="18" customHeight="1" x14ac:dyDescent="0.2">
      <c r="B60" s="53"/>
      <c r="C60" s="73"/>
      <c r="D60" s="73"/>
      <c r="E60" s="53"/>
      <c r="F60" s="56"/>
      <c r="G60" s="53"/>
      <c r="H60" s="53"/>
      <c r="I60" s="53"/>
    </row>
    <row r="61" spans="2:9" ht="18" customHeight="1" x14ac:dyDescent="0.2">
      <c r="B61" s="53"/>
      <c r="C61" s="74"/>
      <c r="D61" s="74"/>
      <c r="E61" s="47"/>
      <c r="F61" s="50"/>
      <c r="G61" s="47"/>
      <c r="H61" s="47"/>
      <c r="I61" s="47"/>
    </row>
    <row r="62" spans="2:9" ht="18" customHeight="1" x14ac:dyDescent="0.2">
      <c r="B62" s="53"/>
      <c r="C62" s="73"/>
      <c r="D62" s="73"/>
      <c r="E62" s="53"/>
      <c r="F62" s="56"/>
      <c r="G62" s="53"/>
      <c r="H62" s="53"/>
      <c r="I62" s="53"/>
    </row>
    <row r="63" spans="2:9" ht="18" customHeight="1" x14ac:dyDescent="0.2">
      <c r="B63" s="53"/>
      <c r="C63" s="74"/>
      <c r="D63" s="74"/>
      <c r="E63" s="47"/>
      <c r="F63" s="50"/>
      <c r="G63" s="47"/>
      <c r="H63" s="47"/>
      <c r="I63" s="47"/>
    </row>
    <row r="64" spans="2:9" ht="18" customHeight="1" x14ac:dyDescent="0.2">
      <c r="B64" s="53"/>
      <c r="C64" s="73"/>
      <c r="D64" s="73"/>
      <c r="E64" s="53"/>
      <c r="F64" s="56"/>
      <c r="G64" s="53"/>
      <c r="H64" s="53"/>
      <c r="I64" s="53"/>
    </row>
    <row r="65" spans="2:9" ht="18" customHeight="1" x14ac:dyDescent="0.2">
      <c r="B65" s="53"/>
      <c r="C65" s="74"/>
      <c r="D65" s="74"/>
      <c r="E65" s="47"/>
      <c r="F65" s="50"/>
      <c r="G65" s="47"/>
      <c r="H65" s="47"/>
      <c r="I65" s="47"/>
    </row>
    <row r="66" spans="2:9" ht="18" customHeight="1" x14ac:dyDescent="0.2">
      <c r="B66" s="53"/>
      <c r="C66" s="73"/>
      <c r="D66" s="73"/>
      <c r="E66" s="53"/>
      <c r="F66" s="56"/>
      <c r="G66" s="53"/>
      <c r="H66" s="53"/>
      <c r="I66" s="53"/>
    </row>
    <row r="67" spans="2:9" ht="18" customHeight="1" x14ac:dyDescent="0.2">
      <c r="B67" s="53"/>
      <c r="C67" s="74"/>
      <c r="D67" s="74"/>
      <c r="E67" s="47"/>
      <c r="F67" s="50"/>
      <c r="G67" s="47"/>
      <c r="H67" s="47"/>
      <c r="I67" s="47"/>
    </row>
    <row r="68" spans="2:9" ht="18" customHeight="1" x14ac:dyDescent="0.2">
      <c r="B68" s="53"/>
      <c r="C68" s="73"/>
      <c r="D68" s="73"/>
      <c r="E68" s="53"/>
      <c r="F68" s="56"/>
      <c r="G68" s="53"/>
      <c r="H68" s="53"/>
      <c r="I68" s="53"/>
    </row>
    <row r="69" spans="2:9" ht="18" customHeight="1" x14ac:dyDescent="0.2">
      <c r="B69" s="53"/>
      <c r="C69" s="74"/>
      <c r="D69" s="74"/>
      <c r="E69" s="47"/>
      <c r="F69" s="50"/>
      <c r="G69" s="47"/>
      <c r="H69" s="47"/>
      <c r="I69" s="47"/>
    </row>
    <row r="70" spans="2:9" ht="14" customHeight="1" x14ac:dyDescent="0.2">
      <c r="B70" s="294" t="s">
        <v>233</v>
      </c>
      <c r="C70" s="292"/>
      <c r="D70" s="292"/>
      <c r="E70" s="292"/>
      <c r="F70" s="292"/>
      <c r="G70" s="292"/>
      <c r="H70" s="292"/>
      <c r="I70" s="292"/>
    </row>
  </sheetData>
  <mergeCells count="4">
    <mergeCell ref="B70:I70"/>
    <mergeCell ref="B8:I8"/>
    <mergeCell ref="B3:K3"/>
    <mergeCell ref="B2:K2"/>
  </mergeCells>
  <dataValidations count="5">
    <dataValidation type="list" allowBlank="1" sqref="B10:B69" xr:uid="{00000000-0002-0000-0400-000000000000}">
      <formula1>"ISO,PAR"</formula1>
    </dataValidation>
    <dataValidation type="list" allowBlank="1" sqref="E10:E69" xr:uid="{00000000-0002-0000-0400-000001000000}">
      <formula1>"EV1,EV2,EV3"</formula1>
    </dataValidation>
    <dataValidation type="list" allowBlank="1" sqref="G10:G69" xr:uid="{00000000-0002-0000-0400-000002000000}">
      <formula1>"1º ASIR-A,1º ASIR-A"</formula1>
    </dataValidation>
    <dataValidation type="list" allowBlank="1" sqref="H10:H69" xr:uid="{00000000-0002-0000-0400-000003000000}">
      <formula1>"Examen,Entrega,Recuperación,Tutoría,Otro"</formula1>
    </dataValidation>
    <dataValidation type="list" allowBlank="1" sqref="I10:I69" xr:uid="{00000000-0002-0000-0400-000004000000}">
      <formula1>"Pendiente,Confirmado,Realizado,Cancelado"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9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8" customWidth="1"/>
    <col min="3" max="3" width="35" customWidth="1"/>
    <col min="4" max="6" width="14" customWidth="1"/>
    <col min="7" max="7" width="18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234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235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3" t="s">
        <v>236</v>
      </c>
      <c r="H5" s="4" t="str">
        <f>HYPERLINK("#Dashboard Global!A1","📊 Dashboard+")</f>
        <v>📊 Dashboard+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30" customHeight="1" x14ac:dyDescent="0.2">
      <c r="B8" s="302" t="e">
        <f ca="1">TEXT(TODAY(),"DDDD, D DE MMMM DE YYYY")</f>
        <v>#VALUE!</v>
      </c>
      <c r="C8" s="292"/>
      <c r="D8" s="292"/>
      <c r="E8" s="304" t="s">
        <v>237</v>
      </c>
      <c r="F8" s="292"/>
      <c r="G8" s="292"/>
    </row>
    <row r="9" spans="1:29" ht="5" customHeight="1" x14ac:dyDescent="0.2">
      <c r="B9" s="1"/>
      <c r="C9" s="1"/>
      <c r="D9" s="1"/>
      <c r="E9" s="1"/>
      <c r="F9" s="1"/>
      <c r="G9" s="1"/>
    </row>
    <row r="10" spans="1:29" ht="14" customHeight="1" x14ac:dyDescent="0.2">
      <c r="B10" s="295" t="s">
        <v>238</v>
      </c>
      <c r="C10" s="292"/>
      <c r="D10" s="292"/>
      <c r="E10" s="292"/>
      <c r="F10" s="292"/>
      <c r="G10" s="292"/>
    </row>
    <row r="11" spans="1:29" ht="20" customHeight="1" x14ac:dyDescent="0.2">
      <c r="B11" s="75" t="s">
        <v>4</v>
      </c>
      <c r="C11" s="75" t="s">
        <v>239</v>
      </c>
      <c r="D11" s="76" t="s">
        <v>101</v>
      </c>
      <c r="E11" s="76" t="s">
        <v>240</v>
      </c>
      <c r="F11" s="76" t="s">
        <v>241</v>
      </c>
      <c r="G11" s="76" t="s">
        <v>242</v>
      </c>
    </row>
    <row r="12" spans="1:29" ht="20" customHeight="1" x14ac:dyDescent="0.2">
      <c r="B12" s="77" t="str">
        <f>HYPERLINK("#ISO · Dashboard!A1","ISO")</f>
        <v>ISO</v>
      </c>
      <c r="C12" s="50" t="s">
        <v>107</v>
      </c>
      <c r="D12" s="78" t="s">
        <v>108</v>
      </c>
      <c r="E12" s="51" t="s">
        <v>15</v>
      </c>
      <c r="F12" s="79" t="s">
        <v>243</v>
      </c>
      <c r="G12" s="67" t="s">
        <v>244</v>
      </c>
    </row>
    <row r="13" spans="1:29" ht="20" customHeight="1" x14ac:dyDescent="0.2">
      <c r="B13" s="77" t="str">
        <f>HYPERLINK("#PAR · Dashboard!A1","PAR")</f>
        <v>PAR</v>
      </c>
      <c r="C13" s="50" t="s">
        <v>111</v>
      </c>
      <c r="D13" s="78" t="s">
        <v>108</v>
      </c>
      <c r="E13" s="51" t="s">
        <v>245</v>
      </c>
      <c r="F13" s="79" t="s">
        <v>243</v>
      </c>
      <c r="G13" s="67" t="s">
        <v>244</v>
      </c>
    </row>
    <row r="14" spans="1:29" ht="5" customHeight="1" x14ac:dyDescent="0.2">
      <c r="B14" s="1"/>
      <c r="C14" s="1"/>
      <c r="D14" s="1"/>
      <c r="E14" s="1"/>
      <c r="F14" s="1"/>
      <c r="G14" s="1"/>
    </row>
    <row r="15" spans="1:29" ht="14" customHeight="1" x14ac:dyDescent="0.2">
      <c r="B15" s="305" t="s">
        <v>246</v>
      </c>
      <c r="C15" s="292"/>
      <c r="D15" s="292"/>
      <c r="E15" s="292"/>
      <c r="F15" s="292"/>
      <c r="G15" s="292"/>
    </row>
    <row r="16" spans="1:29" ht="20" customHeight="1" x14ac:dyDescent="0.2">
      <c r="B16" s="75" t="s">
        <v>4</v>
      </c>
      <c r="C16" s="76" t="s">
        <v>101</v>
      </c>
      <c r="D16" s="76" t="s">
        <v>247</v>
      </c>
      <c r="E16" s="80" t="s">
        <v>248</v>
      </c>
      <c r="F16" s="81" t="s">
        <v>249</v>
      </c>
      <c r="G16" s="82" t="s">
        <v>250</v>
      </c>
    </row>
    <row r="17" spans="2:7" ht="20" customHeight="1" x14ac:dyDescent="0.2">
      <c r="B17" s="36" t="s">
        <v>106</v>
      </c>
      <c r="C17" s="83" t="s">
        <v>108</v>
      </c>
      <c r="D17" s="36">
        <f>IFERROR(COUNTA('ISO · Alumnos'!C10:C39),"")</f>
        <v>0</v>
      </c>
      <c r="E17" s="84">
        <f>IFERROR('ISO · Dashboard'!E10,"–")</f>
        <v>0</v>
      </c>
      <c r="F17" s="85">
        <f>IFERROR('ISO · Dashboard'!G10,"–")</f>
        <v>0</v>
      </c>
      <c r="G17" s="86">
        <f>IFERROR('ISO · Dashboard'!I10,"–")</f>
        <v>0</v>
      </c>
    </row>
    <row r="18" spans="2:7" ht="20" customHeight="1" x14ac:dyDescent="0.2">
      <c r="B18" s="36" t="s">
        <v>110</v>
      </c>
      <c r="C18" s="83" t="s">
        <v>108</v>
      </c>
      <c r="D18" s="36">
        <f>IFERROR(COUNTA('PAR · Alumnos'!C10:C39),"")</f>
        <v>0</v>
      </c>
      <c r="E18" s="84">
        <f>IFERROR('PAR · Dashboard'!E10,"–")</f>
        <v>0</v>
      </c>
      <c r="F18" s="85">
        <f>IFERROR('PAR · Dashboard'!G10,"–")</f>
        <v>0</v>
      </c>
      <c r="G18" s="86">
        <f>IFERROR('PAR · Dashboard'!I10,"–")</f>
        <v>0</v>
      </c>
    </row>
    <row r="19" spans="2:7" ht="5" customHeight="1" x14ac:dyDescent="0.2">
      <c r="B19" s="1"/>
      <c r="C19" s="1"/>
      <c r="D19" s="1"/>
      <c r="E19" s="1"/>
      <c r="F19" s="1"/>
      <c r="G19" s="1"/>
    </row>
    <row r="20" spans="2:7" ht="14" customHeight="1" x14ac:dyDescent="0.2">
      <c r="B20" s="300" t="s">
        <v>251</v>
      </c>
      <c r="C20" s="292"/>
      <c r="D20" s="292"/>
      <c r="E20" s="292"/>
      <c r="F20" s="292"/>
      <c r="G20" s="292"/>
    </row>
    <row r="21" spans="2:7" ht="20" customHeight="1" x14ac:dyDescent="0.2">
      <c r="B21" s="303"/>
      <c r="C21" s="292"/>
      <c r="D21" s="292"/>
      <c r="E21" s="292"/>
      <c r="F21" s="292"/>
      <c r="G21" s="292"/>
    </row>
    <row r="22" spans="2:7" ht="20" customHeight="1" x14ac:dyDescent="0.2">
      <c r="B22" s="301"/>
      <c r="C22" s="292"/>
      <c r="D22" s="292"/>
      <c r="E22" s="292"/>
      <c r="F22" s="292"/>
      <c r="G22" s="292"/>
    </row>
    <row r="23" spans="2:7" ht="20" customHeight="1" x14ac:dyDescent="0.2">
      <c r="B23" s="303"/>
      <c r="C23" s="292"/>
      <c r="D23" s="292"/>
      <c r="E23" s="292"/>
      <c r="F23" s="292"/>
      <c r="G23" s="292"/>
    </row>
    <row r="24" spans="2:7" ht="20" customHeight="1" x14ac:dyDescent="0.2">
      <c r="B24" s="301"/>
      <c r="C24" s="292"/>
      <c r="D24" s="292"/>
      <c r="E24" s="292"/>
      <c r="F24" s="292"/>
      <c r="G24" s="292"/>
    </row>
    <row r="25" spans="2:7" ht="20" customHeight="1" x14ac:dyDescent="0.2">
      <c r="B25" s="303"/>
      <c r="C25" s="292"/>
      <c r="D25" s="292"/>
      <c r="E25" s="292"/>
      <c r="F25" s="292"/>
      <c r="G25" s="292"/>
    </row>
    <row r="26" spans="2:7" ht="20" customHeight="1" x14ac:dyDescent="0.2">
      <c r="B26" s="301"/>
      <c r="C26" s="292"/>
      <c r="D26" s="292"/>
      <c r="E26" s="292"/>
      <c r="F26" s="292"/>
      <c r="G26" s="292"/>
    </row>
    <row r="27" spans="2:7" ht="20" customHeight="1" x14ac:dyDescent="0.2">
      <c r="B27" s="303"/>
      <c r="C27" s="292"/>
      <c r="D27" s="292"/>
      <c r="E27" s="292"/>
      <c r="F27" s="292"/>
      <c r="G27" s="292"/>
    </row>
    <row r="28" spans="2:7" ht="20" customHeight="1" x14ac:dyDescent="0.2">
      <c r="B28" s="301"/>
      <c r="C28" s="292"/>
      <c r="D28" s="292"/>
      <c r="E28" s="292"/>
      <c r="F28" s="292"/>
      <c r="G28" s="292"/>
    </row>
    <row r="29" spans="2:7" ht="14" customHeight="1" x14ac:dyDescent="0.2">
      <c r="B29" s="294" t="s">
        <v>252</v>
      </c>
      <c r="C29" s="292"/>
      <c r="D29" s="292"/>
      <c r="E29" s="292"/>
      <c r="F29" s="292"/>
      <c r="G29" s="292"/>
    </row>
  </sheetData>
  <mergeCells count="16">
    <mergeCell ref="B29:G29"/>
    <mergeCell ref="B2:K2"/>
    <mergeCell ref="B21:G21"/>
    <mergeCell ref="B15:G15"/>
    <mergeCell ref="B3:K3"/>
    <mergeCell ref="B25:G25"/>
    <mergeCell ref="B8:D8"/>
    <mergeCell ref="B23:G23"/>
    <mergeCell ref="E8:G8"/>
    <mergeCell ref="B27:G27"/>
    <mergeCell ref="B26:G26"/>
    <mergeCell ref="B24:G24"/>
    <mergeCell ref="B20:G20"/>
    <mergeCell ref="B10:G10"/>
    <mergeCell ref="B28:G28"/>
    <mergeCell ref="B22:G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4" customWidth="1"/>
    <col min="3" max="3" width="30" customWidth="1"/>
    <col min="4" max="8" width="12" customWidth="1"/>
    <col min="9" max="9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253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254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HYPERLINK("#Inicio!A1","🏠 Inicio")</f>
        <v>🏠 Inicio</v>
      </c>
      <c r="C5" s="4" t="str">
        <f>HYPERLINK("#Configuración!A1","⚙️ Config")</f>
        <v>⚙️ Config</v>
      </c>
      <c r="D5" s="4" t="str">
        <f>HYPERLINK("#Mis Módulos!A1","📚 Módulos")</f>
        <v>📚 Módulos</v>
      </c>
      <c r="E5" s="4" t="str">
        <f>HYPERLINK("#Biblioteca!A1","📖 Biblioteca")</f>
        <v>📖 Biblioteca</v>
      </c>
      <c r="F5" s="4" t="str">
        <f>HYPERLINK("#Calendario!A1","📅 Calendario")</f>
        <v>📅 Calendario</v>
      </c>
      <c r="G5" s="4" t="str">
        <f>HYPERLINK("#Hoy!A1","☀️ Hoy")</f>
        <v>☀️ Hoy</v>
      </c>
      <c r="H5" s="3" t="s">
        <v>255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256</v>
      </c>
      <c r="C8" s="292"/>
      <c r="D8" s="292"/>
      <c r="E8" s="292"/>
      <c r="F8" s="292"/>
      <c r="G8" s="292"/>
      <c r="H8" s="292"/>
      <c r="I8" s="292"/>
    </row>
    <row r="9" spans="1:29" ht="28" customHeight="1" x14ac:dyDescent="0.2">
      <c r="B9" s="33" t="s">
        <v>4</v>
      </c>
      <c r="C9" s="33" t="s">
        <v>257</v>
      </c>
      <c r="D9" s="34" t="s">
        <v>247</v>
      </c>
      <c r="E9" s="87" t="s">
        <v>258</v>
      </c>
      <c r="F9" s="88" t="s">
        <v>259</v>
      </c>
      <c r="G9" s="89" t="s">
        <v>260</v>
      </c>
      <c r="H9" s="34" t="s">
        <v>261</v>
      </c>
      <c r="I9" s="34" t="s">
        <v>262</v>
      </c>
    </row>
    <row r="10" spans="1:29" ht="24" customHeight="1" x14ac:dyDescent="0.2">
      <c r="B10" s="90" t="str">
        <f>HYPERLINK("#ISO · Dashboard!A1","ISO")</f>
        <v>ISO</v>
      </c>
      <c r="C10" s="91" t="s">
        <v>107</v>
      </c>
      <c r="D10" s="92">
        <f>IFERROR(COUNTA('ISO · Alumnos'!C10:C39),"")</f>
        <v>0</v>
      </c>
      <c r="E10" s="93">
        <f>IFERROR(COUNTIF('ISO · 1ªORD'!M11:M40,"APTO"),"")</f>
        <v>0</v>
      </c>
      <c r="F10" s="94">
        <f>IFERROR(COUNTIF('ISO · 1ªORD'!M11:M40,"NO APTO"),"")</f>
        <v>0</v>
      </c>
      <c r="G10" s="95">
        <f>IFERROR(COUNTIFS('ISO · 1ªORD'!L11:L40,"&gt;0",'ISO · 1ªORD'!L11:L40,"&lt;4"),"")</f>
        <v>0</v>
      </c>
      <c r="H10" s="96" t="str">
        <f>IFERROR(ROUND(AVERAGE('ISO · 1ªORD'!L11:L40),2),"")</f>
        <v/>
      </c>
      <c r="I10" s="97" t="str">
        <f>IFERROR(TEXT(COUNTIF('ISO · 1ªORD'!M11:M40,"APTO")/COUNTA('ISO · 1ªORD'!M11:M40),"0%"),"")</f>
        <v>0%</v>
      </c>
    </row>
    <row r="11" spans="1:29" ht="24" customHeight="1" x14ac:dyDescent="0.2">
      <c r="B11" s="90" t="str">
        <f>HYPERLINK("#PAR · Dashboard!A1","PAR")</f>
        <v>PAR</v>
      </c>
      <c r="C11" s="91" t="s">
        <v>263</v>
      </c>
      <c r="D11" s="92">
        <f>IFERROR(COUNTA('PAR · Alumnos'!C10:C39),"")</f>
        <v>0</v>
      </c>
      <c r="E11" s="93">
        <f>IFERROR(COUNTIF('PAR · 1ªORD'!K11:K40,"APTO"),"")</f>
        <v>0</v>
      </c>
      <c r="F11" s="94">
        <f>IFERROR(COUNTIF('PAR · 1ªORD'!K11:K40,"NO APTO"),"")</f>
        <v>0</v>
      </c>
      <c r="G11" s="95">
        <f>IFERROR(COUNTIFS('PAR · 1ªORD'!J11:J40,"&gt;0",'PAR · 1ªORD'!J11:J40,"&lt;4"),"")</f>
        <v>0</v>
      </c>
      <c r="H11" s="96" t="str">
        <f>IFERROR(ROUND(AVERAGE('PAR · 1ªORD'!J11:J40),2),"")</f>
        <v/>
      </c>
      <c r="I11" s="97" t="str">
        <f>IFERROR(TEXT(COUNTIF('PAR · 1ªORD'!K11:K40,"APTO")/COUNTA('PAR · 1ªORD'!K11:K40),"0%"),"")</f>
        <v>0%</v>
      </c>
    </row>
    <row r="12" spans="1:29" ht="22" customHeight="1" x14ac:dyDescent="0.2">
      <c r="B12" s="98" t="s">
        <v>264</v>
      </c>
      <c r="C12" s="98"/>
      <c r="D12" s="99">
        <f>SUM(D10:D11)</f>
        <v>0</v>
      </c>
      <c r="E12" s="100">
        <f>SUM(E10:E11)</f>
        <v>0</v>
      </c>
      <c r="F12" s="101">
        <f>SUM(F10:F11)</f>
        <v>0</v>
      </c>
      <c r="G12" s="102">
        <f>SUM(G10:G11)</f>
        <v>0</v>
      </c>
      <c r="H12" s="99" t="str">
        <f>IFERROR(ROUND(AVERAGE(H10:H11),2),"")</f>
        <v/>
      </c>
      <c r="I12" s="103" t="str">
        <f>IFERROR(TEXT(E11/D11,"0%"),"")</f>
        <v/>
      </c>
    </row>
    <row r="13" spans="1:29" ht="5" customHeight="1" x14ac:dyDescent="0.2">
      <c r="B13" s="1"/>
      <c r="C13" s="1"/>
      <c r="D13" s="1"/>
      <c r="E13" s="1"/>
      <c r="F13" s="1"/>
      <c r="G13" s="1"/>
      <c r="H13" s="1"/>
      <c r="I13" s="1"/>
    </row>
    <row r="14" spans="1:29" ht="14" customHeight="1" x14ac:dyDescent="0.2">
      <c r="B14" s="300" t="s">
        <v>265</v>
      </c>
      <c r="C14" s="292"/>
      <c r="D14" s="292"/>
      <c r="E14" s="292"/>
      <c r="F14" s="292"/>
      <c r="G14" s="292"/>
      <c r="H14" s="292"/>
      <c r="I14" s="292"/>
    </row>
    <row r="15" spans="1:29" ht="20" customHeight="1" x14ac:dyDescent="0.2">
      <c r="B15" s="308" t="s">
        <v>266</v>
      </c>
      <c r="C15" s="307" t="str">
        <f>HYPERLINK("#ISO · Dashboard!A1","📊 Dashboard ISO")</f>
        <v>📊 Dashboard ISO</v>
      </c>
      <c r="D15" s="292"/>
      <c r="E15" s="306" t="str">
        <f>HYPERLINK("#ISO · Programación!A1","📋 Programación ISO")</f>
        <v>📋 Programación ISO</v>
      </c>
      <c r="F15" s="292"/>
      <c r="G15" s="306" t="str">
        <f>HYPERLINK("#ISO · Informe Grupo!A1","📄 Inf.Grupo ISO")</f>
        <v>📄 Inf.Grupo ISO</v>
      </c>
      <c r="H15" s="292"/>
    </row>
    <row r="16" spans="1:29" ht="20" customHeight="1" x14ac:dyDescent="0.2">
      <c r="B16" s="308" t="s">
        <v>267</v>
      </c>
      <c r="C16" s="307" t="str">
        <f>HYPERLINK("#PAR · Dashboard!A1","📊 Dashboard PAR")</f>
        <v>📊 Dashboard PAR</v>
      </c>
      <c r="D16" s="292"/>
      <c r="E16" s="306" t="str">
        <f>HYPERLINK("#PAR · Programación!A1","📋 Programación PAR")</f>
        <v>📋 Programación PAR</v>
      </c>
      <c r="F16" s="292"/>
      <c r="G16" s="306" t="str">
        <f>HYPERLINK("#PAR · Informe Grupo!A1","📄 Inf.Grupo PAR")</f>
        <v>📄 Inf.Grupo PAR</v>
      </c>
      <c r="H16" s="292"/>
    </row>
    <row r="18" spans="2:9" ht="14" customHeight="1" x14ac:dyDescent="0.2">
      <c r="B18" s="294" t="s">
        <v>268</v>
      </c>
      <c r="C18" s="292"/>
      <c r="D18" s="292"/>
      <c r="E18" s="292"/>
      <c r="F18" s="292"/>
      <c r="G18" s="292"/>
      <c r="H18" s="292"/>
      <c r="I18" s="292"/>
    </row>
  </sheetData>
  <mergeCells count="13">
    <mergeCell ref="B14:I14"/>
    <mergeCell ref="B2:K2"/>
    <mergeCell ref="B8:I8"/>
    <mergeCell ref="B3:K3"/>
    <mergeCell ref="B18:I18"/>
    <mergeCell ref="E16:F16"/>
    <mergeCell ref="C16:D16"/>
    <mergeCell ref="E15:F15"/>
    <mergeCell ref="C15:D15"/>
    <mergeCell ref="G16:H16"/>
    <mergeCell ref="G15:H15"/>
    <mergeCell ref="B15"/>
    <mergeCell ref="B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/>
  </sheetViews>
  <sheetFormatPr baseColWidth="10" defaultColWidth="8.83203125" defaultRowHeight="15" x14ac:dyDescent="0.2"/>
  <cols>
    <col min="1" max="1" width="22" customWidth="1"/>
    <col min="2" max="2" width="70" customWidth="1"/>
  </cols>
  <sheetData>
    <row r="1" spans="1:2" ht="17" x14ac:dyDescent="0.2">
      <c r="A1" s="11" t="s">
        <v>269</v>
      </c>
    </row>
    <row r="2" spans="1:2" x14ac:dyDescent="0.2">
      <c r="A2" s="104" t="s">
        <v>270</v>
      </c>
    </row>
    <row r="3" spans="1:2" x14ac:dyDescent="0.2">
      <c r="A3" t="s">
        <v>271</v>
      </c>
    </row>
    <row r="5" spans="1:2" x14ac:dyDescent="0.2">
      <c r="A5" s="105" t="s">
        <v>272</v>
      </c>
      <c r="B5" s="106" t="s">
        <v>273</v>
      </c>
    </row>
    <row r="6" spans="1:2" x14ac:dyDescent="0.2">
      <c r="A6" s="105" t="s">
        <v>274</v>
      </c>
      <c r="B6" s="106" t="s">
        <v>275</v>
      </c>
    </row>
    <row r="7" spans="1:2" x14ac:dyDescent="0.2">
      <c r="A7" s="105" t="s">
        <v>276</v>
      </c>
      <c r="B7" s="106" t="s">
        <v>277</v>
      </c>
    </row>
    <row r="8" spans="1:2" x14ac:dyDescent="0.2">
      <c r="A8" s="105" t="s">
        <v>278</v>
      </c>
      <c r="B8" s="106" t="s">
        <v>279</v>
      </c>
    </row>
    <row r="9" spans="1:2" x14ac:dyDescent="0.2">
      <c r="A9" s="105" t="s">
        <v>280</v>
      </c>
      <c r="B9" s="106" t="s">
        <v>281</v>
      </c>
    </row>
    <row r="10" spans="1:2" x14ac:dyDescent="0.2">
      <c r="A10" s="105" t="s">
        <v>282</v>
      </c>
      <c r="B10" s="106" t="s">
        <v>283</v>
      </c>
    </row>
    <row r="12" spans="1:2" x14ac:dyDescent="0.2">
      <c r="A12" s="107" t="s">
        <v>284</v>
      </c>
      <c r="B12" s="5"/>
    </row>
    <row r="13" spans="1:2" x14ac:dyDescent="0.2">
      <c r="B13" s="108" t="s">
        <v>285</v>
      </c>
    </row>
    <row r="14" spans="1:2" x14ac:dyDescent="0.2">
      <c r="B14" s="108" t="s">
        <v>286</v>
      </c>
    </row>
    <row r="15" spans="1:2" x14ac:dyDescent="0.2">
      <c r="B15" s="108" t="s">
        <v>287</v>
      </c>
    </row>
    <row r="16" spans="1:2" x14ac:dyDescent="0.2">
      <c r="B16" s="108" t="s">
        <v>288</v>
      </c>
    </row>
    <row r="17" spans="1:2" x14ac:dyDescent="0.2">
      <c r="B17" s="108" t="s">
        <v>289</v>
      </c>
    </row>
    <row r="18" spans="1:2" x14ac:dyDescent="0.2">
      <c r="B18" s="108" t="s">
        <v>290</v>
      </c>
    </row>
    <row r="19" spans="1:2" x14ac:dyDescent="0.2">
      <c r="B19" s="108" t="s">
        <v>291</v>
      </c>
    </row>
    <row r="20" spans="1:2" x14ac:dyDescent="0.2">
      <c r="B20" s="108" t="s">
        <v>292</v>
      </c>
    </row>
    <row r="21" spans="1:2" x14ac:dyDescent="0.2">
      <c r="B21" s="108" t="s">
        <v>293</v>
      </c>
    </row>
    <row r="23" spans="1:2" x14ac:dyDescent="0.2">
      <c r="A23" s="105" t="s">
        <v>294</v>
      </c>
    </row>
    <row r="24" spans="1:2" x14ac:dyDescent="0.2">
      <c r="B24" s="108" t="s">
        <v>295</v>
      </c>
    </row>
    <row r="26" spans="1:2" x14ac:dyDescent="0.2">
      <c r="A26" s="104" t="s">
        <v>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46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6" customWidth="1"/>
    <col min="3" max="3" width="8" customWidth="1"/>
    <col min="4" max="4" width="35" customWidth="1"/>
    <col min="5" max="6" width="7" customWidth="1"/>
    <col min="7" max="7" width="8" customWidth="1"/>
    <col min="8" max="8" width="24" customWidth="1"/>
    <col min="9" max="9" width="7" customWidth="1"/>
    <col min="10" max="11" width="9" customWidth="1"/>
    <col min="12" max="12" width="10" customWidth="1"/>
    <col min="13" max="13" width="22" customWidth="1"/>
    <col min="14" max="14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297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298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3" t="s">
        <v>299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15" t="s">
        <v>300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36" customHeight="1" x14ac:dyDescent="0.2">
      <c r="B9" s="109" t="s">
        <v>301</v>
      </c>
      <c r="C9" s="109" t="s">
        <v>61</v>
      </c>
      <c r="D9" s="109" t="s">
        <v>302</v>
      </c>
      <c r="E9" s="109" t="s">
        <v>63</v>
      </c>
      <c r="F9" s="109" t="s">
        <v>64</v>
      </c>
      <c r="G9" s="109" t="s">
        <v>21</v>
      </c>
      <c r="H9" s="109" t="s">
        <v>303</v>
      </c>
      <c r="I9" s="109" t="s">
        <v>304</v>
      </c>
      <c r="J9" s="109" t="s">
        <v>305</v>
      </c>
      <c r="K9" s="109" t="s">
        <v>306</v>
      </c>
      <c r="L9" s="109" t="s">
        <v>307</v>
      </c>
      <c r="M9" s="109" t="s">
        <v>308</v>
      </c>
      <c r="N9" s="109" t="s">
        <v>161</v>
      </c>
    </row>
    <row r="10" spans="1:29" ht="22" customHeight="1" x14ac:dyDescent="0.2">
      <c r="B10" s="110" t="s">
        <v>166</v>
      </c>
      <c r="C10" s="12" t="s">
        <v>66</v>
      </c>
      <c r="D10" s="111" t="s">
        <v>67</v>
      </c>
      <c r="E10" s="112">
        <v>30</v>
      </c>
      <c r="F10" s="15" t="s">
        <v>69</v>
      </c>
      <c r="G10" s="113" t="s">
        <v>26</v>
      </c>
      <c r="H10" s="114" t="s">
        <v>309</v>
      </c>
      <c r="I10" s="15">
        <v>8</v>
      </c>
      <c r="J10" s="15" t="s">
        <v>310</v>
      </c>
      <c r="K10" s="15">
        <v>24</v>
      </c>
      <c r="L10" s="115" t="s">
        <v>28</v>
      </c>
      <c r="M10" s="116" t="s">
        <v>311</v>
      </c>
      <c r="N10" s="52" t="str">
        <f>HYPERLINK("../apuntes/04-FP/ISO/1-asir/instalacion-de-software-libre-y-propietario/index.html","📖 Ver apunte")</f>
        <v>📖 Ver apunte</v>
      </c>
    </row>
    <row r="11" spans="1:29" ht="22" customHeight="1" x14ac:dyDescent="0.2">
      <c r="B11" s="117"/>
      <c r="C11" s="12"/>
      <c r="D11" s="118"/>
      <c r="E11" s="15"/>
      <c r="F11" s="15"/>
      <c r="G11" s="119" t="s">
        <v>31</v>
      </c>
      <c r="H11" s="120" t="s">
        <v>312</v>
      </c>
      <c r="I11" s="15">
        <v>2</v>
      </c>
      <c r="J11" s="15" t="s">
        <v>313</v>
      </c>
      <c r="K11" s="15">
        <v>6</v>
      </c>
      <c r="L11" s="121" t="s">
        <v>33</v>
      </c>
      <c r="M11" s="122" t="s">
        <v>311</v>
      </c>
      <c r="N11" s="71"/>
    </row>
    <row r="12" spans="1:29" ht="4" customHeight="1" x14ac:dyDescent="0.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29" ht="22" customHeight="1" x14ac:dyDescent="0.2">
      <c r="B13" s="110" t="s">
        <v>166</v>
      </c>
      <c r="C13" s="12" t="s">
        <v>71</v>
      </c>
      <c r="D13" s="123" t="s">
        <v>72</v>
      </c>
      <c r="E13" s="83">
        <v>25</v>
      </c>
      <c r="F13" s="18" t="s">
        <v>74</v>
      </c>
      <c r="G13" s="119" t="s">
        <v>31</v>
      </c>
      <c r="H13" s="120" t="s">
        <v>314</v>
      </c>
      <c r="I13" s="18">
        <v>14</v>
      </c>
      <c r="J13" s="18" t="s">
        <v>315</v>
      </c>
      <c r="K13" s="18">
        <v>23.3</v>
      </c>
      <c r="L13" s="121" t="s">
        <v>33</v>
      </c>
      <c r="M13" s="122" t="s">
        <v>311</v>
      </c>
      <c r="N13" s="52" t="str">
        <f>HYPERLINK("../apuntes/04-FP/ISO/1-asir/administracion-de-software-base/index.html","📖 Ver apunte")</f>
        <v>📖 Ver apunte</v>
      </c>
    </row>
    <row r="14" spans="1:29" ht="22" customHeight="1" x14ac:dyDescent="0.2">
      <c r="B14" s="117"/>
      <c r="C14" s="12"/>
      <c r="D14" s="124"/>
      <c r="E14" s="18"/>
      <c r="F14" s="18"/>
      <c r="G14" s="125" t="s">
        <v>52</v>
      </c>
      <c r="H14" s="126" t="s">
        <v>316</v>
      </c>
      <c r="I14" s="18">
        <v>1</v>
      </c>
      <c r="J14" s="18" t="s">
        <v>317</v>
      </c>
      <c r="K14" s="18">
        <v>1.7</v>
      </c>
      <c r="L14" s="127" t="s">
        <v>28</v>
      </c>
      <c r="M14" s="128" t="s">
        <v>311</v>
      </c>
      <c r="N14" s="72"/>
    </row>
    <row r="15" spans="1:29" ht="4" customHeight="1" x14ac:dyDescent="0.2"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</row>
    <row r="16" spans="1:29" ht="22" customHeight="1" x14ac:dyDescent="0.2">
      <c r="B16" s="130" t="s">
        <v>175</v>
      </c>
      <c r="C16" s="12" t="s">
        <v>75</v>
      </c>
      <c r="D16" s="111" t="s">
        <v>76</v>
      </c>
      <c r="E16" s="112">
        <v>22</v>
      </c>
      <c r="F16" s="15" t="s">
        <v>78</v>
      </c>
      <c r="G16" s="131" t="s">
        <v>36</v>
      </c>
      <c r="H16" s="126" t="s">
        <v>309</v>
      </c>
      <c r="I16" s="15">
        <v>8</v>
      </c>
      <c r="J16" s="15" t="s">
        <v>318</v>
      </c>
      <c r="K16" s="15">
        <v>16</v>
      </c>
      <c r="L16" s="127" t="s">
        <v>38</v>
      </c>
      <c r="M16" s="128" t="s">
        <v>311</v>
      </c>
      <c r="N16" s="52" t="str">
        <f>HYPERLINK("../apuntes/04-FP/ISO/1-asir/administracion-y-aseguramiento-de-la-informacion/index.html","📖 Ver apunte")</f>
        <v>📖 Ver apunte</v>
      </c>
    </row>
    <row r="17" spans="2:14" ht="22" customHeight="1" x14ac:dyDescent="0.2">
      <c r="B17" s="117"/>
      <c r="C17" s="12"/>
      <c r="D17" s="118"/>
      <c r="E17" s="15"/>
      <c r="F17" s="15"/>
      <c r="G17" s="119" t="s">
        <v>31</v>
      </c>
      <c r="H17" s="120" t="s">
        <v>319</v>
      </c>
      <c r="I17" s="15">
        <v>3</v>
      </c>
      <c r="J17" s="15" t="s">
        <v>320</v>
      </c>
      <c r="K17" s="15">
        <v>6</v>
      </c>
      <c r="L17" s="121" t="s">
        <v>33</v>
      </c>
      <c r="M17" s="122" t="s">
        <v>311</v>
      </c>
      <c r="N17" s="71"/>
    </row>
    <row r="18" spans="2:14" ht="4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22" customHeight="1" x14ac:dyDescent="0.2">
      <c r="B19" s="130" t="s">
        <v>175</v>
      </c>
      <c r="C19" s="12" t="s">
        <v>80</v>
      </c>
      <c r="D19" s="123" t="s">
        <v>81</v>
      </c>
      <c r="E19" s="83">
        <v>30</v>
      </c>
      <c r="F19" s="18" t="s">
        <v>69</v>
      </c>
      <c r="G19" s="132" t="s">
        <v>40</v>
      </c>
      <c r="H19" s="133" t="s">
        <v>309</v>
      </c>
      <c r="I19" s="18">
        <v>8</v>
      </c>
      <c r="J19" s="18" t="s">
        <v>321</v>
      </c>
      <c r="K19" s="18">
        <v>30</v>
      </c>
      <c r="L19" s="134" t="s">
        <v>42</v>
      </c>
      <c r="M19" s="135" t="s">
        <v>311</v>
      </c>
      <c r="N19" s="52" t="str">
        <f>HYPERLINK("../apuntes/04-FP/ISO/1-asir/gestion-de-dominios/index.html","📖 Ver apunte")</f>
        <v>📖 Ver apunte</v>
      </c>
    </row>
    <row r="20" spans="2:14" ht="4" customHeight="1" x14ac:dyDescent="0.2"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</row>
    <row r="21" spans="2:14" ht="22" customHeight="1" x14ac:dyDescent="0.2">
      <c r="B21" s="130" t="s">
        <v>175</v>
      </c>
      <c r="C21" s="12" t="s">
        <v>82</v>
      </c>
      <c r="D21" s="111" t="s">
        <v>83</v>
      </c>
      <c r="E21" s="112">
        <v>25</v>
      </c>
      <c r="F21" s="15" t="s">
        <v>74</v>
      </c>
      <c r="G21" s="136" t="s">
        <v>44</v>
      </c>
      <c r="H21" s="137" t="s">
        <v>322</v>
      </c>
      <c r="I21" s="15">
        <v>7</v>
      </c>
      <c r="J21" s="15" t="s">
        <v>323</v>
      </c>
      <c r="K21" s="15">
        <v>21.9</v>
      </c>
      <c r="L21" s="138" t="s">
        <v>28</v>
      </c>
      <c r="M21" s="139" t="s">
        <v>311</v>
      </c>
      <c r="N21" s="52" t="str">
        <f>HYPERLINK("../apuntes/04-FP/ISO/1-asir/administracion-de-acceso-al-dominio/index.html","📖 Ver apunte")</f>
        <v>📖 Ver apunte</v>
      </c>
    </row>
    <row r="22" spans="2:14" ht="22" customHeight="1" x14ac:dyDescent="0.2">
      <c r="B22" s="117"/>
      <c r="C22" s="12"/>
      <c r="D22" s="118"/>
      <c r="E22" s="15"/>
      <c r="F22" s="15"/>
      <c r="G22" s="125" t="s">
        <v>52</v>
      </c>
      <c r="H22" s="126" t="s">
        <v>316</v>
      </c>
      <c r="I22" s="15">
        <v>1</v>
      </c>
      <c r="J22" s="15" t="s">
        <v>324</v>
      </c>
      <c r="K22" s="15">
        <v>3.1</v>
      </c>
      <c r="L22" s="127" t="s">
        <v>28</v>
      </c>
      <c r="M22" s="128" t="s">
        <v>311</v>
      </c>
      <c r="N22" s="71"/>
    </row>
    <row r="23" spans="2:14" ht="4" customHeight="1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22" customHeight="1" x14ac:dyDescent="0.2">
      <c r="B24" s="140" t="s">
        <v>185</v>
      </c>
      <c r="C24" s="12" t="s">
        <v>84</v>
      </c>
      <c r="D24" s="123" t="s">
        <v>85</v>
      </c>
      <c r="E24" s="83">
        <v>22</v>
      </c>
      <c r="F24" s="18" t="s">
        <v>78</v>
      </c>
      <c r="G24" s="141" t="s">
        <v>47</v>
      </c>
      <c r="H24" s="142" t="s">
        <v>325</v>
      </c>
      <c r="I24" s="18">
        <v>10</v>
      </c>
      <c r="J24" s="18" t="s">
        <v>321</v>
      </c>
      <c r="K24" s="18">
        <v>22</v>
      </c>
      <c r="L24" s="143" t="s">
        <v>49</v>
      </c>
      <c r="M24" s="144" t="s">
        <v>311</v>
      </c>
      <c r="N24" s="52" t="str">
        <f>HYPERLINK("../apuntes/04-FP/ISO/1-asir/supervision-del-rendimiento-del-sistema/index.html","📖 Ver apunte")</f>
        <v>📖 Ver apunte</v>
      </c>
    </row>
    <row r="25" spans="2:14" ht="4" customHeight="1" x14ac:dyDescent="0.2"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</row>
    <row r="26" spans="2:14" ht="22" customHeight="1" x14ac:dyDescent="0.2">
      <c r="B26" s="140" t="s">
        <v>185</v>
      </c>
      <c r="C26" s="12" t="s">
        <v>87</v>
      </c>
      <c r="D26" s="111" t="s">
        <v>88</v>
      </c>
      <c r="E26" s="112">
        <v>22</v>
      </c>
      <c r="F26" s="15" t="s">
        <v>78</v>
      </c>
      <c r="G26" s="125" t="s">
        <v>52</v>
      </c>
      <c r="H26" s="126" t="s">
        <v>326</v>
      </c>
      <c r="I26" s="15">
        <v>9</v>
      </c>
      <c r="J26" s="15" t="s">
        <v>327</v>
      </c>
      <c r="K26" s="15">
        <v>19.8</v>
      </c>
      <c r="L26" s="127" t="s">
        <v>28</v>
      </c>
      <c r="M26" s="128" t="s">
        <v>311</v>
      </c>
      <c r="N26" s="52" t="str">
        <f>HYPERLINK("../apuntes/04-FP/ISO/1-asir/directivas-de-seguridad-y-auditorias/index.html","📖 Ver apunte")</f>
        <v>📖 Ver apunte</v>
      </c>
    </row>
    <row r="27" spans="2:14" ht="22" customHeight="1" x14ac:dyDescent="0.2">
      <c r="B27" s="117"/>
      <c r="C27" s="12"/>
      <c r="D27" s="118"/>
      <c r="E27" s="15"/>
      <c r="F27" s="15"/>
      <c r="G27" s="136" t="s">
        <v>44</v>
      </c>
      <c r="H27" s="137" t="s">
        <v>328</v>
      </c>
      <c r="I27" s="15">
        <v>1</v>
      </c>
      <c r="J27" s="15" t="s">
        <v>329</v>
      </c>
      <c r="K27" s="15">
        <v>2.2000000000000002</v>
      </c>
      <c r="L27" s="138" t="s">
        <v>28</v>
      </c>
      <c r="M27" s="139" t="s">
        <v>311</v>
      </c>
      <c r="N27" s="71"/>
    </row>
    <row r="28" spans="2:14" ht="4" customHeight="1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ht="22" customHeight="1" x14ac:dyDescent="0.2">
      <c r="B29" s="140" t="s">
        <v>185</v>
      </c>
      <c r="C29" s="12" t="s">
        <v>89</v>
      </c>
      <c r="D29" s="123" t="s">
        <v>90</v>
      </c>
      <c r="E29" s="83">
        <v>10</v>
      </c>
      <c r="F29" s="18" t="s">
        <v>92</v>
      </c>
      <c r="G29" s="145" t="s">
        <v>330</v>
      </c>
      <c r="H29" s="146" t="s">
        <v>326</v>
      </c>
      <c r="I29" s="18">
        <v>9</v>
      </c>
      <c r="J29" s="18" t="s">
        <v>321</v>
      </c>
      <c r="K29" s="18">
        <v>10</v>
      </c>
      <c r="L29" s="147" t="s">
        <v>58</v>
      </c>
      <c r="M29" s="148" t="s">
        <v>331</v>
      </c>
      <c r="N29" s="52" t="str">
        <f>HYPERLINK("../apuntes/04-FP/ISO/1-asir/resolucion-de-incidencias-y-asistencia-tecnica/index.html","📖 Ver apunte")</f>
        <v>📖 Ver apunte</v>
      </c>
    </row>
    <row r="30" spans="2:14" ht="4" customHeight="1" x14ac:dyDescent="0.2"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</row>
    <row r="32" spans="2:14" ht="20" customHeight="1" x14ac:dyDescent="0.2">
      <c r="B32" s="315" t="s">
        <v>332</v>
      </c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</row>
    <row r="33" spans="2:14" ht="22" customHeight="1" x14ac:dyDescent="0.2">
      <c r="B33" s="149" t="s">
        <v>301</v>
      </c>
      <c r="C33" s="149" t="s">
        <v>21</v>
      </c>
      <c r="D33" s="149" t="s">
        <v>22</v>
      </c>
      <c r="E33" s="149" t="s">
        <v>333</v>
      </c>
      <c r="F33" s="149" t="s">
        <v>24</v>
      </c>
      <c r="G33" s="149" t="s">
        <v>334</v>
      </c>
      <c r="H33" s="322" t="s">
        <v>308</v>
      </c>
      <c r="I33" s="323"/>
      <c r="J33" s="323"/>
      <c r="K33" s="323"/>
      <c r="L33" s="323"/>
      <c r="M33" s="323"/>
      <c r="N33" s="324"/>
    </row>
    <row r="34" spans="2:14" ht="20" customHeight="1" x14ac:dyDescent="0.2">
      <c r="B34" s="110" t="s">
        <v>166</v>
      </c>
      <c r="C34" s="113" t="s">
        <v>26</v>
      </c>
      <c r="D34" s="118" t="s">
        <v>335</v>
      </c>
      <c r="E34" s="15">
        <v>8</v>
      </c>
      <c r="F34" s="15" t="s">
        <v>29</v>
      </c>
      <c r="G34" s="115" t="s">
        <v>28</v>
      </c>
      <c r="H34" s="317" t="s">
        <v>311</v>
      </c>
      <c r="I34" s="292"/>
      <c r="J34" s="292"/>
      <c r="K34" s="292"/>
      <c r="L34" s="292"/>
      <c r="M34" s="292"/>
      <c r="N34" s="292"/>
    </row>
    <row r="35" spans="2:14" ht="20" customHeight="1" x14ac:dyDescent="0.2">
      <c r="B35" s="110" t="s">
        <v>166</v>
      </c>
      <c r="C35" s="119" t="s">
        <v>31</v>
      </c>
      <c r="D35" s="124" t="s">
        <v>32</v>
      </c>
      <c r="E35" s="18">
        <v>19</v>
      </c>
      <c r="F35" s="18" t="s">
        <v>34</v>
      </c>
      <c r="G35" s="121" t="s">
        <v>33</v>
      </c>
      <c r="H35" s="318" t="s">
        <v>311</v>
      </c>
      <c r="I35" s="292"/>
      <c r="J35" s="292"/>
      <c r="K35" s="292"/>
      <c r="L35" s="292"/>
      <c r="M35" s="292"/>
      <c r="N35" s="292"/>
    </row>
    <row r="36" spans="2:14" ht="20" customHeight="1" x14ac:dyDescent="0.2">
      <c r="B36" s="130" t="s">
        <v>175</v>
      </c>
      <c r="C36" s="131" t="s">
        <v>36</v>
      </c>
      <c r="D36" s="118" t="s">
        <v>336</v>
      </c>
      <c r="E36" s="15">
        <v>8</v>
      </c>
      <c r="F36" s="15" t="s">
        <v>39</v>
      </c>
      <c r="G36" s="127" t="s">
        <v>38</v>
      </c>
      <c r="H36" s="313" t="s">
        <v>311</v>
      </c>
      <c r="I36" s="292"/>
      <c r="J36" s="292"/>
      <c r="K36" s="292"/>
      <c r="L36" s="292"/>
      <c r="M36" s="292"/>
      <c r="N36" s="292"/>
    </row>
    <row r="37" spans="2:14" ht="20" customHeight="1" x14ac:dyDescent="0.2">
      <c r="B37" s="130" t="s">
        <v>175</v>
      </c>
      <c r="C37" s="132" t="s">
        <v>40</v>
      </c>
      <c r="D37" s="124" t="s">
        <v>337</v>
      </c>
      <c r="E37" s="18">
        <v>8</v>
      </c>
      <c r="F37" s="18" t="s">
        <v>43</v>
      </c>
      <c r="G37" s="134" t="s">
        <v>42</v>
      </c>
      <c r="H37" s="312" t="s">
        <v>311</v>
      </c>
      <c r="I37" s="292"/>
      <c r="J37" s="292"/>
      <c r="K37" s="292"/>
      <c r="L37" s="292"/>
      <c r="M37" s="292"/>
      <c r="N37" s="292"/>
    </row>
    <row r="38" spans="2:14" ht="20" customHeight="1" x14ac:dyDescent="0.2">
      <c r="B38" s="130" t="s">
        <v>175</v>
      </c>
      <c r="C38" s="136" t="s">
        <v>44</v>
      </c>
      <c r="D38" s="118" t="s">
        <v>338</v>
      </c>
      <c r="E38" s="15">
        <v>8</v>
      </c>
      <c r="F38" s="15" t="s">
        <v>46</v>
      </c>
      <c r="G38" s="138" t="s">
        <v>28</v>
      </c>
      <c r="H38" s="320" t="s">
        <v>311</v>
      </c>
      <c r="I38" s="292"/>
      <c r="J38" s="292"/>
      <c r="K38" s="292"/>
      <c r="L38" s="292"/>
      <c r="M38" s="292"/>
      <c r="N38" s="292"/>
    </row>
    <row r="39" spans="2:14" ht="20" customHeight="1" x14ac:dyDescent="0.2">
      <c r="B39" s="140" t="s">
        <v>185</v>
      </c>
      <c r="C39" s="141" t="s">
        <v>47</v>
      </c>
      <c r="D39" s="124" t="s">
        <v>339</v>
      </c>
      <c r="E39" s="18">
        <v>10</v>
      </c>
      <c r="F39" s="18" t="s">
        <v>50</v>
      </c>
      <c r="G39" s="143" t="s">
        <v>49</v>
      </c>
      <c r="H39" s="316" t="s">
        <v>311</v>
      </c>
      <c r="I39" s="292"/>
      <c r="J39" s="292"/>
      <c r="K39" s="292"/>
      <c r="L39" s="292"/>
      <c r="M39" s="292"/>
      <c r="N39" s="292"/>
    </row>
    <row r="40" spans="2:14" ht="20" customHeight="1" x14ac:dyDescent="0.2">
      <c r="B40" s="140" t="s">
        <v>185</v>
      </c>
      <c r="C40" s="125" t="s">
        <v>52</v>
      </c>
      <c r="D40" s="118" t="s">
        <v>340</v>
      </c>
      <c r="E40" s="15">
        <v>9</v>
      </c>
      <c r="F40" s="15" t="s">
        <v>54</v>
      </c>
      <c r="G40" s="127" t="s">
        <v>28</v>
      </c>
      <c r="H40" s="313" t="s">
        <v>311</v>
      </c>
      <c r="I40" s="292"/>
      <c r="J40" s="292"/>
      <c r="K40" s="292"/>
      <c r="L40" s="292"/>
      <c r="M40" s="292"/>
      <c r="N40" s="292"/>
    </row>
    <row r="41" spans="2:14" ht="20" customHeight="1" x14ac:dyDescent="0.2">
      <c r="B41" s="140" t="s">
        <v>185</v>
      </c>
      <c r="C41" s="145" t="s">
        <v>330</v>
      </c>
      <c r="D41" s="124" t="s">
        <v>341</v>
      </c>
      <c r="E41" s="18">
        <v>9</v>
      </c>
      <c r="F41" s="18" t="s">
        <v>59</v>
      </c>
      <c r="G41" s="147" t="s">
        <v>58</v>
      </c>
      <c r="H41" s="310" t="s">
        <v>331</v>
      </c>
      <c r="I41" s="292"/>
      <c r="J41" s="292"/>
      <c r="K41" s="292"/>
      <c r="L41" s="292"/>
      <c r="M41" s="292"/>
      <c r="N41" s="292"/>
    </row>
    <row r="42" spans="2:14" ht="20" customHeight="1" x14ac:dyDescent="0.2">
      <c r="B42" s="311" t="s">
        <v>342</v>
      </c>
      <c r="C42" s="292"/>
      <c r="D42" s="292"/>
      <c r="E42" s="12">
        <v>79</v>
      </c>
      <c r="F42" s="12" t="s">
        <v>17</v>
      </c>
      <c r="G42" s="12" t="s">
        <v>95</v>
      </c>
      <c r="H42" s="321"/>
      <c r="I42" s="292"/>
      <c r="J42" s="292"/>
      <c r="K42" s="292"/>
      <c r="L42" s="292"/>
      <c r="M42" s="292"/>
      <c r="N42" s="292"/>
    </row>
    <row r="44" spans="2:14" ht="14" customHeight="1" x14ac:dyDescent="0.2">
      <c r="B44" s="319" t="s">
        <v>343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</row>
    <row r="45" spans="2:14" ht="80" customHeight="1" x14ac:dyDescent="0.2">
      <c r="B45" s="314" t="s">
        <v>344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</row>
    <row r="46" spans="2:14" ht="16" customHeight="1" x14ac:dyDescent="0.2">
      <c r="B46" s="309" t="s">
        <v>345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</row>
  </sheetData>
  <mergeCells count="18">
    <mergeCell ref="B2:K2"/>
    <mergeCell ref="H42:N42"/>
    <mergeCell ref="B3:K3"/>
    <mergeCell ref="H33:N33"/>
    <mergeCell ref="B8:N8"/>
    <mergeCell ref="B32:N32"/>
    <mergeCell ref="H40:N40"/>
    <mergeCell ref="H39:N39"/>
    <mergeCell ref="H34:N34"/>
    <mergeCell ref="H35:N35"/>
    <mergeCell ref="H38:N38"/>
    <mergeCell ref="B46:N46"/>
    <mergeCell ref="H41:N41"/>
    <mergeCell ref="B42:D42"/>
    <mergeCell ref="H37:N37"/>
    <mergeCell ref="H36:N36"/>
    <mergeCell ref="B45:N45"/>
    <mergeCell ref="B44:N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5" customWidth="1"/>
    <col min="4" max="4" width="20" customWidth="1"/>
    <col min="5" max="5" width="12" customWidth="1"/>
    <col min="6" max="6" width="15" customWidth="1"/>
    <col min="7" max="8" width="28" customWidth="1"/>
    <col min="9" max="9" width="15" customWidth="1"/>
    <col min="10" max="10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346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347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3" t="s">
        <v>348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150" t="s">
        <v>349</v>
      </c>
      <c r="C8" s="151">
        <f>COUNTIF(J9:J38,"Activo")</f>
        <v>29</v>
      </c>
      <c r="D8" s="150" t="s">
        <v>350</v>
      </c>
      <c r="E8" s="152">
        <f>COUNTIF(J9:J38,"Baja")</f>
        <v>0</v>
      </c>
      <c r="F8" s="150" t="s">
        <v>351</v>
      </c>
      <c r="G8" s="153">
        <f>COUNTIF(J9:J38,"Pendiente")</f>
        <v>0</v>
      </c>
    </row>
    <row r="9" spans="1:29" ht="22" customHeight="1" x14ac:dyDescent="0.2">
      <c r="B9" s="12" t="s">
        <v>352</v>
      </c>
      <c r="C9" s="12" t="s">
        <v>353</v>
      </c>
      <c r="D9" s="12" t="s">
        <v>257</v>
      </c>
      <c r="E9" s="12" t="s">
        <v>354</v>
      </c>
      <c r="F9" s="12" t="s">
        <v>355</v>
      </c>
      <c r="G9" s="12" t="s">
        <v>356</v>
      </c>
      <c r="H9" s="12" t="s">
        <v>357</v>
      </c>
      <c r="I9" s="12" t="s">
        <v>358</v>
      </c>
      <c r="J9" s="12" t="s">
        <v>232</v>
      </c>
    </row>
    <row r="10" spans="1:29" ht="18" customHeight="1" x14ac:dyDescent="0.2">
      <c r="B10" s="154">
        <v>1</v>
      </c>
      <c r="C10" s="155"/>
      <c r="D10" s="155"/>
      <c r="E10" s="155"/>
      <c r="F10" s="155"/>
      <c r="G10" s="155"/>
      <c r="H10" s="155"/>
      <c r="I10" s="155"/>
      <c r="J10" s="79" t="s">
        <v>359</v>
      </c>
    </row>
    <row r="11" spans="1:29" ht="18" customHeight="1" x14ac:dyDescent="0.2">
      <c r="B11" s="154">
        <v>2</v>
      </c>
      <c r="C11" s="156"/>
      <c r="D11" s="156"/>
      <c r="E11" s="156"/>
      <c r="F11" s="156"/>
      <c r="G11" s="156"/>
      <c r="H11" s="156"/>
      <c r="I11" s="156"/>
      <c r="J11" s="79" t="s">
        <v>359</v>
      </c>
    </row>
    <row r="12" spans="1:29" ht="18" customHeight="1" x14ac:dyDescent="0.2">
      <c r="B12" s="154">
        <v>3</v>
      </c>
      <c r="C12" s="155"/>
      <c r="D12" s="155"/>
      <c r="E12" s="155"/>
      <c r="F12" s="155"/>
      <c r="G12" s="155"/>
      <c r="H12" s="155"/>
      <c r="I12" s="155"/>
      <c r="J12" s="79" t="s">
        <v>359</v>
      </c>
    </row>
    <row r="13" spans="1:29" ht="18" customHeight="1" x14ac:dyDescent="0.2">
      <c r="B13" s="154">
        <v>4</v>
      </c>
      <c r="C13" s="156"/>
      <c r="D13" s="156"/>
      <c r="E13" s="156"/>
      <c r="F13" s="156"/>
      <c r="G13" s="156"/>
      <c r="H13" s="156"/>
      <c r="I13" s="156"/>
      <c r="J13" s="79" t="s">
        <v>359</v>
      </c>
    </row>
    <row r="14" spans="1:29" ht="18" customHeight="1" x14ac:dyDescent="0.2">
      <c r="B14" s="154">
        <v>5</v>
      </c>
      <c r="C14" s="155"/>
      <c r="D14" s="155"/>
      <c r="E14" s="155"/>
      <c r="F14" s="155"/>
      <c r="G14" s="155"/>
      <c r="H14" s="155"/>
      <c r="I14" s="155"/>
      <c r="J14" s="79" t="s">
        <v>359</v>
      </c>
    </row>
    <row r="15" spans="1:29" ht="18" customHeight="1" x14ac:dyDescent="0.2">
      <c r="B15" s="154">
        <v>6</v>
      </c>
      <c r="C15" s="156"/>
      <c r="D15" s="156"/>
      <c r="E15" s="156"/>
      <c r="F15" s="156"/>
      <c r="G15" s="156"/>
      <c r="H15" s="156"/>
      <c r="I15" s="156"/>
      <c r="J15" s="79" t="s">
        <v>359</v>
      </c>
    </row>
    <row r="16" spans="1:29" ht="18" customHeight="1" x14ac:dyDescent="0.2">
      <c r="B16" s="154">
        <v>7</v>
      </c>
      <c r="C16" s="155"/>
      <c r="D16" s="155"/>
      <c r="E16" s="155"/>
      <c r="F16" s="155"/>
      <c r="G16" s="155"/>
      <c r="H16" s="155"/>
      <c r="I16" s="155"/>
      <c r="J16" s="79" t="s">
        <v>359</v>
      </c>
    </row>
    <row r="17" spans="2:10" ht="18" customHeight="1" x14ac:dyDescent="0.2">
      <c r="B17" s="154">
        <v>8</v>
      </c>
      <c r="C17" s="156"/>
      <c r="D17" s="156"/>
      <c r="E17" s="156"/>
      <c r="F17" s="156"/>
      <c r="G17" s="156"/>
      <c r="H17" s="156"/>
      <c r="I17" s="156"/>
      <c r="J17" s="79" t="s">
        <v>359</v>
      </c>
    </row>
    <row r="18" spans="2:10" ht="18" customHeight="1" x14ac:dyDescent="0.2">
      <c r="B18" s="154">
        <v>9</v>
      </c>
      <c r="C18" s="155"/>
      <c r="D18" s="155"/>
      <c r="E18" s="155"/>
      <c r="F18" s="155"/>
      <c r="G18" s="155"/>
      <c r="H18" s="155"/>
      <c r="I18" s="155"/>
      <c r="J18" s="79" t="s">
        <v>359</v>
      </c>
    </row>
    <row r="19" spans="2:10" ht="18" customHeight="1" x14ac:dyDescent="0.2">
      <c r="B19" s="154">
        <v>10</v>
      </c>
      <c r="C19" s="156"/>
      <c r="D19" s="156"/>
      <c r="E19" s="156"/>
      <c r="F19" s="156"/>
      <c r="G19" s="156"/>
      <c r="H19" s="156"/>
      <c r="I19" s="156"/>
      <c r="J19" s="79" t="s">
        <v>359</v>
      </c>
    </row>
    <row r="20" spans="2:10" ht="18" customHeight="1" x14ac:dyDescent="0.2">
      <c r="B20" s="154">
        <v>11</v>
      </c>
      <c r="C20" s="155"/>
      <c r="D20" s="155"/>
      <c r="E20" s="155"/>
      <c r="F20" s="155"/>
      <c r="G20" s="155"/>
      <c r="H20" s="155"/>
      <c r="I20" s="155"/>
      <c r="J20" s="79" t="s">
        <v>359</v>
      </c>
    </row>
    <row r="21" spans="2:10" ht="18" customHeight="1" x14ac:dyDescent="0.2">
      <c r="B21" s="154">
        <v>12</v>
      </c>
      <c r="C21" s="156"/>
      <c r="D21" s="156"/>
      <c r="E21" s="156"/>
      <c r="F21" s="156"/>
      <c r="G21" s="156"/>
      <c r="H21" s="156"/>
      <c r="I21" s="156"/>
      <c r="J21" s="79" t="s">
        <v>359</v>
      </c>
    </row>
    <row r="22" spans="2:10" ht="18" customHeight="1" x14ac:dyDescent="0.2">
      <c r="B22" s="154">
        <v>13</v>
      </c>
      <c r="C22" s="155"/>
      <c r="D22" s="155"/>
      <c r="E22" s="155"/>
      <c r="F22" s="155"/>
      <c r="G22" s="155"/>
      <c r="H22" s="155"/>
      <c r="I22" s="155"/>
      <c r="J22" s="79" t="s">
        <v>359</v>
      </c>
    </row>
    <row r="23" spans="2:10" ht="18" customHeight="1" x14ac:dyDescent="0.2">
      <c r="B23" s="154">
        <v>14</v>
      </c>
      <c r="C23" s="156"/>
      <c r="D23" s="156"/>
      <c r="E23" s="156"/>
      <c r="F23" s="156"/>
      <c r="G23" s="156"/>
      <c r="H23" s="156"/>
      <c r="I23" s="156"/>
      <c r="J23" s="79" t="s">
        <v>359</v>
      </c>
    </row>
    <row r="24" spans="2:10" ht="18" customHeight="1" x14ac:dyDescent="0.2">
      <c r="B24" s="154">
        <v>15</v>
      </c>
      <c r="C24" s="155"/>
      <c r="D24" s="155"/>
      <c r="E24" s="155"/>
      <c r="F24" s="155"/>
      <c r="G24" s="155"/>
      <c r="H24" s="155"/>
      <c r="I24" s="155"/>
      <c r="J24" s="79" t="s">
        <v>359</v>
      </c>
    </row>
    <row r="25" spans="2:10" ht="18" customHeight="1" x14ac:dyDescent="0.2">
      <c r="B25" s="154">
        <v>16</v>
      </c>
      <c r="C25" s="156"/>
      <c r="D25" s="156"/>
      <c r="E25" s="156"/>
      <c r="F25" s="156"/>
      <c r="G25" s="156"/>
      <c r="H25" s="156"/>
      <c r="I25" s="156"/>
      <c r="J25" s="79" t="s">
        <v>359</v>
      </c>
    </row>
    <row r="26" spans="2:10" ht="18" customHeight="1" x14ac:dyDescent="0.2">
      <c r="B26" s="154">
        <v>17</v>
      </c>
      <c r="C26" s="155"/>
      <c r="D26" s="155"/>
      <c r="E26" s="155"/>
      <c r="F26" s="155"/>
      <c r="G26" s="155"/>
      <c r="H26" s="155"/>
      <c r="I26" s="155"/>
      <c r="J26" s="79" t="s">
        <v>359</v>
      </c>
    </row>
    <row r="27" spans="2:10" ht="18" customHeight="1" x14ac:dyDescent="0.2">
      <c r="B27" s="154">
        <v>18</v>
      </c>
      <c r="C27" s="156"/>
      <c r="D27" s="156"/>
      <c r="E27" s="156"/>
      <c r="F27" s="156"/>
      <c r="G27" s="156"/>
      <c r="H27" s="156"/>
      <c r="I27" s="156"/>
      <c r="J27" s="79" t="s">
        <v>359</v>
      </c>
    </row>
    <row r="28" spans="2:10" ht="18" customHeight="1" x14ac:dyDescent="0.2">
      <c r="B28" s="154">
        <v>19</v>
      </c>
      <c r="C28" s="155"/>
      <c r="D28" s="155"/>
      <c r="E28" s="155"/>
      <c r="F28" s="155"/>
      <c r="G28" s="155"/>
      <c r="H28" s="155"/>
      <c r="I28" s="155"/>
      <c r="J28" s="79" t="s">
        <v>359</v>
      </c>
    </row>
    <row r="29" spans="2:10" ht="18" customHeight="1" x14ac:dyDescent="0.2">
      <c r="B29" s="154">
        <v>20</v>
      </c>
      <c r="C29" s="156"/>
      <c r="D29" s="156"/>
      <c r="E29" s="156"/>
      <c r="F29" s="156"/>
      <c r="G29" s="156"/>
      <c r="H29" s="156"/>
      <c r="I29" s="156"/>
      <c r="J29" s="79" t="s">
        <v>359</v>
      </c>
    </row>
    <row r="30" spans="2:10" ht="18" customHeight="1" x14ac:dyDescent="0.2">
      <c r="B30" s="154">
        <v>21</v>
      </c>
      <c r="C30" s="155"/>
      <c r="D30" s="155"/>
      <c r="E30" s="155"/>
      <c r="F30" s="155"/>
      <c r="G30" s="155"/>
      <c r="H30" s="155"/>
      <c r="I30" s="155"/>
      <c r="J30" s="79" t="s">
        <v>359</v>
      </c>
    </row>
    <row r="31" spans="2:10" ht="18" customHeight="1" x14ac:dyDescent="0.2">
      <c r="B31" s="154">
        <v>22</v>
      </c>
      <c r="C31" s="156"/>
      <c r="D31" s="156"/>
      <c r="E31" s="156"/>
      <c r="F31" s="156"/>
      <c r="G31" s="156"/>
      <c r="H31" s="156"/>
      <c r="I31" s="156"/>
      <c r="J31" s="79" t="s">
        <v>359</v>
      </c>
    </row>
    <row r="32" spans="2:10" ht="18" customHeight="1" x14ac:dyDescent="0.2">
      <c r="B32" s="154">
        <v>23</v>
      </c>
      <c r="C32" s="155"/>
      <c r="D32" s="155"/>
      <c r="E32" s="155"/>
      <c r="F32" s="155"/>
      <c r="G32" s="155"/>
      <c r="H32" s="155"/>
      <c r="I32" s="155"/>
      <c r="J32" s="79" t="s">
        <v>359</v>
      </c>
    </row>
    <row r="33" spans="2:10" ht="18" customHeight="1" x14ac:dyDescent="0.2">
      <c r="B33" s="154">
        <v>24</v>
      </c>
      <c r="C33" s="156"/>
      <c r="D33" s="156"/>
      <c r="E33" s="156"/>
      <c r="F33" s="156"/>
      <c r="G33" s="156"/>
      <c r="H33" s="156"/>
      <c r="I33" s="156"/>
      <c r="J33" s="79" t="s">
        <v>359</v>
      </c>
    </row>
    <row r="34" spans="2:10" ht="18" customHeight="1" x14ac:dyDescent="0.2">
      <c r="B34" s="154">
        <v>25</v>
      </c>
      <c r="C34" s="155"/>
      <c r="D34" s="155"/>
      <c r="E34" s="155"/>
      <c r="F34" s="155"/>
      <c r="G34" s="155"/>
      <c r="H34" s="155"/>
      <c r="I34" s="155"/>
      <c r="J34" s="79" t="s">
        <v>359</v>
      </c>
    </row>
    <row r="35" spans="2:10" ht="18" customHeight="1" x14ac:dyDescent="0.2">
      <c r="B35" s="154">
        <v>26</v>
      </c>
      <c r="C35" s="156"/>
      <c r="D35" s="156"/>
      <c r="E35" s="156"/>
      <c r="F35" s="156"/>
      <c r="G35" s="156"/>
      <c r="H35" s="156"/>
      <c r="I35" s="156"/>
      <c r="J35" s="79" t="s">
        <v>359</v>
      </c>
    </row>
    <row r="36" spans="2:10" ht="18" customHeight="1" x14ac:dyDescent="0.2">
      <c r="B36" s="154">
        <v>27</v>
      </c>
      <c r="C36" s="155"/>
      <c r="D36" s="155"/>
      <c r="E36" s="155"/>
      <c r="F36" s="155"/>
      <c r="G36" s="155"/>
      <c r="H36" s="155"/>
      <c r="I36" s="155"/>
      <c r="J36" s="79" t="s">
        <v>359</v>
      </c>
    </row>
    <row r="37" spans="2:10" ht="18" customHeight="1" x14ac:dyDescent="0.2">
      <c r="B37" s="154">
        <v>28</v>
      </c>
      <c r="C37" s="156"/>
      <c r="D37" s="156"/>
      <c r="E37" s="156"/>
      <c r="F37" s="156"/>
      <c r="G37" s="156"/>
      <c r="H37" s="156"/>
      <c r="I37" s="156"/>
      <c r="J37" s="79" t="s">
        <v>359</v>
      </c>
    </row>
    <row r="38" spans="2:10" ht="18" customHeight="1" x14ac:dyDescent="0.2">
      <c r="B38" s="154">
        <v>29</v>
      </c>
      <c r="C38" s="155"/>
      <c r="D38" s="155"/>
      <c r="E38" s="155"/>
      <c r="F38" s="155"/>
      <c r="G38" s="155"/>
      <c r="H38" s="155"/>
      <c r="I38" s="155"/>
      <c r="J38" s="79" t="s">
        <v>359</v>
      </c>
    </row>
    <row r="39" spans="2:10" ht="18" customHeight="1" x14ac:dyDescent="0.2">
      <c r="B39" s="154">
        <v>30</v>
      </c>
      <c r="C39" s="156"/>
      <c r="D39" s="156"/>
      <c r="E39" s="156"/>
      <c r="F39" s="156"/>
      <c r="G39" s="156"/>
      <c r="H39" s="156"/>
      <c r="I39" s="156"/>
      <c r="J39" s="79" t="s">
        <v>359</v>
      </c>
    </row>
  </sheetData>
  <mergeCells count="2">
    <mergeCell ref="B3:K3"/>
    <mergeCell ref="B2:K2"/>
  </mergeCells>
  <dataValidations count="1">
    <dataValidation type="list" errorTitle="Valor no válido" error="Usa el desplegable: Activo, Pendiente o Baja" prompt="Selecciona el estado del alumno/a" sqref="J10:J39" xr:uid="{00000000-0002-0000-0900-000000000000}">
      <formula1>"Activo,Pendiente,Baja"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24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3" width="6" customWidth="1"/>
    <col min="4" max="5" width="7" customWidth="1"/>
    <col min="6" max="6" width="26" customWidth="1"/>
    <col min="7" max="7" width="38" customWidth="1"/>
    <col min="8" max="8" width="14" customWidth="1"/>
    <col min="9" max="9" width="12" customWidth="1"/>
    <col min="10" max="10" width="8" customWidth="1"/>
    <col min="11" max="11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360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361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3" t="s">
        <v>362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157" t="s">
        <v>363</v>
      </c>
    </row>
    <row r="9" spans="1:29" ht="34" customHeight="1" x14ac:dyDescent="0.2">
      <c r="B9" s="158" t="s">
        <v>155</v>
      </c>
      <c r="C9" s="158" t="s">
        <v>301</v>
      </c>
      <c r="D9" s="158" t="s">
        <v>61</v>
      </c>
      <c r="E9" s="158" t="s">
        <v>21</v>
      </c>
      <c r="F9" s="158" t="s">
        <v>364</v>
      </c>
      <c r="G9" s="158" t="s">
        <v>365</v>
      </c>
      <c r="H9" s="158" t="s">
        <v>157</v>
      </c>
      <c r="I9" s="158" t="s">
        <v>231</v>
      </c>
      <c r="J9" s="158" t="s">
        <v>366</v>
      </c>
      <c r="K9" s="158" t="s">
        <v>367</v>
      </c>
    </row>
    <row r="10" spans="1:29" ht="20" customHeight="1" x14ac:dyDescent="0.2">
      <c r="B10" s="159" t="s">
        <v>162</v>
      </c>
      <c r="C10" s="160" t="s">
        <v>166</v>
      </c>
      <c r="D10" s="161" t="s">
        <v>66</v>
      </c>
      <c r="E10" s="160" t="s">
        <v>26</v>
      </c>
      <c r="F10" s="114" t="s">
        <v>309</v>
      </c>
      <c r="G10" s="162" t="s">
        <v>163</v>
      </c>
      <c r="H10" s="57" t="s">
        <v>164</v>
      </c>
      <c r="I10" s="57" t="s">
        <v>368</v>
      </c>
      <c r="J10" s="51"/>
      <c r="K10" s="53">
        <v>10</v>
      </c>
    </row>
    <row r="11" spans="1:29" ht="20" customHeight="1" x14ac:dyDescent="0.2">
      <c r="B11" s="159" t="s">
        <v>167</v>
      </c>
      <c r="C11" s="160" t="s">
        <v>166</v>
      </c>
      <c r="D11" s="161" t="s">
        <v>66</v>
      </c>
      <c r="E11" s="163" t="s">
        <v>31</v>
      </c>
      <c r="F11" s="120" t="s">
        <v>312</v>
      </c>
      <c r="G11" s="162" t="s">
        <v>168</v>
      </c>
      <c r="H11" s="57" t="s">
        <v>164</v>
      </c>
      <c r="I11" s="57" t="s">
        <v>368</v>
      </c>
      <c r="J11" s="51"/>
      <c r="K11" s="53">
        <v>10</v>
      </c>
    </row>
    <row r="12" spans="1:29" ht="20" customHeight="1" x14ac:dyDescent="0.2">
      <c r="B12" s="159" t="s">
        <v>169</v>
      </c>
      <c r="C12" s="160" t="s">
        <v>166</v>
      </c>
      <c r="D12" s="161" t="s">
        <v>71</v>
      </c>
      <c r="E12" s="163" t="s">
        <v>31</v>
      </c>
      <c r="F12" s="120" t="s">
        <v>369</v>
      </c>
      <c r="G12" s="162" t="s">
        <v>170</v>
      </c>
      <c r="H12" s="57" t="s">
        <v>164</v>
      </c>
      <c r="I12" s="57" t="s">
        <v>368</v>
      </c>
      <c r="J12" s="51"/>
      <c r="K12" s="53">
        <v>10</v>
      </c>
    </row>
    <row r="13" spans="1:29" ht="20" customHeight="1" x14ac:dyDescent="0.2">
      <c r="B13" s="159" t="s">
        <v>172</v>
      </c>
      <c r="C13" s="163" t="s">
        <v>175</v>
      </c>
      <c r="D13" s="161" t="s">
        <v>75</v>
      </c>
      <c r="E13" s="164" t="s">
        <v>36</v>
      </c>
      <c r="F13" s="126" t="s">
        <v>309</v>
      </c>
      <c r="G13" s="162" t="s">
        <v>173</v>
      </c>
      <c r="H13" s="57" t="s">
        <v>164</v>
      </c>
      <c r="I13" s="57" t="s">
        <v>368</v>
      </c>
      <c r="J13" s="51"/>
      <c r="K13" s="53">
        <v>10</v>
      </c>
    </row>
    <row r="14" spans="1:29" ht="20" customHeight="1" x14ac:dyDescent="0.2">
      <c r="B14" s="159" t="s">
        <v>176</v>
      </c>
      <c r="C14" s="163" t="s">
        <v>175</v>
      </c>
      <c r="D14" s="161" t="s">
        <v>80</v>
      </c>
      <c r="E14" s="165" t="s">
        <v>40</v>
      </c>
      <c r="F14" s="133" t="s">
        <v>309</v>
      </c>
      <c r="G14" s="162" t="s">
        <v>177</v>
      </c>
      <c r="H14" s="57" t="s">
        <v>164</v>
      </c>
      <c r="I14" s="57" t="s">
        <v>368</v>
      </c>
      <c r="J14" s="51"/>
      <c r="K14" s="53">
        <v>10</v>
      </c>
    </row>
    <row r="15" spans="1:29" ht="20" customHeight="1" x14ac:dyDescent="0.2">
      <c r="B15" s="159" t="s">
        <v>179</v>
      </c>
      <c r="C15" s="163" t="s">
        <v>175</v>
      </c>
      <c r="D15" s="161" t="s">
        <v>82</v>
      </c>
      <c r="E15" s="166" t="s">
        <v>44</v>
      </c>
      <c r="F15" s="137" t="s">
        <v>322</v>
      </c>
      <c r="G15" s="162" t="s">
        <v>180</v>
      </c>
      <c r="H15" s="57" t="s">
        <v>164</v>
      </c>
      <c r="I15" s="57" t="s">
        <v>368</v>
      </c>
      <c r="J15" s="51"/>
      <c r="K15" s="53">
        <v>10</v>
      </c>
    </row>
    <row r="16" spans="1:29" ht="20" customHeight="1" x14ac:dyDescent="0.2">
      <c r="B16" s="159" t="s">
        <v>182</v>
      </c>
      <c r="C16" s="164" t="s">
        <v>185</v>
      </c>
      <c r="D16" s="161" t="s">
        <v>84</v>
      </c>
      <c r="E16" s="167" t="s">
        <v>47</v>
      </c>
      <c r="F16" s="142" t="s">
        <v>370</v>
      </c>
      <c r="G16" s="162" t="s">
        <v>183</v>
      </c>
      <c r="H16" s="57" t="s">
        <v>164</v>
      </c>
      <c r="I16" s="57" t="s">
        <v>368</v>
      </c>
      <c r="J16" s="51"/>
      <c r="K16" s="53">
        <v>10</v>
      </c>
    </row>
    <row r="17" spans="2:11" ht="20" customHeight="1" x14ac:dyDescent="0.2">
      <c r="B17" s="159" t="s">
        <v>186</v>
      </c>
      <c r="C17" s="164" t="s">
        <v>185</v>
      </c>
      <c r="D17" s="161" t="s">
        <v>87</v>
      </c>
      <c r="E17" s="168" t="s">
        <v>52</v>
      </c>
      <c r="F17" s="126" t="s">
        <v>371</v>
      </c>
      <c r="G17" s="162" t="s">
        <v>187</v>
      </c>
      <c r="H17" s="57" t="s">
        <v>164</v>
      </c>
      <c r="I17" s="57" t="s">
        <v>368</v>
      </c>
      <c r="J17" s="51"/>
      <c r="K17" s="53">
        <v>10</v>
      </c>
    </row>
    <row r="18" spans="2:11" ht="20" customHeight="1" x14ac:dyDescent="0.2">
      <c r="B18" s="159" t="s">
        <v>189</v>
      </c>
      <c r="C18" s="164" t="s">
        <v>185</v>
      </c>
      <c r="D18" s="161" t="s">
        <v>89</v>
      </c>
      <c r="E18" s="169" t="s">
        <v>56</v>
      </c>
      <c r="F18" s="146" t="s">
        <v>371</v>
      </c>
      <c r="G18" s="162" t="s">
        <v>190</v>
      </c>
      <c r="H18" s="57" t="s">
        <v>164</v>
      </c>
      <c r="I18" s="57" t="s">
        <v>368</v>
      </c>
      <c r="J18" s="51"/>
      <c r="K18" s="53">
        <v>10</v>
      </c>
    </row>
    <row r="19" spans="2:11" ht="6" customHeight="1" x14ac:dyDescent="0.2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 ht="20" customHeight="1" x14ac:dyDescent="0.2">
      <c r="B20" s="167" t="s">
        <v>192</v>
      </c>
      <c r="C20" s="160" t="s">
        <v>166</v>
      </c>
      <c r="D20" s="170" t="s">
        <v>372</v>
      </c>
      <c r="E20" s="64" t="s">
        <v>373</v>
      </c>
      <c r="F20" s="56" t="s">
        <v>374</v>
      </c>
      <c r="G20" s="162" t="s">
        <v>375</v>
      </c>
      <c r="H20" s="57" t="s">
        <v>195</v>
      </c>
      <c r="I20" s="57" t="s">
        <v>368</v>
      </c>
      <c r="J20" s="51"/>
      <c r="K20" s="53">
        <v>10</v>
      </c>
    </row>
    <row r="21" spans="2:11" ht="20" customHeight="1" x14ac:dyDescent="0.2">
      <c r="B21" s="167" t="s">
        <v>198</v>
      </c>
      <c r="C21" s="163" t="s">
        <v>175</v>
      </c>
      <c r="D21" s="170" t="s">
        <v>376</v>
      </c>
      <c r="E21" s="64" t="s">
        <v>377</v>
      </c>
      <c r="F21" s="56" t="s">
        <v>374</v>
      </c>
      <c r="G21" s="162" t="s">
        <v>378</v>
      </c>
      <c r="H21" s="57" t="s">
        <v>195</v>
      </c>
      <c r="I21" s="57" t="s">
        <v>368</v>
      </c>
      <c r="J21" s="51"/>
      <c r="K21" s="53">
        <v>10</v>
      </c>
    </row>
    <row r="22" spans="2:11" ht="20" customHeight="1" x14ac:dyDescent="0.2">
      <c r="B22" s="167" t="s">
        <v>201</v>
      </c>
      <c r="C22" s="164" t="s">
        <v>185</v>
      </c>
      <c r="D22" s="170" t="s">
        <v>379</v>
      </c>
      <c r="E22" s="64" t="s">
        <v>380</v>
      </c>
      <c r="F22" s="56" t="s">
        <v>374</v>
      </c>
      <c r="G22" s="162" t="s">
        <v>381</v>
      </c>
      <c r="H22" s="57" t="s">
        <v>195</v>
      </c>
      <c r="I22" s="57" t="s">
        <v>368</v>
      </c>
      <c r="J22" s="51"/>
      <c r="K22" s="53">
        <v>10</v>
      </c>
    </row>
    <row r="24" spans="2:11" ht="28" customHeight="1" x14ac:dyDescent="0.2">
      <c r="B24" s="325" t="s">
        <v>382</v>
      </c>
      <c r="C24" s="292"/>
      <c r="D24" s="292"/>
      <c r="E24" s="292"/>
      <c r="F24" s="292"/>
      <c r="G24" s="292"/>
      <c r="H24" s="292"/>
      <c r="I24" s="292"/>
      <c r="J24" s="292"/>
      <c r="K24" s="292"/>
    </row>
  </sheetData>
  <mergeCells count="3">
    <mergeCell ref="B3:K3"/>
    <mergeCell ref="B24:K24"/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" customWidth="1"/>
    <col min="3" max="3" width="22" customWidth="1"/>
    <col min="4" max="12" width="8" customWidth="1"/>
    <col min="13" max="15" width="9" customWidth="1"/>
    <col min="16" max="23" width="8" customWidth="1"/>
    <col min="24" max="24" width="1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383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384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3" t="s">
        <v>385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6" customHeight="1" x14ac:dyDescent="0.2">
      <c r="B8" s="157" t="s">
        <v>386</v>
      </c>
    </row>
    <row r="9" spans="1:29" ht="14" customHeight="1" x14ac:dyDescent="0.2">
      <c r="D9" s="329" t="s">
        <v>387</v>
      </c>
      <c r="E9" s="292"/>
      <c r="F9" s="292"/>
      <c r="G9" s="292"/>
      <c r="H9" s="292"/>
      <c r="I9" s="292"/>
      <c r="J9" s="292"/>
      <c r="K9" s="292"/>
      <c r="L9" s="292"/>
      <c r="M9" s="328" t="s">
        <v>388</v>
      </c>
      <c r="N9" s="292"/>
      <c r="O9" s="292"/>
      <c r="P9" s="327" t="s">
        <v>389</v>
      </c>
      <c r="Q9" s="292"/>
      <c r="R9" s="292"/>
      <c r="S9" s="292"/>
      <c r="T9" s="292"/>
      <c r="U9" s="292"/>
      <c r="V9" s="292"/>
      <c r="W9" s="292"/>
      <c r="X9" s="326" t="s">
        <v>390</v>
      </c>
    </row>
    <row r="10" spans="1:29" ht="18" customHeight="1" x14ac:dyDescent="0.2">
      <c r="B10" s="33" t="s">
        <v>352</v>
      </c>
      <c r="C10" s="33" t="s">
        <v>391</v>
      </c>
      <c r="D10" s="33" t="s">
        <v>162</v>
      </c>
      <c r="E10" s="33" t="s">
        <v>167</v>
      </c>
      <c r="F10" s="33" t="s">
        <v>169</v>
      </c>
      <c r="G10" s="33" t="s">
        <v>172</v>
      </c>
      <c r="H10" s="33" t="s">
        <v>176</v>
      </c>
      <c r="I10" s="33" t="s">
        <v>179</v>
      </c>
      <c r="J10" s="33" t="s">
        <v>182</v>
      </c>
      <c r="K10" s="33" t="s">
        <v>186</v>
      </c>
      <c r="L10" s="33" t="s">
        <v>189</v>
      </c>
      <c r="M10" s="88" t="s">
        <v>192</v>
      </c>
      <c r="N10" s="88" t="s">
        <v>198</v>
      </c>
      <c r="O10" s="88" t="s">
        <v>201</v>
      </c>
      <c r="P10" s="172" t="s">
        <v>26</v>
      </c>
      <c r="Q10" s="172" t="s">
        <v>31</v>
      </c>
      <c r="R10" s="172" t="s">
        <v>36</v>
      </c>
      <c r="S10" s="172" t="s">
        <v>40</v>
      </c>
      <c r="T10" s="172" t="s">
        <v>44</v>
      </c>
      <c r="U10" s="172" t="s">
        <v>47</v>
      </c>
      <c r="V10" s="172" t="s">
        <v>52</v>
      </c>
      <c r="W10" s="172" t="s">
        <v>56</v>
      </c>
      <c r="X10" s="89" t="s">
        <v>392</v>
      </c>
    </row>
    <row r="11" spans="1:29" ht="18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75"/>
      <c r="E11" s="175"/>
      <c r="F11" s="175"/>
      <c r="G11" s="175"/>
      <c r="H11" s="175"/>
      <c r="I11" s="175"/>
      <c r="J11" s="175"/>
      <c r="K11" s="175"/>
      <c r="L11" s="175"/>
      <c r="M11" s="176"/>
      <c r="N11" s="176"/>
      <c r="O11" s="176"/>
      <c r="P11" s="49" t="str">
        <f t="shared" ref="P11:P40" si="0">IFERROR(ROUND(PESO_EXAMEN*M11+PESO_PRACTICA*AVERAGE(D11),2),"")</f>
        <v/>
      </c>
      <c r="Q11" s="55" t="str">
        <f t="shared" ref="Q11:Q40" si="1">IFERROR(ROUND(PESO_EXAMEN*M11+PESO_PRACTICA*AVERAGE(E11,F11),2),"")</f>
        <v/>
      </c>
      <c r="R11" s="59" t="str">
        <f t="shared" ref="R11:R40" si="2">IFERROR(ROUND(PESO_EXAMEN*N11+PESO_PRACTICA*AVERAGE(G11),2),"")</f>
        <v/>
      </c>
      <c r="S11" s="61" t="str">
        <f t="shared" ref="S11:S40" si="3">IFERROR(ROUND(PESO_EXAMEN*N11+PESO_PRACTICA*AVERAGE(H11),2),"")</f>
        <v/>
      </c>
      <c r="T11" s="63" t="str">
        <f t="shared" ref="T11:T40" si="4">IFERROR(ROUND(PESO_EXAMEN*N11+PESO_PRACTICA*AVERAGE(I11),2),"")</f>
        <v/>
      </c>
      <c r="U11" s="65" t="str">
        <f t="shared" ref="U11:U40" si="5">IFERROR(ROUND(PESO_EXAMEN*O11+PESO_PRACTICA*AVERAGE(J11),2),"")</f>
        <v/>
      </c>
      <c r="V11" s="59" t="str">
        <f t="shared" ref="V11:V40" si="6">IFERROR(ROUND(PESO_EXAMEN*O11+PESO_PRACTICA*AVERAGE(K11),2),"")</f>
        <v/>
      </c>
      <c r="W11" s="69" t="str">
        <f t="shared" ref="W11:W40" si="7">IFERROR(ROUND(PESO_EXAMEN*O11+PESO_PRACTICA*AVERAGE(L11),2),"")</f>
        <v/>
      </c>
      <c r="X11" s="77" t="str">
        <f t="shared" ref="X11:X40" si="8">IFERROR(ROUND(P11*0.13+Q11*0.19+R11*0.09+S11*0.16+T11*0.13+U11*0.12+V11*0.13+W11*0.05,2),"")</f>
        <v/>
      </c>
    </row>
    <row r="12" spans="1:29" ht="18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75"/>
      <c r="E12" s="175"/>
      <c r="F12" s="175"/>
      <c r="G12" s="175"/>
      <c r="H12" s="175"/>
      <c r="I12" s="175"/>
      <c r="J12" s="175"/>
      <c r="K12" s="175"/>
      <c r="L12" s="175"/>
      <c r="M12" s="176"/>
      <c r="N12" s="176"/>
      <c r="O12" s="176"/>
      <c r="P12" s="49" t="str">
        <f t="shared" si="0"/>
        <v/>
      </c>
      <c r="Q12" s="55" t="str">
        <f t="shared" si="1"/>
        <v/>
      </c>
      <c r="R12" s="59" t="str">
        <f t="shared" si="2"/>
        <v/>
      </c>
      <c r="S12" s="61" t="str">
        <f t="shared" si="3"/>
        <v/>
      </c>
      <c r="T12" s="63" t="str">
        <f t="shared" si="4"/>
        <v/>
      </c>
      <c r="U12" s="65" t="str">
        <f t="shared" si="5"/>
        <v/>
      </c>
      <c r="V12" s="59" t="str">
        <f t="shared" si="6"/>
        <v/>
      </c>
      <c r="W12" s="69" t="str">
        <f t="shared" si="7"/>
        <v/>
      </c>
      <c r="X12" s="77" t="str">
        <f t="shared" si="8"/>
        <v/>
      </c>
    </row>
    <row r="13" spans="1:29" ht="18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75"/>
      <c r="E13" s="175"/>
      <c r="F13" s="175"/>
      <c r="G13" s="175"/>
      <c r="H13" s="175"/>
      <c r="I13" s="175"/>
      <c r="J13" s="175"/>
      <c r="K13" s="175"/>
      <c r="L13" s="175"/>
      <c r="M13" s="176"/>
      <c r="N13" s="176"/>
      <c r="O13" s="176"/>
      <c r="P13" s="49" t="str">
        <f t="shared" si="0"/>
        <v/>
      </c>
      <c r="Q13" s="55" t="str">
        <f t="shared" si="1"/>
        <v/>
      </c>
      <c r="R13" s="59" t="str">
        <f t="shared" si="2"/>
        <v/>
      </c>
      <c r="S13" s="61" t="str">
        <f t="shared" si="3"/>
        <v/>
      </c>
      <c r="T13" s="63" t="str">
        <f t="shared" si="4"/>
        <v/>
      </c>
      <c r="U13" s="65" t="str">
        <f t="shared" si="5"/>
        <v/>
      </c>
      <c r="V13" s="59" t="str">
        <f t="shared" si="6"/>
        <v/>
      </c>
      <c r="W13" s="69" t="str">
        <f t="shared" si="7"/>
        <v/>
      </c>
      <c r="X13" s="77" t="str">
        <f t="shared" si="8"/>
        <v/>
      </c>
    </row>
    <row r="14" spans="1:29" ht="18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75"/>
      <c r="E14" s="175"/>
      <c r="F14" s="175"/>
      <c r="G14" s="175"/>
      <c r="H14" s="175"/>
      <c r="I14" s="175"/>
      <c r="J14" s="175"/>
      <c r="K14" s="175"/>
      <c r="L14" s="175"/>
      <c r="M14" s="176"/>
      <c r="N14" s="176"/>
      <c r="O14" s="176"/>
      <c r="P14" s="49" t="str">
        <f t="shared" si="0"/>
        <v/>
      </c>
      <c r="Q14" s="55" t="str">
        <f t="shared" si="1"/>
        <v/>
      </c>
      <c r="R14" s="59" t="str">
        <f t="shared" si="2"/>
        <v/>
      </c>
      <c r="S14" s="61" t="str">
        <f t="shared" si="3"/>
        <v/>
      </c>
      <c r="T14" s="63" t="str">
        <f t="shared" si="4"/>
        <v/>
      </c>
      <c r="U14" s="65" t="str">
        <f t="shared" si="5"/>
        <v/>
      </c>
      <c r="V14" s="59" t="str">
        <f t="shared" si="6"/>
        <v/>
      </c>
      <c r="W14" s="69" t="str">
        <f t="shared" si="7"/>
        <v/>
      </c>
      <c r="X14" s="77" t="str">
        <f t="shared" si="8"/>
        <v/>
      </c>
    </row>
    <row r="15" spans="1:29" ht="18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75"/>
      <c r="E15" s="175"/>
      <c r="F15" s="175"/>
      <c r="G15" s="175"/>
      <c r="H15" s="175"/>
      <c r="I15" s="175"/>
      <c r="J15" s="175"/>
      <c r="K15" s="175"/>
      <c r="L15" s="175"/>
      <c r="M15" s="176"/>
      <c r="N15" s="176"/>
      <c r="O15" s="176"/>
      <c r="P15" s="49" t="str">
        <f t="shared" si="0"/>
        <v/>
      </c>
      <c r="Q15" s="55" t="str">
        <f t="shared" si="1"/>
        <v/>
      </c>
      <c r="R15" s="59" t="str">
        <f t="shared" si="2"/>
        <v/>
      </c>
      <c r="S15" s="61" t="str">
        <f t="shared" si="3"/>
        <v/>
      </c>
      <c r="T15" s="63" t="str">
        <f t="shared" si="4"/>
        <v/>
      </c>
      <c r="U15" s="65" t="str">
        <f t="shared" si="5"/>
        <v/>
      </c>
      <c r="V15" s="59" t="str">
        <f t="shared" si="6"/>
        <v/>
      </c>
      <c r="W15" s="69" t="str">
        <f t="shared" si="7"/>
        <v/>
      </c>
      <c r="X15" s="77" t="str">
        <f t="shared" si="8"/>
        <v/>
      </c>
    </row>
    <row r="16" spans="1:29" ht="18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75"/>
      <c r="E16" s="175"/>
      <c r="F16" s="175"/>
      <c r="G16" s="175"/>
      <c r="H16" s="175"/>
      <c r="I16" s="175"/>
      <c r="J16" s="175"/>
      <c r="K16" s="175"/>
      <c r="L16" s="175"/>
      <c r="M16" s="176"/>
      <c r="N16" s="176"/>
      <c r="O16" s="176"/>
      <c r="P16" s="49" t="str">
        <f t="shared" si="0"/>
        <v/>
      </c>
      <c r="Q16" s="55" t="str">
        <f t="shared" si="1"/>
        <v/>
      </c>
      <c r="R16" s="59" t="str">
        <f t="shared" si="2"/>
        <v/>
      </c>
      <c r="S16" s="61" t="str">
        <f t="shared" si="3"/>
        <v/>
      </c>
      <c r="T16" s="63" t="str">
        <f t="shared" si="4"/>
        <v/>
      </c>
      <c r="U16" s="65" t="str">
        <f t="shared" si="5"/>
        <v/>
      </c>
      <c r="V16" s="59" t="str">
        <f t="shared" si="6"/>
        <v/>
      </c>
      <c r="W16" s="69" t="str">
        <f t="shared" si="7"/>
        <v/>
      </c>
      <c r="X16" s="77" t="str">
        <f t="shared" si="8"/>
        <v/>
      </c>
    </row>
    <row r="17" spans="2:24" ht="18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75"/>
      <c r="E17" s="175"/>
      <c r="F17" s="175"/>
      <c r="G17" s="175"/>
      <c r="H17" s="175"/>
      <c r="I17" s="175"/>
      <c r="J17" s="175"/>
      <c r="K17" s="175"/>
      <c r="L17" s="175"/>
      <c r="M17" s="176"/>
      <c r="N17" s="176"/>
      <c r="O17" s="176"/>
      <c r="P17" s="49" t="str">
        <f t="shared" si="0"/>
        <v/>
      </c>
      <c r="Q17" s="55" t="str">
        <f t="shared" si="1"/>
        <v/>
      </c>
      <c r="R17" s="59" t="str">
        <f t="shared" si="2"/>
        <v/>
      </c>
      <c r="S17" s="61" t="str">
        <f t="shared" si="3"/>
        <v/>
      </c>
      <c r="T17" s="63" t="str">
        <f t="shared" si="4"/>
        <v/>
      </c>
      <c r="U17" s="65" t="str">
        <f t="shared" si="5"/>
        <v/>
      </c>
      <c r="V17" s="59" t="str">
        <f t="shared" si="6"/>
        <v/>
      </c>
      <c r="W17" s="69" t="str">
        <f t="shared" si="7"/>
        <v/>
      </c>
      <c r="X17" s="77" t="str">
        <f t="shared" si="8"/>
        <v/>
      </c>
    </row>
    <row r="18" spans="2:24" ht="18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75"/>
      <c r="E18" s="175"/>
      <c r="F18" s="175"/>
      <c r="G18" s="175"/>
      <c r="H18" s="175"/>
      <c r="I18" s="175"/>
      <c r="J18" s="175"/>
      <c r="K18" s="175"/>
      <c r="L18" s="175"/>
      <c r="M18" s="176"/>
      <c r="N18" s="176"/>
      <c r="O18" s="176"/>
      <c r="P18" s="49" t="str">
        <f t="shared" si="0"/>
        <v/>
      </c>
      <c r="Q18" s="55" t="str">
        <f t="shared" si="1"/>
        <v/>
      </c>
      <c r="R18" s="59" t="str">
        <f t="shared" si="2"/>
        <v/>
      </c>
      <c r="S18" s="61" t="str">
        <f t="shared" si="3"/>
        <v/>
      </c>
      <c r="T18" s="63" t="str">
        <f t="shared" si="4"/>
        <v/>
      </c>
      <c r="U18" s="65" t="str">
        <f t="shared" si="5"/>
        <v/>
      </c>
      <c r="V18" s="59" t="str">
        <f t="shared" si="6"/>
        <v/>
      </c>
      <c r="W18" s="69" t="str">
        <f t="shared" si="7"/>
        <v/>
      </c>
      <c r="X18" s="77" t="str">
        <f t="shared" si="8"/>
        <v/>
      </c>
    </row>
    <row r="19" spans="2:24" ht="18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75"/>
      <c r="E19" s="175"/>
      <c r="F19" s="175"/>
      <c r="G19" s="175"/>
      <c r="H19" s="175"/>
      <c r="I19" s="175"/>
      <c r="J19" s="175"/>
      <c r="K19" s="175"/>
      <c r="L19" s="175"/>
      <c r="M19" s="176"/>
      <c r="N19" s="176"/>
      <c r="O19" s="176"/>
      <c r="P19" s="49" t="str">
        <f t="shared" si="0"/>
        <v/>
      </c>
      <c r="Q19" s="55" t="str">
        <f t="shared" si="1"/>
        <v/>
      </c>
      <c r="R19" s="59" t="str">
        <f t="shared" si="2"/>
        <v/>
      </c>
      <c r="S19" s="61" t="str">
        <f t="shared" si="3"/>
        <v/>
      </c>
      <c r="T19" s="63" t="str">
        <f t="shared" si="4"/>
        <v/>
      </c>
      <c r="U19" s="65" t="str">
        <f t="shared" si="5"/>
        <v/>
      </c>
      <c r="V19" s="59" t="str">
        <f t="shared" si="6"/>
        <v/>
      </c>
      <c r="W19" s="69" t="str">
        <f t="shared" si="7"/>
        <v/>
      </c>
      <c r="X19" s="77" t="str">
        <f t="shared" si="8"/>
        <v/>
      </c>
    </row>
    <row r="20" spans="2:24" ht="18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75"/>
      <c r="E20" s="175"/>
      <c r="F20" s="175"/>
      <c r="G20" s="175"/>
      <c r="H20" s="175"/>
      <c r="I20" s="175"/>
      <c r="J20" s="175"/>
      <c r="K20" s="175"/>
      <c r="L20" s="175"/>
      <c r="M20" s="176"/>
      <c r="N20" s="176"/>
      <c r="O20" s="176"/>
      <c r="P20" s="49" t="str">
        <f t="shared" si="0"/>
        <v/>
      </c>
      <c r="Q20" s="55" t="str">
        <f t="shared" si="1"/>
        <v/>
      </c>
      <c r="R20" s="59" t="str">
        <f t="shared" si="2"/>
        <v/>
      </c>
      <c r="S20" s="61" t="str">
        <f t="shared" si="3"/>
        <v/>
      </c>
      <c r="T20" s="63" t="str">
        <f t="shared" si="4"/>
        <v/>
      </c>
      <c r="U20" s="65" t="str">
        <f t="shared" si="5"/>
        <v/>
      </c>
      <c r="V20" s="59" t="str">
        <f t="shared" si="6"/>
        <v/>
      </c>
      <c r="W20" s="69" t="str">
        <f t="shared" si="7"/>
        <v/>
      </c>
      <c r="X20" s="77" t="str">
        <f t="shared" si="8"/>
        <v/>
      </c>
    </row>
    <row r="21" spans="2:24" ht="18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75"/>
      <c r="E21" s="175"/>
      <c r="F21" s="175"/>
      <c r="G21" s="175"/>
      <c r="H21" s="175"/>
      <c r="I21" s="175"/>
      <c r="J21" s="175"/>
      <c r="K21" s="175"/>
      <c r="L21" s="175"/>
      <c r="M21" s="176"/>
      <c r="N21" s="176"/>
      <c r="O21" s="176"/>
      <c r="P21" s="49" t="str">
        <f t="shared" si="0"/>
        <v/>
      </c>
      <c r="Q21" s="55" t="str">
        <f t="shared" si="1"/>
        <v/>
      </c>
      <c r="R21" s="59" t="str">
        <f t="shared" si="2"/>
        <v/>
      </c>
      <c r="S21" s="61" t="str">
        <f t="shared" si="3"/>
        <v/>
      </c>
      <c r="T21" s="63" t="str">
        <f t="shared" si="4"/>
        <v/>
      </c>
      <c r="U21" s="65" t="str">
        <f t="shared" si="5"/>
        <v/>
      </c>
      <c r="V21" s="59" t="str">
        <f t="shared" si="6"/>
        <v/>
      </c>
      <c r="W21" s="69" t="str">
        <f t="shared" si="7"/>
        <v/>
      </c>
      <c r="X21" s="77" t="str">
        <f t="shared" si="8"/>
        <v/>
      </c>
    </row>
    <row r="22" spans="2:24" ht="18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75"/>
      <c r="E22" s="175"/>
      <c r="F22" s="175"/>
      <c r="G22" s="175"/>
      <c r="H22" s="175"/>
      <c r="I22" s="175"/>
      <c r="J22" s="175"/>
      <c r="K22" s="175"/>
      <c r="L22" s="175"/>
      <c r="M22" s="176"/>
      <c r="N22" s="176"/>
      <c r="O22" s="176"/>
      <c r="P22" s="49" t="str">
        <f t="shared" si="0"/>
        <v/>
      </c>
      <c r="Q22" s="55" t="str">
        <f t="shared" si="1"/>
        <v/>
      </c>
      <c r="R22" s="59" t="str">
        <f t="shared" si="2"/>
        <v/>
      </c>
      <c r="S22" s="61" t="str">
        <f t="shared" si="3"/>
        <v/>
      </c>
      <c r="T22" s="63" t="str">
        <f t="shared" si="4"/>
        <v/>
      </c>
      <c r="U22" s="65" t="str">
        <f t="shared" si="5"/>
        <v/>
      </c>
      <c r="V22" s="59" t="str">
        <f t="shared" si="6"/>
        <v/>
      </c>
      <c r="W22" s="69" t="str">
        <f t="shared" si="7"/>
        <v/>
      </c>
      <c r="X22" s="77" t="str">
        <f t="shared" si="8"/>
        <v/>
      </c>
    </row>
    <row r="23" spans="2:24" ht="18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75"/>
      <c r="E23" s="175"/>
      <c r="F23" s="175"/>
      <c r="G23" s="175"/>
      <c r="H23" s="175"/>
      <c r="I23" s="175"/>
      <c r="J23" s="175"/>
      <c r="K23" s="175"/>
      <c r="L23" s="175"/>
      <c r="M23" s="176"/>
      <c r="N23" s="176"/>
      <c r="O23" s="176"/>
      <c r="P23" s="49" t="str">
        <f t="shared" si="0"/>
        <v/>
      </c>
      <c r="Q23" s="55" t="str">
        <f t="shared" si="1"/>
        <v/>
      </c>
      <c r="R23" s="59" t="str">
        <f t="shared" si="2"/>
        <v/>
      </c>
      <c r="S23" s="61" t="str">
        <f t="shared" si="3"/>
        <v/>
      </c>
      <c r="T23" s="63" t="str">
        <f t="shared" si="4"/>
        <v/>
      </c>
      <c r="U23" s="65" t="str">
        <f t="shared" si="5"/>
        <v/>
      </c>
      <c r="V23" s="59" t="str">
        <f t="shared" si="6"/>
        <v/>
      </c>
      <c r="W23" s="69" t="str">
        <f t="shared" si="7"/>
        <v/>
      </c>
      <c r="X23" s="77" t="str">
        <f t="shared" si="8"/>
        <v/>
      </c>
    </row>
    <row r="24" spans="2:24" ht="18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75"/>
      <c r="E24" s="175"/>
      <c r="F24" s="175"/>
      <c r="G24" s="175"/>
      <c r="H24" s="175"/>
      <c r="I24" s="175"/>
      <c r="J24" s="175"/>
      <c r="K24" s="175"/>
      <c r="L24" s="175"/>
      <c r="M24" s="176"/>
      <c r="N24" s="176"/>
      <c r="O24" s="176"/>
      <c r="P24" s="49" t="str">
        <f t="shared" si="0"/>
        <v/>
      </c>
      <c r="Q24" s="55" t="str">
        <f t="shared" si="1"/>
        <v/>
      </c>
      <c r="R24" s="59" t="str">
        <f t="shared" si="2"/>
        <v/>
      </c>
      <c r="S24" s="61" t="str">
        <f t="shared" si="3"/>
        <v/>
      </c>
      <c r="T24" s="63" t="str">
        <f t="shared" si="4"/>
        <v/>
      </c>
      <c r="U24" s="65" t="str">
        <f t="shared" si="5"/>
        <v/>
      </c>
      <c r="V24" s="59" t="str">
        <f t="shared" si="6"/>
        <v/>
      </c>
      <c r="W24" s="69" t="str">
        <f t="shared" si="7"/>
        <v/>
      </c>
      <c r="X24" s="77" t="str">
        <f t="shared" si="8"/>
        <v/>
      </c>
    </row>
    <row r="25" spans="2:24" ht="18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75"/>
      <c r="E25" s="175"/>
      <c r="F25" s="175"/>
      <c r="G25" s="175"/>
      <c r="H25" s="175"/>
      <c r="I25" s="175"/>
      <c r="J25" s="175"/>
      <c r="K25" s="175"/>
      <c r="L25" s="175"/>
      <c r="M25" s="176"/>
      <c r="N25" s="176"/>
      <c r="O25" s="176"/>
      <c r="P25" s="49" t="str">
        <f t="shared" si="0"/>
        <v/>
      </c>
      <c r="Q25" s="55" t="str">
        <f t="shared" si="1"/>
        <v/>
      </c>
      <c r="R25" s="59" t="str">
        <f t="shared" si="2"/>
        <v/>
      </c>
      <c r="S25" s="61" t="str">
        <f t="shared" si="3"/>
        <v/>
      </c>
      <c r="T25" s="63" t="str">
        <f t="shared" si="4"/>
        <v/>
      </c>
      <c r="U25" s="65" t="str">
        <f t="shared" si="5"/>
        <v/>
      </c>
      <c r="V25" s="59" t="str">
        <f t="shared" si="6"/>
        <v/>
      </c>
      <c r="W25" s="69" t="str">
        <f t="shared" si="7"/>
        <v/>
      </c>
      <c r="X25" s="77" t="str">
        <f t="shared" si="8"/>
        <v/>
      </c>
    </row>
    <row r="26" spans="2:24" ht="18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75"/>
      <c r="E26" s="175"/>
      <c r="F26" s="175"/>
      <c r="G26" s="175"/>
      <c r="H26" s="175"/>
      <c r="I26" s="175"/>
      <c r="J26" s="175"/>
      <c r="K26" s="175"/>
      <c r="L26" s="175"/>
      <c r="M26" s="176"/>
      <c r="N26" s="176"/>
      <c r="O26" s="176"/>
      <c r="P26" s="49" t="str">
        <f t="shared" si="0"/>
        <v/>
      </c>
      <c r="Q26" s="55" t="str">
        <f t="shared" si="1"/>
        <v/>
      </c>
      <c r="R26" s="59" t="str">
        <f t="shared" si="2"/>
        <v/>
      </c>
      <c r="S26" s="61" t="str">
        <f t="shared" si="3"/>
        <v/>
      </c>
      <c r="T26" s="63" t="str">
        <f t="shared" si="4"/>
        <v/>
      </c>
      <c r="U26" s="65" t="str">
        <f t="shared" si="5"/>
        <v/>
      </c>
      <c r="V26" s="59" t="str">
        <f t="shared" si="6"/>
        <v/>
      </c>
      <c r="W26" s="69" t="str">
        <f t="shared" si="7"/>
        <v/>
      </c>
      <c r="X26" s="77" t="str">
        <f t="shared" si="8"/>
        <v/>
      </c>
    </row>
    <row r="27" spans="2:24" ht="18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75"/>
      <c r="E27" s="175"/>
      <c r="F27" s="175"/>
      <c r="G27" s="175"/>
      <c r="H27" s="175"/>
      <c r="I27" s="175"/>
      <c r="J27" s="175"/>
      <c r="K27" s="175"/>
      <c r="L27" s="175"/>
      <c r="M27" s="176"/>
      <c r="N27" s="176"/>
      <c r="O27" s="176"/>
      <c r="P27" s="49" t="str">
        <f t="shared" si="0"/>
        <v/>
      </c>
      <c r="Q27" s="55" t="str">
        <f t="shared" si="1"/>
        <v/>
      </c>
      <c r="R27" s="59" t="str">
        <f t="shared" si="2"/>
        <v/>
      </c>
      <c r="S27" s="61" t="str">
        <f t="shared" si="3"/>
        <v/>
      </c>
      <c r="T27" s="63" t="str">
        <f t="shared" si="4"/>
        <v/>
      </c>
      <c r="U27" s="65" t="str">
        <f t="shared" si="5"/>
        <v/>
      </c>
      <c r="V27" s="59" t="str">
        <f t="shared" si="6"/>
        <v/>
      </c>
      <c r="W27" s="69" t="str">
        <f t="shared" si="7"/>
        <v/>
      </c>
      <c r="X27" s="77" t="str">
        <f t="shared" si="8"/>
        <v/>
      </c>
    </row>
    <row r="28" spans="2:24" ht="18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75"/>
      <c r="E28" s="175"/>
      <c r="F28" s="175"/>
      <c r="G28" s="175"/>
      <c r="H28" s="175"/>
      <c r="I28" s="175"/>
      <c r="J28" s="175"/>
      <c r="K28" s="175"/>
      <c r="L28" s="175"/>
      <c r="M28" s="176"/>
      <c r="N28" s="176"/>
      <c r="O28" s="176"/>
      <c r="P28" s="49" t="str">
        <f t="shared" si="0"/>
        <v/>
      </c>
      <c r="Q28" s="55" t="str">
        <f t="shared" si="1"/>
        <v/>
      </c>
      <c r="R28" s="59" t="str">
        <f t="shared" si="2"/>
        <v/>
      </c>
      <c r="S28" s="61" t="str">
        <f t="shared" si="3"/>
        <v/>
      </c>
      <c r="T28" s="63" t="str">
        <f t="shared" si="4"/>
        <v/>
      </c>
      <c r="U28" s="65" t="str">
        <f t="shared" si="5"/>
        <v/>
      </c>
      <c r="V28" s="59" t="str">
        <f t="shared" si="6"/>
        <v/>
      </c>
      <c r="W28" s="69" t="str">
        <f t="shared" si="7"/>
        <v/>
      </c>
      <c r="X28" s="77" t="str">
        <f t="shared" si="8"/>
        <v/>
      </c>
    </row>
    <row r="29" spans="2:24" ht="18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75"/>
      <c r="E29" s="175"/>
      <c r="F29" s="175"/>
      <c r="G29" s="175"/>
      <c r="H29" s="175"/>
      <c r="I29" s="175"/>
      <c r="J29" s="175"/>
      <c r="K29" s="175"/>
      <c r="L29" s="175"/>
      <c r="M29" s="176"/>
      <c r="N29" s="176"/>
      <c r="O29" s="176"/>
      <c r="P29" s="49" t="str">
        <f t="shared" si="0"/>
        <v/>
      </c>
      <c r="Q29" s="55" t="str">
        <f t="shared" si="1"/>
        <v/>
      </c>
      <c r="R29" s="59" t="str">
        <f t="shared" si="2"/>
        <v/>
      </c>
      <c r="S29" s="61" t="str">
        <f t="shared" si="3"/>
        <v/>
      </c>
      <c r="T29" s="63" t="str">
        <f t="shared" si="4"/>
        <v/>
      </c>
      <c r="U29" s="65" t="str">
        <f t="shared" si="5"/>
        <v/>
      </c>
      <c r="V29" s="59" t="str">
        <f t="shared" si="6"/>
        <v/>
      </c>
      <c r="W29" s="69" t="str">
        <f t="shared" si="7"/>
        <v/>
      </c>
      <c r="X29" s="77" t="str">
        <f t="shared" si="8"/>
        <v/>
      </c>
    </row>
    <row r="30" spans="2:24" ht="18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75"/>
      <c r="E30" s="175"/>
      <c r="F30" s="175"/>
      <c r="G30" s="175"/>
      <c r="H30" s="175"/>
      <c r="I30" s="175"/>
      <c r="J30" s="175"/>
      <c r="K30" s="175"/>
      <c r="L30" s="175"/>
      <c r="M30" s="176"/>
      <c r="N30" s="176"/>
      <c r="O30" s="176"/>
      <c r="P30" s="49" t="str">
        <f t="shared" si="0"/>
        <v/>
      </c>
      <c r="Q30" s="55" t="str">
        <f t="shared" si="1"/>
        <v/>
      </c>
      <c r="R30" s="59" t="str">
        <f t="shared" si="2"/>
        <v/>
      </c>
      <c r="S30" s="61" t="str">
        <f t="shared" si="3"/>
        <v/>
      </c>
      <c r="T30" s="63" t="str">
        <f t="shared" si="4"/>
        <v/>
      </c>
      <c r="U30" s="65" t="str">
        <f t="shared" si="5"/>
        <v/>
      </c>
      <c r="V30" s="59" t="str">
        <f t="shared" si="6"/>
        <v/>
      </c>
      <c r="W30" s="69" t="str">
        <f t="shared" si="7"/>
        <v/>
      </c>
      <c r="X30" s="77" t="str">
        <f t="shared" si="8"/>
        <v/>
      </c>
    </row>
    <row r="31" spans="2:24" ht="18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75"/>
      <c r="E31" s="175"/>
      <c r="F31" s="175"/>
      <c r="G31" s="175"/>
      <c r="H31" s="175"/>
      <c r="I31" s="175"/>
      <c r="J31" s="175"/>
      <c r="K31" s="175"/>
      <c r="L31" s="175"/>
      <c r="M31" s="176"/>
      <c r="N31" s="176"/>
      <c r="O31" s="176"/>
      <c r="P31" s="49" t="str">
        <f t="shared" si="0"/>
        <v/>
      </c>
      <c r="Q31" s="55" t="str">
        <f t="shared" si="1"/>
        <v/>
      </c>
      <c r="R31" s="59" t="str">
        <f t="shared" si="2"/>
        <v/>
      </c>
      <c r="S31" s="61" t="str">
        <f t="shared" si="3"/>
        <v/>
      </c>
      <c r="T31" s="63" t="str">
        <f t="shared" si="4"/>
        <v/>
      </c>
      <c r="U31" s="65" t="str">
        <f t="shared" si="5"/>
        <v/>
      </c>
      <c r="V31" s="59" t="str">
        <f t="shared" si="6"/>
        <v/>
      </c>
      <c r="W31" s="69" t="str">
        <f t="shared" si="7"/>
        <v/>
      </c>
      <c r="X31" s="77" t="str">
        <f t="shared" si="8"/>
        <v/>
      </c>
    </row>
    <row r="32" spans="2:24" ht="18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75"/>
      <c r="E32" s="175"/>
      <c r="F32" s="175"/>
      <c r="G32" s="175"/>
      <c r="H32" s="175"/>
      <c r="I32" s="175"/>
      <c r="J32" s="175"/>
      <c r="K32" s="175"/>
      <c r="L32" s="175"/>
      <c r="M32" s="176"/>
      <c r="N32" s="176"/>
      <c r="O32" s="176"/>
      <c r="P32" s="49" t="str">
        <f t="shared" si="0"/>
        <v/>
      </c>
      <c r="Q32" s="55" t="str">
        <f t="shared" si="1"/>
        <v/>
      </c>
      <c r="R32" s="59" t="str">
        <f t="shared" si="2"/>
        <v/>
      </c>
      <c r="S32" s="61" t="str">
        <f t="shared" si="3"/>
        <v/>
      </c>
      <c r="T32" s="63" t="str">
        <f t="shared" si="4"/>
        <v/>
      </c>
      <c r="U32" s="65" t="str">
        <f t="shared" si="5"/>
        <v/>
      </c>
      <c r="V32" s="59" t="str">
        <f t="shared" si="6"/>
        <v/>
      </c>
      <c r="W32" s="69" t="str">
        <f t="shared" si="7"/>
        <v/>
      </c>
      <c r="X32" s="77" t="str">
        <f t="shared" si="8"/>
        <v/>
      </c>
    </row>
    <row r="33" spans="2:24" ht="18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75"/>
      <c r="E33" s="175"/>
      <c r="F33" s="175"/>
      <c r="G33" s="175"/>
      <c r="H33" s="175"/>
      <c r="I33" s="175"/>
      <c r="J33" s="175"/>
      <c r="K33" s="175"/>
      <c r="L33" s="175"/>
      <c r="M33" s="176"/>
      <c r="N33" s="176"/>
      <c r="O33" s="176"/>
      <c r="P33" s="49" t="str">
        <f t="shared" si="0"/>
        <v/>
      </c>
      <c r="Q33" s="55" t="str">
        <f t="shared" si="1"/>
        <v/>
      </c>
      <c r="R33" s="59" t="str">
        <f t="shared" si="2"/>
        <v/>
      </c>
      <c r="S33" s="61" t="str">
        <f t="shared" si="3"/>
        <v/>
      </c>
      <c r="T33" s="63" t="str">
        <f t="shared" si="4"/>
        <v/>
      </c>
      <c r="U33" s="65" t="str">
        <f t="shared" si="5"/>
        <v/>
      </c>
      <c r="V33" s="59" t="str">
        <f t="shared" si="6"/>
        <v/>
      </c>
      <c r="W33" s="69" t="str">
        <f t="shared" si="7"/>
        <v/>
      </c>
      <c r="X33" s="77" t="str">
        <f t="shared" si="8"/>
        <v/>
      </c>
    </row>
    <row r="34" spans="2:24" ht="18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75"/>
      <c r="E34" s="175"/>
      <c r="F34" s="175"/>
      <c r="G34" s="175"/>
      <c r="H34" s="175"/>
      <c r="I34" s="175"/>
      <c r="J34" s="175"/>
      <c r="K34" s="175"/>
      <c r="L34" s="175"/>
      <c r="M34" s="176"/>
      <c r="N34" s="176"/>
      <c r="O34" s="176"/>
      <c r="P34" s="49" t="str">
        <f t="shared" si="0"/>
        <v/>
      </c>
      <c r="Q34" s="55" t="str">
        <f t="shared" si="1"/>
        <v/>
      </c>
      <c r="R34" s="59" t="str">
        <f t="shared" si="2"/>
        <v/>
      </c>
      <c r="S34" s="61" t="str">
        <f t="shared" si="3"/>
        <v/>
      </c>
      <c r="T34" s="63" t="str">
        <f t="shared" si="4"/>
        <v/>
      </c>
      <c r="U34" s="65" t="str">
        <f t="shared" si="5"/>
        <v/>
      </c>
      <c r="V34" s="59" t="str">
        <f t="shared" si="6"/>
        <v/>
      </c>
      <c r="W34" s="69" t="str">
        <f t="shared" si="7"/>
        <v/>
      </c>
      <c r="X34" s="77" t="str">
        <f t="shared" si="8"/>
        <v/>
      </c>
    </row>
    <row r="35" spans="2:24" ht="18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75"/>
      <c r="E35" s="175"/>
      <c r="F35" s="175"/>
      <c r="G35" s="175"/>
      <c r="H35" s="175"/>
      <c r="I35" s="175"/>
      <c r="J35" s="175"/>
      <c r="K35" s="175"/>
      <c r="L35" s="175"/>
      <c r="M35" s="176"/>
      <c r="N35" s="176"/>
      <c r="O35" s="176"/>
      <c r="P35" s="49" t="str">
        <f t="shared" si="0"/>
        <v/>
      </c>
      <c r="Q35" s="55" t="str">
        <f t="shared" si="1"/>
        <v/>
      </c>
      <c r="R35" s="59" t="str">
        <f t="shared" si="2"/>
        <v/>
      </c>
      <c r="S35" s="61" t="str">
        <f t="shared" si="3"/>
        <v/>
      </c>
      <c r="T35" s="63" t="str">
        <f t="shared" si="4"/>
        <v/>
      </c>
      <c r="U35" s="65" t="str">
        <f t="shared" si="5"/>
        <v/>
      </c>
      <c r="V35" s="59" t="str">
        <f t="shared" si="6"/>
        <v/>
      </c>
      <c r="W35" s="69" t="str">
        <f t="shared" si="7"/>
        <v/>
      </c>
      <c r="X35" s="77" t="str">
        <f t="shared" si="8"/>
        <v/>
      </c>
    </row>
    <row r="36" spans="2:24" ht="18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75"/>
      <c r="E36" s="175"/>
      <c r="F36" s="175"/>
      <c r="G36" s="175"/>
      <c r="H36" s="175"/>
      <c r="I36" s="175"/>
      <c r="J36" s="175"/>
      <c r="K36" s="175"/>
      <c r="L36" s="175"/>
      <c r="M36" s="176"/>
      <c r="N36" s="176"/>
      <c r="O36" s="176"/>
      <c r="P36" s="49" t="str">
        <f t="shared" si="0"/>
        <v/>
      </c>
      <c r="Q36" s="55" t="str">
        <f t="shared" si="1"/>
        <v/>
      </c>
      <c r="R36" s="59" t="str">
        <f t="shared" si="2"/>
        <v/>
      </c>
      <c r="S36" s="61" t="str">
        <f t="shared" si="3"/>
        <v/>
      </c>
      <c r="T36" s="63" t="str">
        <f t="shared" si="4"/>
        <v/>
      </c>
      <c r="U36" s="65" t="str">
        <f t="shared" si="5"/>
        <v/>
      </c>
      <c r="V36" s="59" t="str">
        <f t="shared" si="6"/>
        <v/>
      </c>
      <c r="W36" s="69" t="str">
        <f t="shared" si="7"/>
        <v/>
      </c>
      <c r="X36" s="77" t="str">
        <f t="shared" si="8"/>
        <v/>
      </c>
    </row>
    <row r="37" spans="2:24" ht="18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75"/>
      <c r="E37" s="175"/>
      <c r="F37" s="175"/>
      <c r="G37" s="175"/>
      <c r="H37" s="175"/>
      <c r="I37" s="175"/>
      <c r="J37" s="175"/>
      <c r="K37" s="175"/>
      <c r="L37" s="175"/>
      <c r="M37" s="176"/>
      <c r="N37" s="176"/>
      <c r="O37" s="176"/>
      <c r="P37" s="49" t="str">
        <f t="shared" si="0"/>
        <v/>
      </c>
      <c r="Q37" s="55" t="str">
        <f t="shared" si="1"/>
        <v/>
      </c>
      <c r="R37" s="59" t="str">
        <f t="shared" si="2"/>
        <v/>
      </c>
      <c r="S37" s="61" t="str">
        <f t="shared" si="3"/>
        <v/>
      </c>
      <c r="T37" s="63" t="str">
        <f t="shared" si="4"/>
        <v/>
      </c>
      <c r="U37" s="65" t="str">
        <f t="shared" si="5"/>
        <v/>
      </c>
      <c r="V37" s="59" t="str">
        <f t="shared" si="6"/>
        <v/>
      </c>
      <c r="W37" s="69" t="str">
        <f t="shared" si="7"/>
        <v/>
      </c>
      <c r="X37" s="77" t="str">
        <f t="shared" si="8"/>
        <v/>
      </c>
    </row>
    <row r="38" spans="2:24" ht="18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75"/>
      <c r="E38" s="175"/>
      <c r="F38" s="175"/>
      <c r="G38" s="175"/>
      <c r="H38" s="175"/>
      <c r="I38" s="175"/>
      <c r="J38" s="175"/>
      <c r="K38" s="175"/>
      <c r="L38" s="175"/>
      <c r="M38" s="176"/>
      <c r="N38" s="176"/>
      <c r="O38" s="176"/>
      <c r="P38" s="49" t="str">
        <f t="shared" si="0"/>
        <v/>
      </c>
      <c r="Q38" s="55" t="str">
        <f t="shared" si="1"/>
        <v/>
      </c>
      <c r="R38" s="59" t="str">
        <f t="shared" si="2"/>
        <v/>
      </c>
      <c r="S38" s="61" t="str">
        <f t="shared" si="3"/>
        <v/>
      </c>
      <c r="T38" s="63" t="str">
        <f t="shared" si="4"/>
        <v/>
      </c>
      <c r="U38" s="65" t="str">
        <f t="shared" si="5"/>
        <v/>
      </c>
      <c r="V38" s="59" t="str">
        <f t="shared" si="6"/>
        <v/>
      </c>
      <c r="W38" s="69" t="str">
        <f t="shared" si="7"/>
        <v/>
      </c>
      <c r="X38" s="77" t="str">
        <f t="shared" si="8"/>
        <v/>
      </c>
    </row>
    <row r="39" spans="2:24" ht="18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75"/>
      <c r="E39" s="175"/>
      <c r="F39" s="175"/>
      <c r="G39" s="175"/>
      <c r="H39" s="175"/>
      <c r="I39" s="175"/>
      <c r="J39" s="175"/>
      <c r="K39" s="175"/>
      <c r="L39" s="175"/>
      <c r="M39" s="176"/>
      <c r="N39" s="176"/>
      <c r="O39" s="176"/>
      <c r="P39" s="49" t="str">
        <f t="shared" si="0"/>
        <v/>
      </c>
      <c r="Q39" s="55" t="str">
        <f t="shared" si="1"/>
        <v/>
      </c>
      <c r="R39" s="59" t="str">
        <f t="shared" si="2"/>
        <v/>
      </c>
      <c r="S39" s="61" t="str">
        <f t="shared" si="3"/>
        <v/>
      </c>
      <c r="T39" s="63" t="str">
        <f t="shared" si="4"/>
        <v/>
      </c>
      <c r="U39" s="65" t="str">
        <f t="shared" si="5"/>
        <v/>
      </c>
      <c r="V39" s="59" t="str">
        <f t="shared" si="6"/>
        <v/>
      </c>
      <c r="W39" s="69" t="str">
        <f t="shared" si="7"/>
        <v/>
      </c>
      <c r="X39" s="77" t="str">
        <f t="shared" si="8"/>
        <v/>
      </c>
    </row>
    <row r="40" spans="2:24" ht="18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75"/>
      <c r="E40" s="175"/>
      <c r="F40" s="175"/>
      <c r="G40" s="175"/>
      <c r="H40" s="175"/>
      <c r="I40" s="175"/>
      <c r="J40" s="175"/>
      <c r="K40" s="175"/>
      <c r="L40" s="175"/>
      <c r="M40" s="176"/>
      <c r="N40" s="176"/>
      <c r="O40" s="176"/>
      <c r="P40" s="49" t="str">
        <f t="shared" si="0"/>
        <v/>
      </c>
      <c r="Q40" s="55" t="str">
        <f t="shared" si="1"/>
        <v/>
      </c>
      <c r="R40" s="59" t="str">
        <f t="shared" si="2"/>
        <v/>
      </c>
      <c r="S40" s="61" t="str">
        <f t="shared" si="3"/>
        <v/>
      </c>
      <c r="T40" s="63" t="str">
        <f t="shared" si="4"/>
        <v/>
      </c>
      <c r="U40" s="65" t="str">
        <f t="shared" si="5"/>
        <v/>
      </c>
      <c r="V40" s="59" t="str">
        <f t="shared" si="6"/>
        <v/>
      </c>
      <c r="W40" s="69" t="str">
        <f t="shared" si="7"/>
        <v/>
      </c>
      <c r="X40" s="77" t="str">
        <f t="shared" si="8"/>
        <v/>
      </c>
    </row>
  </sheetData>
  <mergeCells count="6">
    <mergeCell ref="X9"/>
    <mergeCell ref="P9:W9"/>
    <mergeCell ref="M9:O9"/>
    <mergeCell ref="D9:L9"/>
    <mergeCell ref="B2:K2"/>
    <mergeCell ref="B3:K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9" width="15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393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394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3" t="s">
        <v>395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x14ac:dyDescent="0.2">
      <c r="B8" s="177" t="s">
        <v>396</v>
      </c>
    </row>
    <row r="10" spans="1:29" ht="24" customHeight="1" x14ac:dyDescent="0.2">
      <c r="B10" s="178" t="s">
        <v>397</v>
      </c>
      <c r="C10" s="179"/>
    </row>
    <row r="11" spans="1:29" ht="24" customHeight="1" x14ac:dyDescent="0.2">
      <c r="B11" s="178" t="s">
        <v>398</v>
      </c>
      <c r="C11" s="179" t="s">
        <v>399</v>
      </c>
    </row>
    <row r="12" spans="1:29" ht="24" customHeight="1" x14ac:dyDescent="0.2">
      <c r="B12" s="178" t="s">
        <v>400</v>
      </c>
      <c r="C12" s="179" t="s">
        <v>399</v>
      </c>
    </row>
    <row r="13" spans="1:29" ht="24" customHeight="1" x14ac:dyDescent="0.2">
      <c r="B13" s="178" t="s">
        <v>401</v>
      </c>
      <c r="C13" s="179" t="s">
        <v>399</v>
      </c>
    </row>
    <row r="14" spans="1:29" ht="24" customHeight="1" x14ac:dyDescent="0.2">
      <c r="B14" s="178" t="s">
        <v>402</v>
      </c>
      <c r="C14" s="179" t="s">
        <v>399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7" width="10" customWidth="1"/>
    <col min="8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403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404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3" t="s">
        <v>405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80" t="s">
        <v>406</v>
      </c>
      <c r="G8" s="181" t="s">
        <v>407</v>
      </c>
    </row>
    <row r="10" spans="1:29" ht="36" customHeight="1" x14ac:dyDescent="0.2">
      <c r="B10" s="158" t="s">
        <v>352</v>
      </c>
      <c r="C10" s="158" t="s">
        <v>391</v>
      </c>
      <c r="D10" s="182" t="s">
        <v>408</v>
      </c>
      <c r="E10" s="182" t="s">
        <v>409</v>
      </c>
      <c r="F10" s="182" t="s">
        <v>410</v>
      </c>
      <c r="G10" s="89" t="s">
        <v>411</v>
      </c>
      <c r="H10" s="158" t="s">
        <v>412</v>
      </c>
      <c r="I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4" t="str">
        <f>IFERROR('ISO · Reg. Notas'!P11,"")</f>
        <v/>
      </c>
      <c r="G11" s="185" t="str">
        <f>IFERROR('ISO · Reg. Notas'!Q11,"")</f>
        <v/>
      </c>
      <c r="H11" s="186" t="str">
        <f t="shared" ref="H11:H40" si="0">IFERROR(ROUND(F11*0.40625+G11*0.59375,2),"")</f>
        <v/>
      </c>
      <c r="I11" s="187" t="str">
        <f t="shared" ref="I11:I40" si="1">IF(H11="","",IF(H11&gt;=5,"APTO","NO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4" t="str">
        <f>IFERROR('ISO · Reg. Notas'!P12,"")</f>
        <v/>
      </c>
      <c r="G12" s="185" t="str">
        <f>IFERROR('ISO · Reg. Notas'!Q12,"")</f>
        <v/>
      </c>
      <c r="H12" s="186" t="str">
        <f t="shared" si="0"/>
        <v/>
      </c>
      <c r="I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4" t="str">
        <f>IFERROR('ISO · Reg. Notas'!P13,"")</f>
        <v/>
      </c>
      <c r="G13" s="185" t="str">
        <f>IFERROR('ISO · Reg. Notas'!Q13,"")</f>
        <v/>
      </c>
      <c r="H13" s="186" t="str">
        <f t="shared" si="0"/>
        <v/>
      </c>
      <c r="I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4" t="str">
        <f>IFERROR('ISO · Reg. Notas'!P14,"")</f>
        <v/>
      </c>
      <c r="G14" s="185" t="str">
        <f>IFERROR('ISO · Reg. Notas'!Q14,"")</f>
        <v/>
      </c>
      <c r="H14" s="186" t="str">
        <f t="shared" si="0"/>
        <v/>
      </c>
      <c r="I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4" t="str">
        <f>IFERROR('ISO · Reg. Notas'!P15,"")</f>
        <v/>
      </c>
      <c r="G15" s="185" t="str">
        <f>IFERROR('ISO · Reg. Notas'!Q15,"")</f>
        <v/>
      </c>
      <c r="H15" s="186" t="str">
        <f t="shared" si="0"/>
        <v/>
      </c>
      <c r="I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4" t="str">
        <f>IFERROR('ISO · Reg. Notas'!P16,"")</f>
        <v/>
      </c>
      <c r="G16" s="185" t="str">
        <f>IFERROR('ISO · Reg. Notas'!Q16,"")</f>
        <v/>
      </c>
      <c r="H16" s="186" t="str">
        <f t="shared" si="0"/>
        <v/>
      </c>
      <c r="I16" s="188" t="str">
        <f t="shared" si="1"/>
        <v/>
      </c>
    </row>
    <row r="17" spans="2:9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4" t="str">
        <f>IFERROR('ISO · Reg. Notas'!P17,"")</f>
        <v/>
      </c>
      <c r="G17" s="185" t="str">
        <f>IFERROR('ISO · Reg. Notas'!Q17,"")</f>
        <v/>
      </c>
      <c r="H17" s="186" t="str">
        <f t="shared" si="0"/>
        <v/>
      </c>
      <c r="I17" s="187" t="str">
        <f t="shared" si="1"/>
        <v/>
      </c>
    </row>
    <row r="18" spans="2:9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4" t="str">
        <f>IFERROR('ISO · Reg. Notas'!P18,"")</f>
        <v/>
      </c>
      <c r="G18" s="185" t="str">
        <f>IFERROR('ISO · Reg. Notas'!Q18,"")</f>
        <v/>
      </c>
      <c r="H18" s="186" t="str">
        <f t="shared" si="0"/>
        <v/>
      </c>
      <c r="I18" s="188" t="str">
        <f t="shared" si="1"/>
        <v/>
      </c>
    </row>
    <row r="19" spans="2:9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4" t="str">
        <f>IFERROR('ISO · Reg. Notas'!P19,"")</f>
        <v/>
      </c>
      <c r="G19" s="185" t="str">
        <f>IFERROR('ISO · Reg. Notas'!Q19,"")</f>
        <v/>
      </c>
      <c r="H19" s="186" t="str">
        <f t="shared" si="0"/>
        <v/>
      </c>
      <c r="I19" s="187" t="str">
        <f t="shared" si="1"/>
        <v/>
      </c>
    </row>
    <row r="20" spans="2:9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4" t="str">
        <f>IFERROR('ISO · Reg. Notas'!P20,"")</f>
        <v/>
      </c>
      <c r="G20" s="185" t="str">
        <f>IFERROR('ISO · Reg. Notas'!Q20,"")</f>
        <v/>
      </c>
      <c r="H20" s="186" t="str">
        <f t="shared" si="0"/>
        <v/>
      </c>
      <c r="I20" s="188" t="str">
        <f t="shared" si="1"/>
        <v/>
      </c>
    </row>
    <row r="21" spans="2:9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4" t="str">
        <f>IFERROR('ISO · Reg. Notas'!P21,"")</f>
        <v/>
      </c>
      <c r="G21" s="185" t="str">
        <f>IFERROR('ISO · Reg. Notas'!Q21,"")</f>
        <v/>
      </c>
      <c r="H21" s="186" t="str">
        <f t="shared" si="0"/>
        <v/>
      </c>
      <c r="I21" s="187" t="str">
        <f t="shared" si="1"/>
        <v/>
      </c>
    </row>
    <row r="22" spans="2:9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4" t="str">
        <f>IFERROR('ISO · Reg. Notas'!P22,"")</f>
        <v/>
      </c>
      <c r="G22" s="185" t="str">
        <f>IFERROR('ISO · Reg. Notas'!Q22,"")</f>
        <v/>
      </c>
      <c r="H22" s="186" t="str">
        <f t="shared" si="0"/>
        <v/>
      </c>
      <c r="I22" s="188" t="str">
        <f t="shared" si="1"/>
        <v/>
      </c>
    </row>
    <row r="23" spans="2:9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4" t="str">
        <f>IFERROR('ISO · Reg. Notas'!P23,"")</f>
        <v/>
      </c>
      <c r="G23" s="185" t="str">
        <f>IFERROR('ISO · Reg. Notas'!Q23,"")</f>
        <v/>
      </c>
      <c r="H23" s="186" t="str">
        <f t="shared" si="0"/>
        <v/>
      </c>
      <c r="I23" s="187" t="str">
        <f t="shared" si="1"/>
        <v/>
      </c>
    </row>
    <row r="24" spans="2:9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4" t="str">
        <f>IFERROR('ISO · Reg. Notas'!P24,"")</f>
        <v/>
      </c>
      <c r="G24" s="185" t="str">
        <f>IFERROR('ISO · Reg. Notas'!Q24,"")</f>
        <v/>
      </c>
      <c r="H24" s="186" t="str">
        <f t="shared" si="0"/>
        <v/>
      </c>
      <c r="I24" s="188" t="str">
        <f t="shared" si="1"/>
        <v/>
      </c>
    </row>
    <row r="25" spans="2:9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4" t="str">
        <f>IFERROR('ISO · Reg. Notas'!P25,"")</f>
        <v/>
      </c>
      <c r="G25" s="185" t="str">
        <f>IFERROR('ISO · Reg. Notas'!Q25,"")</f>
        <v/>
      </c>
      <c r="H25" s="186" t="str">
        <f t="shared" si="0"/>
        <v/>
      </c>
      <c r="I25" s="187" t="str">
        <f t="shared" si="1"/>
        <v/>
      </c>
    </row>
    <row r="26" spans="2:9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4" t="str">
        <f>IFERROR('ISO · Reg. Notas'!P26,"")</f>
        <v/>
      </c>
      <c r="G26" s="185" t="str">
        <f>IFERROR('ISO · Reg. Notas'!Q26,"")</f>
        <v/>
      </c>
      <c r="H26" s="186" t="str">
        <f t="shared" si="0"/>
        <v/>
      </c>
      <c r="I26" s="188" t="str">
        <f t="shared" si="1"/>
        <v/>
      </c>
    </row>
    <row r="27" spans="2:9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4" t="str">
        <f>IFERROR('ISO · Reg. Notas'!P27,"")</f>
        <v/>
      </c>
      <c r="G27" s="185" t="str">
        <f>IFERROR('ISO · Reg. Notas'!Q27,"")</f>
        <v/>
      </c>
      <c r="H27" s="186" t="str">
        <f t="shared" si="0"/>
        <v/>
      </c>
      <c r="I27" s="187" t="str">
        <f t="shared" si="1"/>
        <v/>
      </c>
    </row>
    <row r="28" spans="2:9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4" t="str">
        <f>IFERROR('ISO · Reg. Notas'!P28,"")</f>
        <v/>
      </c>
      <c r="G28" s="185" t="str">
        <f>IFERROR('ISO · Reg. Notas'!Q28,"")</f>
        <v/>
      </c>
      <c r="H28" s="186" t="str">
        <f t="shared" si="0"/>
        <v/>
      </c>
      <c r="I28" s="188" t="str">
        <f t="shared" si="1"/>
        <v/>
      </c>
    </row>
    <row r="29" spans="2:9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4" t="str">
        <f>IFERROR('ISO · Reg. Notas'!P29,"")</f>
        <v/>
      </c>
      <c r="G29" s="185" t="str">
        <f>IFERROR('ISO · Reg. Notas'!Q29,"")</f>
        <v/>
      </c>
      <c r="H29" s="186" t="str">
        <f t="shared" si="0"/>
        <v/>
      </c>
      <c r="I29" s="187" t="str">
        <f t="shared" si="1"/>
        <v/>
      </c>
    </row>
    <row r="30" spans="2:9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4" t="str">
        <f>IFERROR('ISO · Reg. Notas'!P30,"")</f>
        <v/>
      </c>
      <c r="G30" s="185" t="str">
        <f>IFERROR('ISO · Reg. Notas'!Q30,"")</f>
        <v/>
      </c>
      <c r="H30" s="186" t="str">
        <f t="shared" si="0"/>
        <v/>
      </c>
      <c r="I30" s="188" t="str">
        <f t="shared" si="1"/>
        <v/>
      </c>
    </row>
    <row r="31" spans="2:9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4" t="str">
        <f>IFERROR('ISO · Reg. Notas'!P31,"")</f>
        <v/>
      </c>
      <c r="G31" s="185" t="str">
        <f>IFERROR('ISO · Reg. Notas'!Q31,"")</f>
        <v/>
      </c>
      <c r="H31" s="186" t="str">
        <f t="shared" si="0"/>
        <v/>
      </c>
      <c r="I31" s="187" t="str">
        <f t="shared" si="1"/>
        <v/>
      </c>
    </row>
    <row r="32" spans="2:9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4" t="str">
        <f>IFERROR('ISO · Reg. Notas'!P32,"")</f>
        <v/>
      </c>
      <c r="G32" s="185" t="str">
        <f>IFERROR('ISO · Reg. Notas'!Q32,"")</f>
        <v/>
      </c>
      <c r="H32" s="186" t="str">
        <f t="shared" si="0"/>
        <v/>
      </c>
      <c r="I32" s="188" t="str">
        <f t="shared" si="1"/>
        <v/>
      </c>
    </row>
    <row r="33" spans="2:9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4" t="str">
        <f>IFERROR('ISO · Reg. Notas'!P33,"")</f>
        <v/>
      </c>
      <c r="G33" s="185" t="str">
        <f>IFERROR('ISO · Reg. Notas'!Q33,"")</f>
        <v/>
      </c>
      <c r="H33" s="186" t="str">
        <f t="shared" si="0"/>
        <v/>
      </c>
      <c r="I33" s="187" t="str">
        <f t="shared" si="1"/>
        <v/>
      </c>
    </row>
    <row r="34" spans="2:9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4" t="str">
        <f>IFERROR('ISO · Reg. Notas'!P34,"")</f>
        <v/>
      </c>
      <c r="G34" s="185" t="str">
        <f>IFERROR('ISO · Reg. Notas'!Q34,"")</f>
        <v/>
      </c>
      <c r="H34" s="186" t="str">
        <f t="shared" si="0"/>
        <v/>
      </c>
      <c r="I34" s="188" t="str">
        <f t="shared" si="1"/>
        <v/>
      </c>
    </row>
    <row r="35" spans="2:9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4" t="str">
        <f>IFERROR('ISO · Reg. Notas'!P35,"")</f>
        <v/>
      </c>
      <c r="G35" s="185" t="str">
        <f>IFERROR('ISO · Reg. Notas'!Q35,"")</f>
        <v/>
      </c>
      <c r="H35" s="186" t="str">
        <f t="shared" si="0"/>
        <v/>
      </c>
      <c r="I35" s="187" t="str">
        <f t="shared" si="1"/>
        <v/>
      </c>
    </row>
    <row r="36" spans="2:9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4" t="str">
        <f>IFERROR('ISO · Reg. Notas'!P36,"")</f>
        <v/>
      </c>
      <c r="G36" s="185" t="str">
        <f>IFERROR('ISO · Reg. Notas'!Q36,"")</f>
        <v/>
      </c>
      <c r="H36" s="186" t="str">
        <f t="shared" si="0"/>
        <v/>
      </c>
      <c r="I36" s="188" t="str">
        <f t="shared" si="1"/>
        <v/>
      </c>
    </row>
    <row r="37" spans="2:9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4" t="str">
        <f>IFERROR('ISO · Reg. Notas'!P37,"")</f>
        <v/>
      </c>
      <c r="G37" s="185" t="str">
        <f>IFERROR('ISO · Reg. Notas'!Q37,"")</f>
        <v/>
      </c>
      <c r="H37" s="186" t="str">
        <f t="shared" si="0"/>
        <v/>
      </c>
      <c r="I37" s="187" t="str">
        <f t="shared" si="1"/>
        <v/>
      </c>
    </row>
    <row r="38" spans="2:9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4" t="str">
        <f>IFERROR('ISO · Reg. Notas'!P38,"")</f>
        <v/>
      </c>
      <c r="G38" s="185" t="str">
        <f>IFERROR('ISO · Reg. Notas'!Q38,"")</f>
        <v/>
      </c>
      <c r="H38" s="186" t="str">
        <f t="shared" si="0"/>
        <v/>
      </c>
      <c r="I38" s="188" t="str">
        <f t="shared" si="1"/>
        <v/>
      </c>
    </row>
    <row r="39" spans="2:9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4" t="str">
        <f>IFERROR('ISO · Reg. Notas'!P39,"")</f>
        <v/>
      </c>
      <c r="G39" s="185" t="str">
        <f>IFERROR('ISO · Reg. Notas'!Q39,"")</f>
        <v/>
      </c>
      <c r="H39" s="186" t="str">
        <f t="shared" si="0"/>
        <v/>
      </c>
      <c r="I39" s="187" t="str">
        <f t="shared" si="1"/>
        <v/>
      </c>
    </row>
    <row r="40" spans="2:9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4" t="str">
        <f>IFERROR('ISO · Reg. Notas'!P40,"")</f>
        <v/>
      </c>
      <c r="G40" s="185" t="str">
        <f>IFERROR('ISO · Reg. Notas'!Q40,"")</f>
        <v/>
      </c>
      <c r="H40" s="186" t="str">
        <f t="shared" si="0"/>
        <v/>
      </c>
      <c r="I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414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415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3" t="s">
        <v>416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89" t="s">
        <v>417</v>
      </c>
      <c r="H8" s="190" t="s">
        <v>418</v>
      </c>
      <c r="I8" s="191" t="s">
        <v>419</v>
      </c>
    </row>
    <row r="10" spans="1:29" ht="36" customHeight="1" x14ac:dyDescent="0.2">
      <c r="B10" s="158" t="s">
        <v>352</v>
      </c>
      <c r="C10" s="158" t="s">
        <v>391</v>
      </c>
      <c r="D10" s="192" t="s">
        <v>420</v>
      </c>
      <c r="E10" s="192" t="s">
        <v>421</v>
      </c>
      <c r="F10" s="192" t="s">
        <v>422</v>
      </c>
      <c r="G10" s="192" t="s">
        <v>423</v>
      </c>
      <c r="H10" s="193" t="s">
        <v>424</v>
      </c>
      <c r="I10" s="172" t="s">
        <v>425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3"/>
      <c r="G11" s="194" t="str">
        <f>IFERROR('ISO · Reg. Notas'!R11,"")</f>
        <v/>
      </c>
      <c r="H11" s="195" t="str">
        <f>IFERROR('ISO · Reg. Notas'!S11,"")</f>
        <v/>
      </c>
      <c r="I11" s="196" t="str">
        <f>IFERROR('ISO · Reg. Notas'!T11,"")</f>
        <v/>
      </c>
      <c r="J11" s="186" t="str">
        <f t="shared" ref="J11:J40" si="0">IFERROR(ROUND(G11*0.236842+H11*0.421053+I11*0.342105,2),"")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3"/>
      <c r="G12" s="194" t="str">
        <f>IFERROR('ISO · Reg. Notas'!R12,"")</f>
        <v/>
      </c>
      <c r="H12" s="195" t="str">
        <f>IFERROR('ISO · Reg. Notas'!S12,"")</f>
        <v/>
      </c>
      <c r="I12" s="196" t="str">
        <f>IFERROR('ISO · Reg. Notas'!T12,"")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3"/>
      <c r="G13" s="194" t="str">
        <f>IFERROR('ISO · Reg. Notas'!R13,"")</f>
        <v/>
      </c>
      <c r="H13" s="195" t="str">
        <f>IFERROR('ISO · Reg. Notas'!S13,"")</f>
        <v/>
      </c>
      <c r="I13" s="196" t="str">
        <f>IFERROR('ISO · Reg. Notas'!T13,"")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3"/>
      <c r="G14" s="194" t="str">
        <f>IFERROR('ISO · Reg. Notas'!R14,"")</f>
        <v/>
      </c>
      <c r="H14" s="195" t="str">
        <f>IFERROR('ISO · Reg. Notas'!S14,"")</f>
        <v/>
      </c>
      <c r="I14" s="196" t="str">
        <f>IFERROR('ISO · Reg. Notas'!T14,"")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3"/>
      <c r="G15" s="194" t="str">
        <f>IFERROR('ISO · Reg. Notas'!R15,"")</f>
        <v/>
      </c>
      <c r="H15" s="195" t="str">
        <f>IFERROR('ISO · Reg. Notas'!S15,"")</f>
        <v/>
      </c>
      <c r="I15" s="196" t="str">
        <f>IFERROR('ISO · Reg. Notas'!T15,"")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3"/>
      <c r="G16" s="194" t="str">
        <f>IFERROR('ISO · Reg. Notas'!R16,"")</f>
        <v/>
      </c>
      <c r="H16" s="195" t="str">
        <f>IFERROR('ISO · Reg. Notas'!S16,"")</f>
        <v/>
      </c>
      <c r="I16" s="196" t="str">
        <f>IFERROR('ISO · Reg. Notas'!T16,"")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3"/>
      <c r="G17" s="194" t="str">
        <f>IFERROR('ISO · Reg. Notas'!R17,"")</f>
        <v/>
      </c>
      <c r="H17" s="195" t="str">
        <f>IFERROR('ISO · Reg. Notas'!S17,"")</f>
        <v/>
      </c>
      <c r="I17" s="196" t="str">
        <f>IFERROR('ISO · Reg. Notas'!T17,"")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3"/>
      <c r="G18" s="194" t="str">
        <f>IFERROR('ISO · Reg. Notas'!R18,"")</f>
        <v/>
      </c>
      <c r="H18" s="195" t="str">
        <f>IFERROR('ISO · Reg. Notas'!S18,"")</f>
        <v/>
      </c>
      <c r="I18" s="196" t="str">
        <f>IFERROR('ISO · Reg. Notas'!T18,"")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3"/>
      <c r="G19" s="194" t="str">
        <f>IFERROR('ISO · Reg. Notas'!R19,"")</f>
        <v/>
      </c>
      <c r="H19" s="195" t="str">
        <f>IFERROR('ISO · Reg. Notas'!S19,"")</f>
        <v/>
      </c>
      <c r="I19" s="196" t="str">
        <f>IFERROR('ISO · Reg. Notas'!T19,"")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3"/>
      <c r="G20" s="194" t="str">
        <f>IFERROR('ISO · Reg. Notas'!R20,"")</f>
        <v/>
      </c>
      <c r="H20" s="195" t="str">
        <f>IFERROR('ISO · Reg. Notas'!S20,"")</f>
        <v/>
      </c>
      <c r="I20" s="196" t="str">
        <f>IFERROR('ISO · Reg. Notas'!T20,"")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3"/>
      <c r="G21" s="194" t="str">
        <f>IFERROR('ISO · Reg. Notas'!R21,"")</f>
        <v/>
      </c>
      <c r="H21" s="195" t="str">
        <f>IFERROR('ISO · Reg. Notas'!S21,"")</f>
        <v/>
      </c>
      <c r="I21" s="196" t="str">
        <f>IFERROR('ISO · Reg. Notas'!T21,"")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3"/>
      <c r="G22" s="194" t="str">
        <f>IFERROR('ISO · Reg. Notas'!R22,"")</f>
        <v/>
      </c>
      <c r="H22" s="195" t="str">
        <f>IFERROR('ISO · Reg. Notas'!S22,"")</f>
        <v/>
      </c>
      <c r="I22" s="196" t="str">
        <f>IFERROR('ISO · Reg. Notas'!T22,"")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3"/>
      <c r="G23" s="194" t="str">
        <f>IFERROR('ISO · Reg. Notas'!R23,"")</f>
        <v/>
      </c>
      <c r="H23" s="195" t="str">
        <f>IFERROR('ISO · Reg. Notas'!S23,"")</f>
        <v/>
      </c>
      <c r="I23" s="196" t="str">
        <f>IFERROR('ISO · Reg. Notas'!T23,"")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3"/>
      <c r="G24" s="194" t="str">
        <f>IFERROR('ISO · Reg. Notas'!R24,"")</f>
        <v/>
      </c>
      <c r="H24" s="195" t="str">
        <f>IFERROR('ISO · Reg. Notas'!S24,"")</f>
        <v/>
      </c>
      <c r="I24" s="196" t="str">
        <f>IFERROR('ISO · Reg. Notas'!T24,"")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3"/>
      <c r="G25" s="194" t="str">
        <f>IFERROR('ISO · Reg. Notas'!R25,"")</f>
        <v/>
      </c>
      <c r="H25" s="195" t="str">
        <f>IFERROR('ISO · Reg. Notas'!S25,"")</f>
        <v/>
      </c>
      <c r="I25" s="196" t="str">
        <f>IFERROR('ISO · Reg. Notas'!T25,"")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3"/>
      <c r="G26" s="194" t="str">
        <f>IFERROR('ISO · Reg. Notas'!R26,"")</f>
        <v/>
      </c>
      <c r="H26" s="195" t="str">
        <f>IFERROR('ISO · Reg. Notas'!S26,"")</f>
        <v/>
      </c>
      <c r="I26" s="196" t="str">
        <f>IFERROR('ISO · Reg. Notas'!T26,"")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3"/>
      <c r="G27" s="194" t="str">
        <f>IFERROR('ISO · Reg. Notas'!R27,"")</f>
        <v/>
      </c>
      <c r="H27" s="195" t="str">
        <f>IFERROR('ISO · Reg. Notas'!S27,"")</f>
        <v/>
      </c>
      <c r="I27" s="196" t="str">
        <f>IFERROR('ISO · Reg. Notas'!T27,"")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3"/>
      <c r="G28" s="194" t="str">
        <f>IFERROR('ISO · Reg. Notas'!R28,"")</f>
        <v/>
      </c>
      <c r="H28" s="195" t="str">
        <f>IFERROR('ISO · Reg. Notas'!S28,"")</f>
        <v/>
      </c>
      <c r="I28" s="196" t="str">
        <f>IFERROR('ISO · Reg. Notas'!T28,"")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3"/>
      <c r="G29" s="194" t="str">
        <f>IFERROR('ISO · Reg. Notas'!R29,"")</f>
        <v/>
      </c>
      <c r="H29" s="195" t="str">
        <f>IFERROR('ISO · Reg. Notas'!S29,"")</f>
        <v/>
      </c>
      <c r="I29" s="196" t="str">
        <f>IFERROR('ISO · Reg. Notas'!T29,"")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3"/>
      <c r="G30" s="194" t="str">
        <f>IFERROR('ISO · Reg. Notas'!R30,"")</f>
        <v/>
      </c>
      <c r="H30" s="195" t="str">
        <f>IFERROR('ISO · Reg. Notas'!S30,"")</f>
        <v/>
      </c>
      <c r="I30" s="196" t="str">
        <f>IFERROR('ISO · Reg. Notas'!T30,"")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3"/>
      <c r="G31" s="194" t="str">
        <f>IFERROR('ISO · Reg. Notas'!R31,"")</f>
        <v/>
      </c>
      <c r="H31" s="195" t="str">
        <f>IFERROR('ISO · Reg. Notas'!S31,"")</f>
        <v/>
      </c>
      <c r="I31" s="196" t="str">
        <f>IFERROR('ISO · Reg. Notas'!T31,"")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3"/>
      <c r="G32" s="194" t="str">
        <f>IFERROR('ISO · Reg. Notas'!R32,"")</f>
        <v/>
      </c>
      <c r="H32" s="195" t="str">
        <f>IFERROR('ISO · Reg. Notas'!S32,"")</f>
        <v/>
      </c>
      <c r="I32" s="196" t="str">
        <f>IFERROR('ISO · Reg. Notas'!T32,"")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3"/>
      <c r="G33" s="194" t="str">
        <f>IFERROR('ISO · Reg. Notas'!R33,"")</f>
        <v/>
      </c>
      <c r="H33" s="195" t="str">
        <f>IFERROR('ISO · Reg. Notas'!S33,"")</f>
        <v/>
      </c>
      <c r="I33" s="196" t="str">
        <f>IFERROR('ISO · Reg. Notas'!T33,"")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3"/>
      <c r="G34" s="194" t="str">
        <f>IFERROR('ISO · Reg. Notas'!R34,"")</f>
        <v/>
      </c>
      <c r="H34" s="195" t="str">
        <f>IFERROR('ISO · Reg. Notas'!S34,"")</f>
        <v/>
      </c>
      <c r="I34" s="196" t="str">
        <f>IFERROR('ISO · Reg. Notas'!T34,"")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3"/>
      <c r="G35" s="194" t="str">
        <f>IFERROR('ISO · Reg. Notas'!R35,"")</f>
        <v/>
      </c>
      <c r="H35" s="195" t="str">
        <f>IFERROR('ISO · Reg. Notas'!S35,"")</f>
        <v/>
      </c>
      <c r="I35" s="196" t="str">
        <f>IFERROR('ISO · Reg. Notas'!T35,"")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3"/>
      <c r="G36" s="194" t="str">
        <f>IFERROR('ISO · Reg. Notas'!R36,"")</f>
        <v/>
      </c>
      <c r="H36" s="195" t="str">
        <f>IFERROR('ISO · Reg. Notas'!S36,"")</f>
        <v/>
      </c>
      <c r="I36" s="196" t="str">
        <f>IFERROR('ISO · Reg. Notas'!T36,"")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3"/>
      <c r="G37" s="194" t="str">
        <f>IFERROR('ISO · Reg. Notas'!R37,"")</f>
        <v/>
      </c>
      <c r="H37" s="195" t="str">
        <f>IFERROR('ISO · Reg. Notas'!S37,"")</f>
        <v/>
      </c>
      <c r="I37" s="196" t="str">
        <f>IFERROR('ISO · Reg. Notas'!T37,"")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3"/>
      <c r="G38" s="194" t="str">
        <f>IFERROR('ISO · Reg. Notas'!R38,"")</f>
        <v/>
      </c>
      <c r="H38" s="195" t="str">
        <f>IFERROR('ISO · Reg. Notas'!S38,"")</f>
        <v/>
      </c>
      <c r="I38" s="196" t="str">
        <f>IFERROR('ISO · Reg. Notas'!T38,"")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3"/>
      <c r="G39" s="194" t="str">
        <f>IFERROR('ISO · Reg. Notas'!R39,"")</f>
        <v/>
      </c>
      <c r="H39" s="195" t="str">
        <f>IFERROR('ISO · Reg. Notas'!S39,"")</f>
        <v/>
      </c>
      <c r="I39" s="196" t="str">
        <f>IFERROR('ISO · Reg. Notas'!T39,"")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3"/>
      <c r="G40" s="194" t="str">
        <f>IFERROR('ISO · Reg. Notas'!R40,"")</f>
        <v/>
      </c>
      <c r="H40" s="195" t="str">
        <f>IFERROR('ISO · Reg. Notas'!S40,"")</f>
        <v/>
      </c>
      <c r="I40" s="196" t="str">
        <f>IFERROR('ISO · Reg. Notas'!T40,"")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426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427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3" t="s">
        <v>428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97" t="s">
        <v>429</v>
      </c>
      <c r="H8" s="198" t="s">
        <v>430</v>
      </c>
      <c r="I8" s="199" t="s">
        <v>431</v>
      </c>
    </row>
    <row r="10" spans="1:29" ht="36" customHeight="1" x14ac:dyDescent="0.2">
      <c r="B10" s="158" t="s">
        <v>352</v>
      </c>
      <c r="C10" s="158" t="s">
        <v>391</v>
      </c>
      <c r="D10" s="89" t="s">
        <v>432</v>
      </c>
      <c r="E10" s="89" t="s">
        <v>433</v>
      </c>
      <c r="F10" s="89" t="s">
        <v>434</v>
      </c>
      <c r="G10" s="88" t="s">
        <v>435</v>
      </c>
      <c r="H10" s="35" t="s">
        <v>436</v>
      </c>
      <c r="I10" s="200" t="s">
        <v>437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IFERROR('ISO · Alumnos'!C10&amp;IF('ISO · Alumnos'!D10&lt;&gt;"",", "&amp;'ISO · Alumnos'!D10,""),"")</f>
        <v/>
      </c>
      <c r="D11" s="183"/>
      <c r="E11" s="183"/>
      <c r="F11" s="183"/>
      <c r="G11" s="201" t="str">
        <f>IFERROR('ISO · Reg. Notas'!U11,"")</f>
        <v/>
      </c>
      <c r="H11" s="194" t="str">
        <f>IFERROR('ISO · Reg. Notas'!V11,"")</f>
        <v/>
      </c>
      <c r="I11" s="202" t="str">
        <f>IFERROR('ISO · Reg. Notas'!W11,"")</f>
        <v/>
      </c>
      <c r="J11" s="186" t="str">
        <f t="shared" ref="J11:J40" si="0">IFERROR(ROUND(G11*0.4+H11*0.433333+I11*0.166667,2),"")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IFERROR('ISO · Alumnos'!C11&amp;IF('ISO · Alumnos'!D11&lt;&gt;"",", "&amp;'ISO · Alumnos'!D11,""),"")</f>
        <v/>
      </c>
      <c r="D12" s="183"/>
      <c r="E12" s="183"/>
      <c r="F12" s="183"/>
      <c r="G12" s="201" t="str">
        <f>IFERROR('ISO · Reg. Notas'!U12,"")</f>
        <v/>
      </c>
      <c r="H12" s="194" t="str">
        <f>IFERROR('ISO · Reg. Notas'!V12,"")</f>
        <v/>
      </c>
      <c r="I12" s="202" t="str">
        <f>IFERROR('ISO · Reg. Notas'!W12,"")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IFERROR('ISO · Alumnos'!C12&amp;IF('ISO · Alumnos'!D12&lt;&gt;"",", "&amp;'ISO · Alumnos'!D12,""),"")</f>
        <v/>
      </c>
      <c r="D13" s="183"/>
      <c r="E13" s="183"/>
      <c r="F13" s="183"/>
      <c r="G13" s="201" t="str">
        <f>IFERROR('ISO · Reg. Notas'!U13,"")</f>
        <v/>
      </c>
      <c r="H13" s="194" t="str">
        <f>IFERROR('ISO · Reg. Notas'!V13,"")</f>
        <v/>
      </c>
      <c r="I13" s="202" t="str">
        <f>IFERROR('ISO · Reg. Notas'!W13,"")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IFERROR('ISO · Alumnos'!C13&amp;IF('ISO · Alumnos'!D13&lt;&gt;"",", "&amp;'ISO · Alumnos'!D13,""),"")</f>
        <v/>
      </c>
      <c r="D14" s="183"/>
      <c r="E14" s="183"/>
      <c r="F14" s="183"/>
      <c r="G14" s="201" t="str">
        <f>IFERROR('ISO · Reg. Notas'!U14,"")</f>
        <v/>
      </c>
      <c r="H14" s="194" t="str">
        <f>IFERROR('ISO · Reg. Notas'!V14,"")</f>
        <v/>
      </c>
      <c r="I14" s="202" t="str">
        <f>IFERROR('ISO · Reg. Notas'!W14,"")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IFERROR('ISO · Alumnos'!C14&amp;IF('ISO · Alumnos'!D14&lt;&gt;"",", "&amp;'ISO · Alumnos'!D14,""),"")</f>
        <v/>
      </c>
      <c r="D15" s="183"/>
      <c r="E15" s="183"/>
      <c r="F15" s="183"/>
      <c r="G15" s="201" t="str">
        <f>IFERROR('ISO · Reg. Notas'!U15,"")</f>
        <v/>
      </c>
      <c r="H15" s="194" t="str">
        <f>IFERROR('ISO · Reg. Notas'!V15,"")</f>
        <v/>
      </c>
      <c r="I15" s="202" t="str">
        <f>IFERROR('ISO · Reg. Notas'!W15,"")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IFERROR('ISO · Alumnos'!C15&amp;IF('ISO · Alumnos'!D15&lt;&gt;"",", "&amp;'ISO · Alumnos'!D15,""),"")</f>
        <v/>
      </c>
      <c r="D16" s="183"/>
      <c r="E16" s="183"/>
      <c r="F16" s="183"/>
      <c r="G16" s="201" t="str">
        <f>IFERROR('ISO · Reg. Notas'!U16,"")</f>
        <v/>
      </c>
      <c r="H16" s="194" t="str">
        <f>IFERROR('ISO · Reg. Notas'!V16,"")</f>
        <v/>
      </c>
      <c r="I16" s="202" t="str">
        <f>IFERROR('ISO · Reg. Notas'!W16,"")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IFERROR('ISO · Alumnos'!C16&amp;IF('ISO · Alumnos'!D16&lt;&gt;"",", "&amp;'ISO · Alumnos'!D16,""),"")</f>
        <v/>
      </c>
      <c r="D17" s="183"/>
      <c r="E17" s="183"/>
      <c r="F17" s="183"/>
      <c r="G17" s="201" t="str">
        <f>IFERROR('ISO · Reg. Notas'!U17,"")</f>
        <v/>
      </c>
      <c r="H17" s="194" t="str">
        <f>IFERROR('ISO · Reg. Notas'!V17,"")</f>
        <v/>
      </c>
      <c r="I17" s="202" t="str">
        <f>IFERROR('ISO · Reg. Notas'!W17,"")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IFERROR('ISO · Alumnos'!C17&amp;IF('ISO · Alumnos'!D17&lt;&gt;"",", "&amp;'ISO · Alumnos'!D17,""),"")</f>
        <v/>
      </c>
      <c r="D18" s="183"/>
      <c r="E18" s="183"/>
      <c r="F18" s="183"/>
      <c r="G18" s="201" t="str">
        <f>IFERROR('ISO · Reg. Notas'!U18,"")</f>
        <v/>
      </c>
      <c r="H18" s="194" t="str">
        <f>IFERROR('ISO · Reg. Notas'!V18,"")</f>
        <v/>
      </c>
      <c r="I18" s="202" t="str">
        <f>IFERROR('ISO · Reg. Notas'!W18,"")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IFERROR('ISO · Alumnos'!C18&amp;IF('ISO · Alumnos'!D18&lt;&gt;"",", "&amp;'ISO · Alumnos'!D18,""),"")</f>
        <v/>
      </c>
      <c r="D19" s="183"/>
      <c r="E19" s="183"/>
      <c r="F19" s="183"/>
      <c r="G19" s="201" t="str">
        <f>IFERROR('ISO · Reg. Notas'!U19,"")</f>
        <v/>
      </c>
      <c r="H19" s="194" t="str">
        <f>IFERROR('ISO · Reg. Notas'!V19,"")</f>
        <v/>
      </c>
      <c r="I19" s="202" t="str">
        <f>IFERROR('ISO · Reg. Notas'!W19,"")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IFERROR('ISO · Alumnos'!C19&amp;IF('ISO · Alumnos'!D19&lt;&gt;"",", "&amp;'ISO · Alumnos'!D19,""),"")</f>
        <v/>
      </c>
      <c r="D20" s="183"/>
      <c r="E20" s="183"/>
      <c r="F20" s="183"/>
      <c r="G20" s="201" t="str">
        <f>IFERROR('ISO · Reg. Notas'!U20,"")</f>
        <v/>
      </c>
      <c r="H20" s="194" t="str">
        <f>IFERROR('ISO · Reg. Notas'!V20,"")</f>
        <v/>
      </c>
      <c r="I20" s="202" t="str">
        <f>IFERROR('ISO · Reg. Notas'!W20,"")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IFERROR('ISO · Alumnos'!C20&amp;IF('ISO · Alumnos'!D20&lt;&gt;"",", "&amp;'ISO · Alumnos'!D20,""),"")</f>
        <v/>
      </c>
      <c r="D21" s="183"/>
      <c r="E21" s="183"/>
      <c r="F21" s="183"/>
      <c r="G21" s="201" t="str">
        <f>IFERROR('ISO · Reg. Notas'!U21,"")</f>
        <v/>
      </c>
      <c r="H21" s="194" t="str">
        <f>IFERROR('ISO · Reg. Notas'!V21,"")</f>
        <v/>
      </c>
      <c r="I21" s="202" t="str">
        <f>IFERROR('ISO · Reg. Notas'!W21,"")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IFERROR('ISO · Alumnos'!C21&amp;IF('ISO · Alumnos'!D21&lt;&gt;"",", "&amp;'ISO · Alumnos'!D21,""),"")</f>
        <v/>
      </c>
      <c r="D22" s="183"/>
      <c r="E22" s="183"/>
      <c r="F22" s="183"/>
      <c r="G22" s="201" t="str">
        <f>IFERROR('ISO · Reg. Notas'!U22,"")</f>
        <v/>
      </c>
      <c r="H22" s="194" t="str">
        <f>IFERROR('ISO · Reg. Notas'!V22,"")</f>
        <v/>
      </c>
      <c r="I22" s="202" t="str">
        <f>IFERROR('ISO · Reg. Notas'!W22,"")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IFERROR('ISO · Alumnos'!C22&amp;IF('ISO · Alumnos'!D22&lt;&gt;"",", "&amp;'ISO · Alumnos'!D22,""),"")</f>
        <v/>
      </c>
      <c r="D23" s="183"/>
      <c r="E23" s="183"/>
      <c r="F23" s="183"/>
      <c r="G23" s="201" t="str">
        <f>IFERROR('ISO · Reg. Notas'!U23,"")</f>
        <v/>
      </c>
      <c r="H23" s="194" t="str">
        <f>IFERROR('ISO · Reg. Notas'!V23,"")</f>
        <v/>
      </c>
      <c r="I23" s="202" t="str">
        <f>IFERROR('ISO · Reg. Notas'!W23,"")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IFERROR('ISO · Alumnos'!C23&amp;IF('ISO · Alumnos'!D23&lt;&gt;"",", "&amp;'ISO · Alumnos'!D23,""),"")</f>
        <v/>
      </c>
      <c r="D24" s="183"/>
      <c r="E24" s="183"/>
      <c r="F24" s="183"/>
      <c r="G24" s="201" t="str">
        <f>IFERROR('ISO · Reg. Notas'!U24,"")</f>
        <v/>
      </c>
      <c r="H24" s="194" t="str">
        <f>IFERROR('ISO · Reg. Notas'!V24,"")</f>
        <v/>
      </c>
      <c r="I24" s="202" t="str">
        <f>IFERROR('ISO · Reg. Notas'!W24,"")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IFERROR('ISO · Alumnos'!C24&amp;IF('ISO · Alumnos'!D24&lt;&gt;"",", "&amp;'ISO · Alumnos'!D24,""),"")</f>
        <v/>
      </c>
      <c r="D25" s="183"/>
      <c r="E25" s="183"/>
      <c r="F25" s="183"/>
      <c r="G25" s="201" t="str">
        <f>IFERROR('ISO · Reg. Notas'!U25,"")</f>
        <v/>
      </c>
      <c r="H25" s="194" t="str">
        <f>IFERROR('ISO · Reg. Notas'!V25,"")</f>
        <v/>
      </c>
      <c r="I25" s="202" t="str">
        <f>IFERROR('ISO · Reg. Notas'!W25,"")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IFERROR('ISO · Alumnos'!C25&amp;IF('ISO · Alumnos'!D25&lt;&gt;"",", "&amp;'ISO · Alumnos'!D25,""),"")</f>
        <v/>
      </c>
      <c r="D26" s="183"/>
      <c r="E26" s="183"/>
      <c r="F26" s="183"/>
      <c r="G26" s="201" t="str">
        <f>IFERROR('ISO · Reg. Notas'!U26,"")</f>
        <v/>
      </c>
      <c r="H26" s="194" t="str">
        <f>IFERROR('ISO · Reg. Notas'!V26,"")</f>
        <v/>
      </c>
      <c r="I26" s="202" t="str">
        <f>IFERROR('ISO · Reg. Notas'!W26,"")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IFERROR('ISO · Alumnos'!C26&amp;IF('ISO · Alumnos'!D26&lt;&gt;"",", "&amp;'ISO · Alumnos'!D26,""),"")</f>
        <v/>
      </c>
      <c r="D27" s="183"/>
      <c r="E27" s="183"/>
      <c r="F27" s="183"/>
      <c r="G27" s="201" t="str">
        <f>IFERROR('ISO · Reg. Notas'!U27,"")</f>
        <v/>
      </c>
      <c r="H27" s="194" t="str">
        <f>IFERROR('ISO · Reg. Notas'!V27,"")</f>
        <v/>
      </c>
      <c r="I27" s="202" t="str">
        <f>IFERROR('ISO · Reg. Notas'!W27,"")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IFERROR('ISO · Alumnos'!C27&amp;IF('ISO · Alumnos'!D27&lt;&gt;"",", "&amp;'ISO · Alumnos'!D27,""),"")</f>
        <v/>
      </c>
      <c r="D28" s="183"/>
      <c r="E28" s="183"/>
      <c r="F28" s="183"/>
      <c r="G28" s="201" t="str">
        <f>IFERROR('ISO · Reg. Notas'!U28,"")</f>
        <v/>
      </c>
      <c r="H28" s="194" t="str">
        <f>IFERROR('ISO · Reg. Notas'!V28,"")</f>
        <v/>
      </c>
      <c r="I28" s="202" t="str">
        <f>IFERROR('ISO · Reg. Notas'!W28,"")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IFERROR('ISO · Alumnos'!C28&amp;IF('ISO · Alumnos'!D28&lt;&gt;"",", "&amp;'ISO · Alumnos'!D28,""),"")</f>
        <v/>
      </c>
      <c r="D29" s="183"/>
      <c r="E29" s="183"/>
      <c r="F29" s="183"/>
      <c r="G29" s="201" t="str">
        <f>IFERROR('ISO · Reg. Notas'!U29,"")</f>
        <v/>
      </c>
      <c r="H29" s="194" t="str">
        <f>IFERROR('ISO · Reg. Notas'!V29,"")</f>
        <v/>
      </c>
      <c r="I29" s="202" t="str">
        <f>IFERROR('ISO · Reg. Notas'!W29,"")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IFERROR('ISO · Alumnos'!C29&amp;IF('ISO · Alumnos'!D29&lt;&gt;"",", "&amp;'ISO · Alumnos'!D29,""),"")</f>
        <v/>
      </c>
      <c r="D30" s="183"/>
      <c r="E30" s="183"/>
      <c r="F30" s="183"/>
      <c r="G30" s="201" t="str">
        <f>IFERROR('ISO · Reg. Notas'!U30,"")</f>
        <v/>
      </c>
      <c r="H30" s="194" t="str">
        <f>IFERROR('ISO · Reg. Notas'!V30,"")</f>
        <v/>
      </c>
      <c r="I30" s="202" t="str">
        <f>IFERROR('ISO · Reg. Notas'!W30,"")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IFERROR('ISO · Alumnos'!C30&amp;IF('ISO · Alumnos'!D30&lt;&gt;"",", "&amp;'ISO · Alumnos'!D30,""),"")</f>
        <v/>
      </c>
      <c r="D31" s="183"/>
      <c r="E31" s="183"/>
      <c r="F31" s="183"/>
      <c r="G31" s="201" t="str">
        <f>IFERROR('ISO · Reg. Notas'!U31,"")</f>
        <v/>
      </c>
      <c r="H31" s="194" t="str">
        <f>IFERROR('ISO · Reg. Notas'!V31,"")</f>
        <v/>
      </c>
      <c r="I31" s="202" t="str">
        <f>IFERROR('ISO · Reg. Notas'!W31,"")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IFERROR('ISO · Alumnos'!C31&amp;IF('ISO · Alumnos'!D31&lt;&gt;"",", "&amp;'ISO · Alumnos'!D31,""),"")</f>
        <v/>
      </c>
      <c r="D32" s="183"/>
      <c r="E32" s="183"/>
      <c r="F32" s="183"/>
      <c r="G32" s="201" t="str">
        <f>IFERROR('ISO · Reg. Notas'!U32,"")</f>
        <v/>
      </c>
      <c r="H32" s="194" t="str">
        <f>IFERROR('ISO · Reg. Notas'!V32,"")</f>
        <v/>
      </c>
      <c r="I32" s="202" t="str">
        <f>IFERROR('ISO · Reg. Notas'!W32,"")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IFERROR('ISO · Alumnos'!C32&amp;IF('ISO · Alumnos'!D32&lt;&gt;"",", "&amp;'ISO · Alumnos'!D32,""),"")</f>
        <v/>
      </c>
      <c r="D33" s="183"/>
      <c r="E33" s="183"/>
      <c r="F33" s="183"/>
      <c r="G33" s="201" t="str">
        <f>IFERROR('ISO · Reg. Notas'!U33,"")</f>
        <v/>
      </c>
      <c r="H33" s="194" t="str">
        <f>IFERROR('ISO · Reg. Notas'!V33,"")</f>
        <v/>
      </c>
      <c r="I33" s="202" t="str">
        <f>IFERROR('ISO · Reg. Notas'!W33,"")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IFERROR('ISO · Alumnos'!C33&amp;IF('ISO · Alumnos'!D33&lt;&gt;"",", "&amp;'ISO · Alumnos'!D33,""),"")</f>
        <v/>
      </c>
      <c r="D34" s="183"/>
      <c r="E34" s="183"/>
      <c r="F34" s="183"/>
      <c r="G34" s="201" t="str">
        <f>IFERROR('ISO · Reg. Notas'!U34,"")</f>
        <v/>
      </c>
      <c r="H34" s="194" t="str">
        <f>IFERROR('ISO · Reg. Notas'!V34,"")</f>
        <v/>
      </c>
      <c r="I34" s="202" t="str">
        <f>IFERROR('ISO · Reg. Notas'!W34,"")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IFERROR('ISO · Alumnos'!C34&amp;IF('ISO · Alumnos'!D34&lt;&gt;"",", "&amp;'ISO · Alumnos'!D34,""),"")</f>
        <v/>
      </c>
      <c r="D35" s="183"/>
      <c r="E35" s="183"/>
      <c r="F35" s="183"/>
      <c r="G35" s="201" t="str">
        <f>IFERROR('ISO · Reg. Notas'!U35,"")</f>
        <v/>
      </c>
      <c r="H35" s="194" t="str">
        <f>IFERROR('ISO · Reg. Notas'!V35,"")</f>
        <v/>
      </c>
      <c r="I35" s="202" t="str">
        <f>IFERROR('ISO · Reg. Notas'!W35,"")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IFERROR('ISO · Alumnos'!C35&amp;IF('ISO · Alumnos'!D35&lt;&gt;"",", "&amp;'ISO · Alumnos'!D35,""),"")</f>
        <v/>
      </c>
      <c r="D36" s="183"/>
      <c r="E36" s="183"/>
      <c r="F36" s="183"/>
      <c r="G36" s="201" t="str">
        <f>IFERROR('ISO · Reg. Notas'!U36,"")</f>
        <v/>
      </c>
      <c r="H36" s="194" t="str">
        <f>IFERROR('ISO · Reg. Notas'!V36,"")</f>
        <v/>
      </c>
      <c r="I36" s="202" t="str">
        <f>IFERROR('ISO · Reg. Notas'!W36,"")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IFERROR('ISO · Alumnos'!C36&amp;IF('ISO · Alumnos'!D36&lt;&gt;"",", "&amp;'ISO · Alumnos'!D36,""),"")</f>
        <v/>
      </c>
      <c r="D37" s="183"/>
      <c r="E37" s="183"/>
      <c r="F37" s="183"/>
      <c r="G37" s="201" t="str">
        <f>IFERROR('ISO · Reg. Notas'!U37,"")</f>
        <v/>
      </c>
      <c r="H37" s="194" t="str">
        <f>IFERROR('ISO · Reg. Notas'!V37,"")</f>
        <v/>
      </c>
      <c r="I37" s="202" t="str">
        <f>IFERROR('ISO · Reg. Notas'!W37,"")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IFERROR('ISO · Alumnos'!C37&amp;IF('ISO · Alumnos'!D37&lt;&gt;"",", "&amp;'ISO · Alumnos'!D37,""),"")</f>
        <v/>
      </c>
      <c r="D38" s="183"/>
      <c r="E38" s="183"/>
      <c r="F38" s="183"/>
      <c r="G38" s="201" t="str">
        <f>IFERROR('ISO · Reg. Notas'!U38,"")</f>
        <v/>
      </c>
      <c r="H38" s="194" t="str">
        <f>IFERROR('ISO · Reg. Notas'!V38,"")</f>
        <v/>
      </c>
      <c r="I38" s="202" t="str">
        <f>IFERROR('ISO · Reg. Notas'!W38,"")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IFERROR('ISO · Alumnos'!C38&amp;IF('ISO · Alumnos'!D38&lt;&gt;"",", "&amp;'ISO · Alumnos'!D38,""),"")</f>
        <v/>
      </c>
      <c r="D39" s="183"/>
      <c r="E39" s="183"/>
      <c r="F39" s="183"/>
      <c r="G39" s="201" t="str">
        <f>IFERROR('ISO · Reg. Notas'!U39,"")</f>
        <v/>
      </c>
      <c r="H39" s="194" t="str">
        <f>IFERROR('ISO · Reg. Notas'!V39,"")</f>
        <v/>
      </c>
      <c r="I39" s="202" t="str">
        <f>IFERROR('ISO · Reg. Notas'!W39,"")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IFERROR('ISO · Alumnos'!C39&amp;IF('ISO · Alumnos'!D39&lt;&gt;"",", "&amp;'ISO · Alumnos'!D39,""),"")</f>
        <v/>
      </c>
      <c r="D40" s="183"/>
      <c r="E40" s="183"/>
      <c r="F40" s="183"/>
      <c r="G40" s="201" t="str">
        <f>IFERROR('ISO · Reg. Notas'!U40,"")</f>
        <v/>
      </c>
      <c r="H40" s="194" t="str">
        <f>IFERROR('ISO · Reg. Notas'!V40,"")</f>
        <v/>
      </c>
      <c r="I40" s="202" t="str">
        <f>IFERROR('ISO · Reg. Notas'!W40,"")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2" customWidth="1"/>
    <col min="4" max="11" width="9" customWidth="1"/>
    <col min="12" max="13" width="12" customWidth="1"/>
    <col min="14" max="14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438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439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3" t="s">
        <v>440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03" t="s">
        <v>441</v>
      </c>
      <c r="D8" s="204" t="s">
        <v>166</v>
      </c>
      <c r="E8" s="204" t="s">
        <v>166</v>
      </c>
      <c r="F8" s="171" t="s">
        <v>175</v>
      </c>
      <c r="G8" s="171" t="s">
        <v>175</v>
      </c>
      <c r="H8" s="171" t="s">
        <v>175</v>
      </c>
      <c r="I8" s="205" t="s">
        <v>185</v>
      </c>
      <c r="J8" s="205" t="s">
        <v>185</v>
      </c>
      <c r="K8" s="205" t="s">
        <v>185</v>
      </c>
    </row>
    <row r="9" spans="1:29" ht="14" customHeight="1" x14ac:dyDescent="0.2">
      <c r="B9" s="206" t="s">
        <v>442</v>
      </c>
      <c r="D9" s="207" t="s">
        <v>28</v>
      </c>
      <c r="E9" s="208" t="s">
        <v>33</v>
      </c>
      <c r="F9" s="209" t="s">
        <v>38</v>
      </c>
      <c r="G9" s="210" t="s">
        <v>42</v>
      </c>
      <c r="H9" s="211" t="s">
        <v>28</v>
      </c>
      <c r="I9" s="212" t="s">
        <v>49</v>
      </c>
      <c r="J9" s="213" t="s">
        <v>28</v>
      </c>
      <c r="K9" s="214" t="s">
        <v>58</v>
      </c>
      <c r="L9" s="197" t="s">
        <v>443</v>
      </c>
    </row>
    <row r="10" spans="1:29" ht="36" customHeight="1" x14ac:dyDescent="0.2">
      <c r="B10" s="158" t="s">
        <v>352</v>
      </c>
      <c r="C10" s="158" t="s">
        <v>391</v>
      </c>
      <c r="D10" s="182" t="s">
        <v>444</v>
      </c>
      <c r="E10" s="89" t="s">
        <v>445</v>
      </c>
      <c r="F10" s="192" t="s">
        <v>446</v>
      </c>
      <c r="G10" s="193" t="s">
        <v>447</v>
      </c>
      <c r="H10" s="172" t="s">
        <v>448</v>
      </c>
      <c r="I10" s="88" t="s">
        <v>449</v>
      </c>
      <c r="J10" s="35" t="s">
        <v>450</v>
      </c>
      <c r="K10" s="200" t="s">
        <v>451</v>
      </c>
      <c r="L10" s="158" t="s">
        <v>452</v>
      </c>
      <c r="M10" s="158" t="s">
        <v>413</v>
      </c>
      <c r="N10" s="158" t="s">
        <v>358</v>
      </c>
    </row>
    <row r="11" spans="1:29" ht="20" customHeight="1" x14ac:dyDescent="0.2">
      <c r="B11" s="154">
        <v>1</v>
      </c>
      <c r="C11" s="174" t="str">
        <f>IFERROR('ISO · Alumnos'!C10&amp;IF('ISO · Alumnos'!D10&lt;&gt;"",", "&amp;'ISO · Alumnos'!D10,""),"")</f>
        <v/>
      </c>
      <c r="D11" s="184" t="str">
        <f>IFERROR('ISO · Reg. Notas'!P11,"")</f>
        <v/>
      </c>
      <c r="E11" s="185" t="str">
        <f>IFERROR('ISO · Reg. Notas'!Q11,"")</f>
        <v/>
      </c>
      <c r="F11" s="194" t="str">
        <f>IFERROR('ISO · Reg. Notas'!R11,"")</f>
        <v/>
      </c>
      <c r="G11" s="195" t="str">
        <f>IFERROR('ISO · Reg. Notas'!S11,"")</f>
        <v/>
      </c>
      <c r="H11" s="196" t="str">
        <f>IFERROR('ISO · Reg. Notas'!T11,"")</f>
        <v/>
      </c>
      <c r="I11" s="201" t="str">
        <f>IFERROR('ISO · Reg. Notas'!U11,"")</f>
        <v/>
      </c>
      <c r="J11" s="194" t="str">
        <f>IFERROR('ISO · Reg. Notas'!V11,"")</f>
        <v/>
      </c>
      <c r="K11" s="202" t="str">
        <f>IFERROR('ISO · Reg. Notas'!W11,"")</f>
        <v/>
      </c>
      <c r="L11" s="215" t="str">
        <f t="shared" ref="L11:L40" si="0">IFERROR(ROUND(D11*0.13+E11*0.19+F11*0.09+G11*0.16+H11*0.13+I11*0.12+J11*0.13+K11*0.05,2),"")</f>
        <v/>
      </c>
      <c r="M11" s="216" t="str">
        <f t="shared" ref="M11:M40" si="1">IF(L11="","",IF(L11&gt;=5,"APTO","NO APTO"))</f>
        <v/>
      </c>
      <c r="N11" s="72"/>
    </row>
    <row r="12" spans="1:29" ht="20" customHeight="1" x14ac:dyDescent="0.2">
      <c r="B12" s="154">
        <v>2</v>
      </c>
      <c r="C12" s="174" t="str">
        <f>IFERROR('ISO · Alumnos'!C11&amp;IF('ISO · Alumnos'!D11&lt;&gt;"",", "&amp;'ISO · Alumnos'!D11,""),"")</f>
        <v/>
      </c>
      <c r="D12" s="184" t="str">
        <f>IFERROR('ISO · Reg. Notas'!P12,"")</f>
        <v/>
      </c>
      <c r="E12" s="185" t="str">
        <f>IFERROR('ISO · Reg. Notas'!Q12,"")</f>
        <v/>
      </c>
      <c r="F12" s="194" t="str">
        <f>IFERROR('ISO · Reg. Notas'!R12,"")</f>
        <v/>
      </c>
      <c r="G12" s="195" t="str">
        <f>IFERROR('ISO · Reg. Notas'!S12,"")</f>
        <v/>
      </c>
      <c r="H12" s="196" t="str">
        <f>IFERROR('ISO · Reg. Notas'!T12,"")</f>
        <v/>
      </c>
      <c r="I12" s="201" t="str">
        <f>IFERROR('ISO · Reg. Notas'!U12,"")</f>
        <v/>
      </c>
      <c r="J12" s="194" t="str">
        <f>IFERROR('ISO · Reg. Notas'!V12,"")</f>
        <v/>
      </c>
      <c r="K12" s="202" t="str">
        <f>IFERROR('ISO · Reg. Notas'!W12,"")</f>
        <v/>
      </c>
      <c r="L12" s="215" t="str">
        <f t="shared" si="0"/>
        <v/>
      </c>
      <c r="M12" s="217" t="str">
        <f t="shared" si="1"/>
        <v/>
      </c>
      <c r="N12" s="71"/>
    </row>
    <row r="13" spans="1:29" ht="20" customHeight="1" x14ac:dyDescent="0.2">
      <c r="B13" s="154">
        <v>3</v>
      </c>
      <c r="C13" s="174" t="str">
        <f>IFERROR('ISO · Alumnos'!C12&amp;IF('ISO · Alumnos'!D12&lt;&gt;"",", "&amp;'ISO · Alumnos'!D12,""),"")</f>
        <v/>
      </c>
      <c r="D13" s="184" t="str">
        <f>IFERROR('ISO · Reg. Notas'!P13,"")</f>
        <v/>
      </c>
      <c r="E13" s="185" t="str">
        <f>IFERROR('ISO · Reg. Notas'!Q13,"")</f>
        <v/>
      </c>
      <c r="F13" s="194" t="str">
        <f>IFERROR('ISO · Reg. Notas'!R13,"")</f>
        <v/>
      </c>
      <c r="G13" s="195" t="str">
        <f>IFERROR('ISO · Reg. Notas'!S13,"")</f>
        <v/>
      </c>
      <c r="H13" s="196" t="str">
        <f>IFERROR('ISO · Reg. Notas'!T13,"")</f>
        <v/>
      </c>
      <c r="I13" s="201" t="str">
        <f>IFERROR('ISO · Reg. Notas'!U13,"")</f>
        <v/>
      </c>
      <c r="J13" s="194" t="str">
        <f>IFERROR('ISO · Reg. Notas'!V13,"")</f>
        <v/>
      </c>
      <c r="K13" s="202" t="str">
        <f>IFERROR('ISO · Reg. Notas'!W13,"")</f>
        <v/>
      </c>
      <c r="L13" s="215" t="str">
        <f t="shared" si="0"/>
        <v/>
      </c>
      <c r="M13" s="216" t="str">
        <f t="shared" si="1"/>
        <v/>
      </c>
      <c r="N13" s="72"/>
    </row>
    <row r="14" spans="1:29" ht="20" customHeight="1" x14ac:dyDescent="0.2">
      <c r="B14" s="154">
        <v>4</v>
      </c>
      <c r="C14" s="174" t="str">
        <f>IFERROR('ISO · Alumnos'!C13&amp;IF('ISO · Alumnos'!D13&lt;&gt;"",", "&amp;'ISO · Alumnos'!D13,""),"")</f>
        <v/>
      </c>
      <c r="D14" s="184" t="str">
        <f>IFERROR('ISO · Reg. Notas'!P14,"")</f>
        <v/>
      </c>
      <c r="E14" s="185" t="str">
        <f>IFERROR('ISO · Reg. Notas'!Q14,"")</f>
        <v/>
      </c>
      <c r="F14" s="194" t="str">
        <f>IFERROR('ISO · Reg. Notas'!R14,"")</f>
        <v/>
      </c>
      <c r="G14" s="195" t="str">
        <f>IFERROR('ISO · Reg. Notas'!S14,"")</f>
        <v/>
      </c>
      <c r="H14" s="196" t="str">
        <f>IFERROR('ISO · Reg. Notas'!T14,"")</f>
        <v/>
      </c>
      <c r="I14" s="201" t="str">
        <f>IFERROR('ISO · Reg. Notas'!U14,"")</f>
        <v/>
      </c>
      <c r="J14" s="194" t="str">
        <f>IFERROR('ISO · Reg. Notas'!V14,"")</f>
        <v/>
      </c>
      <c r="K14" s="202" t="str">
        <f>IFERROR('ISO · Reg. Notas'!W14,"")</f>
        <v/>
      </c>
      <c r="L14" s="215" t="str">
        <f t="shared" si="0"/>
        <v/>
      </c>
      <c r="M14" s="217" t="str">
        <f t="shared" si="1"/>
        <v/>
      </c>
      <c r="N14" s="71"/>
    </row>
    <row r="15" spans="1:29" ht="20" customHeight="1" x14ac:dyDescent="0.2">
      <c r="B15" s="154">
        <v>5</v>
      </c>
      <c r="C15" s="174" t="str">
        <f>IFERROR('ISO · Alumnos'!C14&amp;IF('ISO · Alumnos'!D14&lt;&gt;"",", "&amp;'ISO · Alumnos'!D14,""),"")</f>
        <v/>
      </c>
      <c r="D15" s="184" t="str">
        <f>IFERROR('ISO · Reg. Notas'!P15,"")</f>
        <v/>
      </c>
      <c r="E15" s="185" t="str">
        <f>IFERROR('ISO · Reg. Notas'!Q15,"")</f>
        <v/>
      </c>
      <c r="F15" s="194" t="str">
        <f>IFERROR('ISO · Reg. Notas'!R15,"")</f>
        <v/>
      </c>
      <c r="G15" s="195" t="str">
        <f>IFERROR('ISO · Reg. Notas'!S15,"")</f>
        <v/>
      </c>
      <c r="H15" s="196" t="str">
        <f>IFERROR('ISO · Reg. Notas'!T15,"")</f>
        <v/>
      </c>
      <c r="I15" s="201" t="str">
        <f>IFERROR('ISO · Reg. Notas'!U15,"")</f>
        <v/>
      </c>
      <c r="J15" s="194" t="str">
        <f>IFERROR('ISO · Reg. Notas'!V15,"")</f>
        <v/>
      </c>
      <c r="K15" s="202" t="str">
        <f>IFERROR('ISO · Reg. Notas'!W15,"")</f>
        <v/>
      </c>
      <c r="L15" s="215" t="str">
        <f t="shared" si="0"/>
        <v/>
      </c>
      <c r="M15" s="216" t="str">
        <f t="shared" si="1"/>
        <v/>
      </c>
      <c r="N15" s="72"/>
    </row>
    <row r="16" spans="1:29" ht="20" customHeight="1" x14ac:dyDescent="0.2">
      <c r="B16" s="154">
        <v>6</v>
      </c>
      <c r="C16" s="174" t="str">
        <f>IFERROR('ISO · Alumnos'!C15&amp;IF('ISO · Alumnos'!D15&lt;&gt;"",", "&amp;'ISO · Alumnos'!D15,""),"")</f>
        <v/>
      </c>
      <c r="D16" s="184" t="str">
        <f>IFERROR('ISO · Reg. Notas'!P16,"")</f>
        <v/>
      </c>
      <c r="E16" s="185" t="str">
        <f>IFERROR('ISO · Reg. Notas'!Q16,"")</f>
        <v/>
      </c>
      <c r="F16" s="194" t="str">
        <f>IFERROR('ISO · Reg. Notas'!R16,"")</f>
        <v/>
      </c>
      <c r="G16" s="195" t="str">
        <f>IFERROR('ISO · Reg. Notas'!S16,"")</f>
        <v/>
      </c>
      <c r="H16" s="196" t="str">
        <f>IFERROR('ISO · Reg. Notas'!T16,"")</f>
        <v/>
      </c>
      <c r="I16" s="201" t="str">
        <f>IFERROR('ISO · Reg. Notas'!U16,"")</f>
        <v/>
      </c>
      <c r="J16" s="194" t="str">
        <f>IFERROR('ISO · Reg. Notas'!V16,"")</f>
        <v/>
      </c>
      <c r="K16" s="202" t="str">
        <f>IFERROR('ISO · Reg. Notas'!W16,"")</f>
        <v/>
      </c>
      <c r="L16" s="215" t="str">
        <f t="shared" si="0"/>
        <v/>
      </c>
      <c r="M16" s="217" t="str">
        <f t="shared" si="1"/>
        <v/>
      </c>
      <c r="N16" s="71"/>
    </row>
    <row r="17" spans="2:14" ht="20" customHeight="1" x14ac:dyDescent="0.2">
      <c r="B17" s="154">
        <v>7</v>
      </c>
      <c r="C17" s="174" t="str">
        <f>IFERROR('ISO · Alumnos'!C16&amp;IF('ISO · Alumnos'!D16&lt;&gt;"",", "&amp;'ISO · Alumnos'!D16,""),"")</f>
        <v/>
      </c>
      <c r="D17" s="184" t="str">
        <f>IFERROR('ISO · Reg. Notas'!P17,"")</f>
        <v/>
      </c>
      <c r="E17" s="185" t="str">
        <f>IFERROR('ISO · Reg. Notas'!Q17,"")</f>
        <v/>
      </c>
      <c r="F17" s="194" t="str">
        <f>IFERROR('ISO · Reg. Notas'!R17,"")</f>
        <v/>
      </c>
      <c r="G17" s="195" t="str">
        <f>IFERROR('ISO · Reg. Notas'!S17,"")</f>
        <v/>
      </c>
      <c r="H17" s="196" t="str">
        <f>IFERROR('ISO · Reg. Notas'!T17,"")</f>
        <v/>
      </c>
      <c r="I17" s="201" t="str">
        <f>IFERROR('ISO · Reg. Notas'!U17,"")</f>
        <v/>
      </c>
      <c r="J17" s="194" t="str">
        <f>IFERROR('ISO · Reg. Notas'!V17,"")</f>
        <v/>
      </c>
      <c r="K17" s="202" t="str">
        <f>IFERROR('ISO · Reg. Notas'!W17,"")</f>
        <v/>
      </c>
      <c r="L17" s="215" t="str">
        <f t="shared" si="0"/>
        <v/>
      </c>
      <c r="M17" s="216" t="str">
        <f t="shared" si="1"/>
        <v/>
      </c>
      <c r="N17" s="72"/>
    </row>
    <row r="18" spans="2:14" ht="20" customHeight="1" x14ac:dyDescent="0.2">
      <c r="B18" s="154">
        <v>8</v>
      </c>
      <c r="C18" s="174" t="str">
        <f>IFERROR('ISO · Alumnos'!C17&amp;IF('ISO · Alumnos'!D17&lt;&gt;"",", "&amp;'ISO · Alumnos'!D17,""),"")</f>
        <v/>
      </c>
      <c r="D18" s="184" t="str">
        <f>IFERROR('ISO · Reg. Notas'!P18,"")</f>
        <v/>
      </c>
      <c r="E18" s="185" t="str">
        <f>IFERROR('ISO · Reg. Notas'!Q18,"")</f>
        <v/>
      </c>
      <c r="F18" s="194" t="str">
        <f>IFERROR('ISO · Reg. Notas'!R18,"")</f>
        <v/>
      </c>
      <c r="G18" s="195" t="str">
        <f>IFERROR('ISO · Reg. Notas'!S18,"")</f>
        <v/>
      </c>
      <c r="H18" s="196" t="str">
        <f>IFERROR('ISO · Reg. Notas'!T18,"")</f>
        <v/>
      </c>
      <c r="I18" s="201" t="str">
        <f>IFERROR('ISO · Reg. Notas'!U18,"")</f>
        <v/>
      </c>
      <c r="J18" s="194" t="str">
        <f>IFERROR('ISO · Reg. Notas'!V18,"")</f>
        <v/>
      </c>
      <c r="K18" s="202" t="str">
        <f>IFERROR('ISO · Reg. Notas'!W18,"")</f>
        <v/>
      </c>
      <c r="L18" s="215" t="str">
        <f t="shared" si="0"/>
        <v/>
      </c>
      <c r="M18" s="217" t="str">
        <f t="shared" si="1"/>
        <v/>
      </c>
      <c r="N18" s="71"/>
    </row>
    <row r="19" spans="2:14" ht="20" customHeight="1" x14ac:dyDescent="0.2">
      <c r="B19" s="154">
        <v>9</v>
      </c>
      <c r="C19" s="174" t="str">
        <f>IFERROR('ISO · Alumnos'!C18&amp;IF('ISO · Alumnos'!D18&lt;&gt;"",", "&amp;'ISO · Alumnos'!D18,""),"")</f>
        <v/>
      </c>
      <c r="D19" s="184" t="str">
        <f>IFERROR('ISO · Reg. Notas'!P19,"")</f>
        <v/>
      </c>
      <c r="E19" s="185" t="str">
        <f>IFERROR('ISO · Reg. Notas'!Q19,"")</f>
        <v/>
      </c>
      <c r="F19" s="194" t="str">
        <f>IFERROR('ISO · Reg. Notas'!R19,"")</f>
        <v/>
      </c>
      <c r="G19" s="195" t="str">
        <f>IFERROR('ISO · Reg. Notas'!S19,"")</f>
        <v/>
      </c>
      <c r="H19" s="196" t="str">
        <f>IFERROR('ISO · Reg. Notas'!T19,"")</f>
        <v/>
      </c>
      <c r="I19" s="201" t="str">
        <f>IFERROR('ISO · Reg. Notas'!U19,"")</f>
        <v/>
      </c>
      <c r="J19" s="194" t="str">
        <f>IFERROR('ISO · Reg. Notas'!V19,"")</f>
        <v/>
      </c>
      <c r="K19" s="202" t="str">
        <f>IFERROR('ISO · Reg. Notas'!W19,"")</f>
        <v/>
      </c>
      <c r="L19" s="215" t="str">
        <f t="shared" si="0"/>
        <v/>
      </c>
      <c r="M19" s="216" t="str">
        <f t="shared" si="1"/>
        <v/>
      </c>
      <c r="N19" s="72"/>
    </row>
    <row r="20" spans="2:14" ht="20" customHeight="1" x14ac:dyDescent="0.2">
      <c r="B20" s="154">
        <v>10</v>
      </c>
      <c r="C20" s="174" t="str">
        <f>IFERROR('ISO · Alumnos'!C19&amp;IF('ISO · Alumnos'!D19&lt;&gt;"",", "&amp;'ISO · Alumnos'!D19,""),"")</f>
        <v/>
      </c>
      <c r="D20" s="184" t="str">
        <f>IFERROR('ISO · Reg. Notas'!P20,"")</f>
        <v/>
      </c>
      <c r="E20" s="185" t="str">
        <f>IFERROR('ISO · Reg. Notas'!Q20,"")</f>
        <v/>
      </c>
      <c r="F20" s="194" t="str">
        <f>IFERROR('ISO · Reg. Notas'!R20,"")</f>
        <v/>
      </c>
      <c r="G20" s="195" t="str">
        <f>IFERROR('ISO · Reg. Notas'!S20,"")</f>
        <v/>
      </c>
      <c r="H20" s="196" t="str">
        <f>IFERROR('ISO · Reg. Notas'!T20,"")</f>
        <v/>
      </c>
      <c r="I20" s="201" t="str">
        <f>IFERROR('ISO · Reg. Notas'!U20,"")</f>
        <v/>
      </c>
      <c r="J20" s="194" t="str">
        <f>IFERROR('ISO · Reg. Notas'!V20,"")</f>
        <v/>
      </c>
      <c r="K20" s="202" t="str">
        <f>IFERROR('ISO · Reg. Notas'!W20,"")</f>
        <v/>
      </c>
      <c r="L20" s="215" t="str">
        <f t="shared" si="0"/>
        <v/>
      </c>
      <c r="M20" s="217" t="str">
        <f t="shared" si="1"/>
        <v/>
      </c>
      <c r="N20" s="71"/>
    </row>
    <row r="21" spans="2:14" ht="20" customHeight="1" x14ac:dyDescent="0.2">
      <c r="B21" s="154">
        <v>11</v>
      </c>
      <c r="C21" s="174" t="str">
        <f>IFERROR('ISO · Alumnos'!C20&amp;IF('ISO · Alumnos'!D20&lt;&gt;"",", "&amp;'ISO · Alumnos'!D20,""),"")</f>
        <v/>
      </c>
      <c r="D21" s="184" t="str">
        <f>IFERROR('ISO · Reg. Notas'!P21,"")</f>
        <v/>
      </c>
      <c r="E21" s="185" t="str">
        <f>IFERROR('ISO · Reg. Notas'!Q21,"")</f>
        <v/>
      </c>
      <c r="F21" s="194" t="str">
        <f>IFERROR('ISO · Reg. Notas'!R21,"")</f>
        <v/>
      </c>
      <c r="G21" s="195" t="str">
        <f>IFERROR('ISO · Reg. Notas'!S21,"")</f>
        <v/>
      </c>
      <c r="H21" s="196" t="str">
        <f>IFERROR('ISO · Reg. Notas'!T21,"")</f>
        <v/>
      </c>
      <c r="I21" s="201" t="str">
        <f>IFERROR('ISO · Reg. Notas'!U21,"")</f>
        <v/>
      </c>
      <c r="J21" s="194" t="str">
        <f>IFERROR('ISO · Reg. Notas'!V21,"")</f>
        <v/>
      </c>
      <c r="K21" s="202" t="str">
        <f>IFERROR('ISO · Reg. Notas'!W21,"")</f>
        <v/>
      </c>
      <c r="L21" s="215" t="str">
        <f t="shared" si="0"/>
        <v/>
      </c>
      <c r="M21" s="216" t="str">
        <f t="shared" si="1"/>
        <v/>
      </c>
      <c r="N21" s="72"/>
    </row>
    <row r="22" spans="2:14" ht="20" customHeight="1" x14ac:dyDescent="0.2">
      <c r="B22" s="154">
        <v>12</v>
      </c>
      <c r="C22" s="174" t="str">
        <f>IFERROR('ISO · Alumnos'!C21&amp;IF('ISO · Alumnos'!D21&lt;&gt;"",", "&amp;'ISO · Alumnos'!D21,""),"")</f>
        <v/>
      </c>
      <c r="D22" s="184" t="str">
        <f>IFERROR('ISO · Reg. Notas'!P22,"")</f>
        <v/>
      </c>
      <c r="E22" s="185" t="str">
        <f>IFERROR('ISO · Reg. Notas'!Q22,"")</f>
        <v/>
      </c>
      <c r="F22" s="194" t="str">
        <f>IFERROR('ISO · Reg. Notas'!R22,"")</f>
        <v/>
      </c>
      <c r="G22" s="195" t="str">
        <f>IFERROR('ISO · Reg. Notas'!S22,"")</f>
        <v/>
      </c>
      <c r="H22" s="196" t="str">
        <f>IFERROR('ISO · Reg. Notas'!T22,"")</f>
        <v/>
      </c>
      <c r="I22" s="201" t="str">
        <f>IFERROR('ISO · Reg. Notas'!U22,"")</f>
        <v/>
      </c>
      <c r="J22" s="194" t="str">
        <f>IFERROR('ISO · Reg. Notas'!V22,"")</f>
        <v/>
      </c>
      <c r="K22" s="202" t="str">
        <f>IFERROR('ISO · Reg. Notas'!W22,"")</f>
        <v/>
      </c>
      <c r="L22" s="215" t="str">
        <f t="shared" si="0"/>
        <v/>
      </c>
      <c r="M22" s="217" t="str">
        <f t="shared" si="1"/>
        <v/>
      </c>
      <c r="N22" s="71"/>
    </row>
    <row r="23" spans="2:14" ht="20" customHeight="1" x14ac:dyDescent="0.2">
      <c r="B23" s="154">
        <v>13</v>
      </c>
      <c r="C23" s="174" t="str">
        <f>IFERROR('ISO · Alumnos'!C22&amp;IF('ISO · Alumnos'!D22&lt;&gt;"",", "&amp;'ISO · Alumnos'!D22,""),"")</f>
        <v/>
      </c>
      <c r="D23" s="184" t="str">
        <f>IFERROR('ISO · Reg. Notas'!P23,"")</f>
        <v/>
      </c>
      <c r="E23" s="185" t="str">
        <f>IFERROR('ISO · Reg. Notas'!Q23,"")</f>
        <v/>
      </c>
      <c r="F23" s="194" t="str">
        <f>IFERROR('ISO · Reg. Notas'!R23,"")</f>
        <v/>
      </c>
      <c r="G23" s="195" t="str">
        <f>IFERROR('ISO · Reg. Notas'!S23,"")</f>
        <v/>
      </c>
      <c r="H23" s="196" t="str">
        <f>IFERROR('ISO · Reg. Notas'!T23,"")</f>
        <v/>
      </c>
      <c r="I23" s="201" t="str">
        <f>IFERROR('ISO · Reg. Notas'!U23,"")</f>
        <v/>
      </c>
      <c r="J23" s="194" t="str">
        <f>IFERROR('ISO · Reg. Notas'!V23,"")</f>
        <v/>
      </c>
      <c r="K23" s="202" t="str">
        <f>IFERROR('ISO · Reg. Notas'!W23,"")</f>
        <v/>
      </c>
      <c r="L23" s="215" t="str">
        <f t="shared" si="0"/>
        <v/>
      </c>
      <c r="M23" s="216" t="str">
        <f t="shared" si="1"/>
        <v/>
      </c>
      <c r="N23" s="72"/>
    </row>
    <row r="24" spans="2:14" ht="20" customHeight="1" x14ac:dyDescent="0.2">
      <c r="B24" s="154">
        <v>14</v>
      </c>
      <c r="C24" s="174" t="str">
        <f>IFERROR('ISO · Alumnos'!C23&amp;IF('ISO · Alumnos'!D23&lt;&gt;"",", "&amp;'ISO · Alumnos'!D23,""),"")</f>
        <v/>
      </c>
      <c r="D24" s="184" t="str">
        <f>IFERROR('ISO · Reg. Notas'!P24,"")</f>
        <v/>
      </c>
      <c r="E24" s="185" t="str">
        <f>IFERROR('ISO · Reg. Notas'!Q24,"")</f>
        <v/>
      </c>
      <c r="F24" s="194" t="str">
        <f>IFERROR('ISO · Reg. Notas'!R24,"")</f>
        <v/>
      </c>
      <c r="G24" s="195" t="str">
        <f>IFERROR('ISO · Reg. Notas'!S24,"")</f>
        <v/>
      </c>
      <c r="H24" s="196" t="str">
        <f>IFERROR('ISO · Reg. Notas'!T24,"")</f>
        <v/>
      </c>
      <c r="I24" s="201" t="str">
        <f>IFERROR('ISO · Reg. Notas'!U24,"")</f>
        <v/>
      </c>
      <c r="J24" s="194" t="str">
        <f>IFERROR('ISO · Reg. Notas'!V24,"")</f>
        <v/>
      </c>
      <c r="K24" s="202" t="str">
        <f>IFERROR('ISO · Reg. Notas'!W24,"")</f>
        <v/>
      </c>
      <c r="L24" s="215" t="str">
        <f t="shared" si="0"/>
        <v/>
      </c>
      <c r="M24" s="217" t="str">
        <f t="shared" si="1"/>
        <v/>
      </c>
      <c r="N24" s="71"/>
    </row>
    <row r="25" spans="2:14" ht="20" customHeight="1" x14ac:dyDescent="0.2">
      <c r="B25" s="154">
        <v>15</v>
      </c>
      <c r="C25" s="174" t="str">
        <f>IFERROR('ISO · Alumnos'!C24&amp;IF('ISO · Alumnos'!D24&lt;&gt;"",", "&amp;'ISO · Alumnos'!D24,""),"")</f>
        <v/>
      </c>
      <c r="D25" s="184" t="str">
        <f>IFERROR('ISO · Reg. Notas'!P25,"")</f>
        <v/>
      </c>
      <c r="E25" s="185" t="str">
        <f>IFERROR('ISO · Reg. Notas'!Q25,"")</f>
        <v/>
      </c>
      <c r="F25" s="194" t="str">
        <f>IFERROR('ISO · Reg. Notas'!R25,"")</f>
        <v/>
      </c>
      <c r="G25" s="195" t="str">
        <f>IFERROR('ISO · Reg. Notas'!S25,"")</f>
        <v/>
      </c>
      <c r="H25" s="196" t="str">
        <f>IFERROR('ISO · Reg. Notas'!T25,"")</f>
        <v/>
      </c>
      <c r="I25" s="201" t="str">
        <f>IFERROR('ISO · Reg. Notas'!U25,"")</f>
        <v/>
      </c>
      <c r="J25" s="194" t="str">
        <f>IFERROR('ISO · Reg. Notas'!V25,"")</f>
        <v/>
      </c>
      <c r="K25" s="202" t="str">
        <f>IFERROR('ISO · Reg. Notas'!W25,"")</f>
        <v/>
      </c>
      <c r="L25" s="215" t="str">
        <f t="shared" si="0"/>
        <v/>
      </c>
      <c r="M25" s="216" t="str">
        <f t="shared" si="1"/>
        <v/>
      </c>
      <c r="N25" s="72"/>
    </row>
    <row r="26" spans="2:14" ht="20" customHeight="1" x14ac:dyDescent="0.2">
      <c r="B26" s="154">
        <v>16</v>
      </c>
      <c r="C26" s="174" t="str">
        <f>IFERROR('ISO · Alumnos'!C25&amp;IF('ISO · Alumnos'!D25&lt;&gt;"",", "&amp;'ISO · Alumnos'!D25,""),"")</f>
        <v/>
      </c>
      <c r="D26" s="184" t="str">
        <f>IFERROR('ISO · Reg. Notas'!P26,"")</f>
        <v/>
      </c>
      <c r="E26" s="185" t="str">
        <f>IFERROR('ISO · Reg. Notas'!Q26,"")</f>
        <v/>
      </c>
      <c r="F26" s="194" t="str">
        <f>IFERROR('ISO · Reg. Notas'!R26,"")</f>
        <v/>
      </c>
      <c r="G26" s="195" t="str">
        <f>IFERROR('ISO · Reg. Notas'!S26,"")</f>
        <v/>
      </c>
      <c r="H26" s="196" t="str">
        <f>IFERROR('ISO · Reg. Notas'!T26,"")</f>
        <v/>
      </c>
      <c r="I26" s="201" t="str">
        <f>IFERROR('ISO · Reg. Notas'!U26,"")</f>
        <v/>
      </c>
      <c r="J26" s="194" t="str">
        <f>IFERROR('ISO · Reg. Notas'!V26,"")</f>
        <v/>
      </c>
      <c r="K26" s="202" t="str">
        <f>IFERROR('ISO · Reg. Notas'!W26,"")</f>
        <v/>
      </c>
      <c r="L26" s="215" t="str">
        <f t="shared" si="0"/>
        <v/>
      </c>
      <c r="M26" s="217" t="str">
        <f t="shared" si="1"/>
        <v/>
      </c>
      <c r="N26" s="71"/>
    </row>
    <row r="27" spans="2:14" ht="20" customHeight="1" x14ac:dyDescent="0.2">
      <c r="B27" s="154">
        <v>17</v>
      </c>
      <c r="C27" s="174" t="str">
        <f>IFERROR('ISO · Alumnos'!C26&amp;IF('ISO · Alumnos'!D26&lt;&gt;"",", "&amp;'ISO · Alumnos'!D26,""),"")</f>
        <v/>
      </c>
      <c r="D27" s="184" t="str">
        <f>IFERROR('ISO · Reg. Notas'!P27,"")</f>
        <v/>
      </c>
      <c r="E27" s="185" t="str">
        <f>IFERROR('ISO · Reg. Notas'!Q27,"")</f>
        <v/>
      </c>
      <c r="F27" s="194" t="str">
        <f>IFERROR('ISO · Reg. Notas'!R27,"")</f>
        <v/>
      </c>
      <c r="G27" s="195" t="str">
        <f>IFERROR('ISO · Reg. Notas'!S27,"")</f>
        <v/>
      </c>
      <c r="H27" s="196" t="str">
        <f>IFERROR('ISO · Reg. Notas'!T27,"")</f>
        <v/>
      </c>
      <c r="I27" s="201" t="str">
        <f>IFERROR('ISO · Reg. Notas'!U27,"")</f>
        <v/>
      </c>
      <c r="J27" s="194" t="str">
        <f>IFERROR('ISO · Reg. Notas'!V27,"")</f>
        <v/>
      </c>
      <c r="K27" s="202" t="str">
        <f>IFERROR('ISO · Reg. Notas'!W27,"")</f>
        <v/>
      </c>
      <c r="L27" s="215" t="str">
        <f t="shared" si="0"/>
        <v/>
      </c>
      <c r="M27" s="216" t="str">
        <f t="shared" si="1"/>
        <v/>
      </c>
      <c r="N27" s="72"/>
    </row>
    <row r="28" spans="2:14" ht="20" customHeight="1" x14ac:dyDescent="0.2">
      <c r="B28" s="154">
        <v>18</v>
      </c>
      <c r="C28" s="174" t="str">
        <f>IFERROR('ISO · Alumnos'!C27&amp;IF('ISO · Alumnos'!D27&lt;&gt;"",", "&amp;'ISO · Alumnos'!D27,""),"")</f>
        <v/>
      </c>
      <c r="D28" s="184" t="str">
        <f>IFERROR('ISO · Reg. Notas'!P28,"")</f>
        <v/>
      </c>
      <c r="E28" s="185" t="str">
        <f>IFERROR('ISO · Reg. Notas'!Q28,"")</f>
        <v/>
      </c>
      <c r="F28" s="194" t="str">
        <f>IFERROR('ISO · Reg. Notas'!R28,"")</f>
        <v/>
      </c>
      <c r="G28" s="195" t="str">
        <f>IFERROR('ISO · Reg. Notas'!S28,"")</f>
        <v/>
      </c>
      <c r="H28" s="196" t="str">
        <f>IFERROR('ISO · Reg. Notas'!T28,"")</f>
        <v/>
      </c>
      <c r="I28" s="201" t="str">
        <f>IFERROR('ISO · Reg. Notas'!U28,"")</f>
        <v/>
      </c>
      <c r="J28" s="194" t="str">
        <f>IFERROR('ISO · Reg. Notas'!V28,"")</f>
        <v/>
      </c>
      <c r="K28" s="202" t="str">
        <f>IFERROR('ISO · Reg. Notas'!W28,"")</f>
        <v/>
      </c>
      <c r="L28" s="215" t="str">
        <f t="shared" si="0"/>
        <v/>
      </c>
      <c r="M28" s="217" t="str">
        <f t="shared" si="1"/>
        <v/>
      </c>
      <c r="N28" s="71"/>
    </row>
    <row r="29" spans="2:14" ht="20" customHeight="1" x14ac:dyDescent="0.2">
      <c r="B29" s="154">
        <v>19</v>
      </c>
      <c r="C29" s="174" t="str">
        <f>IFERROR('ISO · Alumnos'!C28&amp;IF('ISO · Alumnos'!D28&lt;&gt;"",", "&amp;'ISO · Alumnos'!D28,""),"")</f>
        <v/>
      </c>
      <c r="D29" s="184" t="str">
        <f>IFERROR('ISO · Reg. Notas'!P29,"")</f>
        <v/>
      </c>
      <c r="E29" s="185" t="str">
        <f>IFERROR('ISO · Reg. Notas'!Q29,"")</f>
        <v/>
      </c>
      <c r="F29" s="194" t="str">
        <f>IFERROR('ISO · Reg. Notas'!R29,"")</f>
        <v/>
      </c>
      <c r="G29" s="195" t="str">
        <f>IFERROR('ISO · Reg. Notas'!S29,"")</f>
        <v/>
      </c>
      <c r="H29" s="196" t="str">
        <f>IFERROR('ISO · Reg. Notas'!T29,"")</f>
        <v/>
      </c>
      <c r="I29" s="201" t="str">
        <f>IFERROR('ISO · Reg. Notas'!U29,"")</f>
        <v/>
      </c>
      <c r="J29" s="194" t="str">
        <f>IFERROR('ISO · Reg. Notas'!V29,"")</f>
        <v/>
      </c>
      <c r="K29" s="202" t="str">
        <f>IFERROR('ISO · Reg. Notas'!W29,"")</f>
        <v/>
      </c>
      <c r="L29" s="215" t="str">
        <f t="shared" si="0"/>
        <v/>
      </c>
      <c r="M29" s="216" t="str">
        <f t="shared" si="1"/>
        <v/>
      </c>
      <c r="N29" s="72"/>
    </row>
    <row r="30" spans="2:14" ht="20" customHeight="1" x14ac:dyDescent="0.2">
      <c r="B30" s="154">
        <v>20</v>
      </c>
      <c r="C30" s="174" t="str">
        <f>IFERROR('ISO · Alumnos'!C29&amp;IF('ISO · Alumnos'!D29&lt;&gt;"",", "&amp;'ISO · Alumnos'!D29,""),"")</f>
        <v/>
      </c>
      <c r="D30" s="184" t="str">
        <f>IFERROR('ISO · Reg. Notas'!P30,"")</f>
        <v/>
      </c>
      <c r="E30" s="185" t="str">
        <f>IFERROR('ISO · Reg. Notas'!Q30,"")</f>
        <v/>
      </c>
      <c r="F30" s="194" t="str">
        <f>IFERROR('ISO · Reg. Notas'!R30,"")</f>
        <v/>
      </c>
      <c r="G30" s="195" t="str">
        <f>IFERROR('ISO · Reg. Notas'!S30,"")</f>
        <v/>
      </c>
      <c r="H30" s="196" t="str">
        <f>IFERROR('ISO · Reg. Notas'!T30,"")</f>
        <v/>
      </c>
      <c r="I30" s="201" t="str">
        <f>IFERROR('ISO · Reg. Notas'!U30,"")</f>
        <v/>
      </c>
      <c r="J30" s="194" t="str">
        <f>IFERROR('ISO · Reg. Notas'!V30,"")</f>
        <v/>
      </c>
      <c r="K30" s="202" t="str">
        <f>IFERROR('ISO · Reg. Notas'!W30,"")</f>
        <v/>
      </c>
      <c r="L30" s="215" t="str">
        <f t="shared" si="0"/>
        <v/>
      </c>
      <c r="M30" s="217" t="str">
        <f t="shared" si="1"/>
        <v/>
      </c>
      <c r="N30" s="71"/>
    </row>
    <row r="31" spans="2:14" ht="20" customHeight="1" x14ac:dyDescent="0.2">
      <c r="B31" s="154">
        <v>21</v>
      </c>
      <c r="C31" s="174" t="str">
        <f>IFERROR('ISO · Alumnos'!C30&amp;IF('ISO · Alumnos'!D30&lt;&gt;"",", "&amp;'ISO · Alumnos'!D30,""),"")</f>
        <v/>
      </c>
      <c r="D31" s="184" t="str">
        <f>IFERROR('ISO · Reg. Notas'!P31,"")</f>
        <v/>
      </c>
      <c r="E31" s="185" t="str">
        <f>IFERROR('ISO · Reg. Notas'!Q31,"")</f>
        <v/>
      </c>
      <c r="F31" s="194" t="str">
        <f>IFERROR('ISO · Reg. Notas'!R31,"")</f>
        <v/>
      </c>
      <c r="G31" s="195" t="str">
        <f>IFERROR('ISO · Reg. Notas'!S31,"")</f>
        <v/>
      </c>
      <c r="H31" s="196" t="str">
        <f>IFERROR('ISO · Reg. Notas'!T31,"")</f>
        <v/>
      </c>
      <c r="I31" s="201" t="str">
        <f>IFERROR('ISO · Reg. Notas'!U31,"")</f>
        <v/>
      </c>
      <c r="J31" s="194" t="str">
        <f>IFERROR('ISO · Reg. Notas'!V31,"")</f>
        <v/>
      </c>
      <c r="K31" s="202" t="str">
        <f>IFERROR('ISO · Reg. Notas'!W31,"")</f>
        <v/>
      </c>
      <c r="L31" s="215" t="str">
        <f t="shared" si="0"/>
        <v/>
      </c>
      <c r="M31" s="216" t="str">
        <f t="shared" si="1"/>
        <v/>
      </c>
      <c r="N31" s="72"/>
    </row>
    <row r="32" spans="2:14" ht="20" customHeight="1" x14ac:dyDescent="0.2">
      <c r="B32" s="154">
        <v>22</v>
      </c>
      <c r="C32" s="174" t="str">
        <f>IFERROR('ISO · Alumnos'!C31&amp;IF('ISO · Alumnos'!D31&lt;&gt;"",", "&amp;'ISO · Alumnos'!D31,""),"")</f>
        <v/>
      </c>
      <c r="D32" s="184" t="str">
        <f>IFERROR('ISO · Reg. Notas'!P32,"")</f>
        <v/>
      </c>
      <c r="E32" s="185" t="str">
        <f>IFERROR('ISO · Reg. Notas'!Q32,"")</f>
        <v/>
      </c>
      <c r="F32" s="194" t="str">
        <f>IFERROR('ISO · Reg. Notas'!R32,"")</f>
        <v/>
      </c>
      <c r="G32" s="195" t="str">
        <f>IFERROR('ISO · Reg. Notas'!S32,"")</f>
        <v/>
      </c>
      <c r="H32" s="196" t="str">
        <f>IFERROR('ISO · Reg. Notas'!T32,"")</f>
        <v/>
      </c>
      <c r="I32" s="201" t="str">
        <f>IFERROR('ISO · Reg. Notas'!U32,"")</f>
        <v/>
      </c>
      <c r="J32" s="194" t="str">
        <f>IFERROR('ISO · Reg. Notas'!V32,"")</f>
        <v/>
      </c>
      <c r="K32" s="202" t="str">
        <f>IFERROR('ISO · Reg. Notas'!W32,"")</f>
        <v/>
      </c>
      <c r="L32" s="215" t="str">
        <f t="shared" si="0"/>
        <v/>
      </c>
      <c r="M32" s="217" t="str">
        <f t="shared" si="1"/>
        <v/>
      </c>
      <c r="N32" s="71"/>
    </row>
    <row r="33" spans="2:14" ht="20" customHeight="1" x14ac:dyDescent="0.2">
      <c r="B33" s="154">
        <v>23</v>
      </c>
      <c r="C33" s="174" t="str">
        <f>IFERROR('ISO · Alumnos'!C32&amp;IF('ISO · Alumnos'!D32&lt;&gt;"",", "&amp;'ISO · Alumnos'!D32,""),"")</f>
        <v/>
      </c>
      <c r="D33" s="184" t="str">
        <f>IFERROR('ISO · Reg. Notas'!P33,"")</f>
        <v/>
      </c>
      <c r="E33" s="185" t="str">
        <f>IFERROR('ISO · Reg. Notas'!Q33,"")</f>
        <v/>
      </c>
      <c r="F33" s="194" t="str">
        <f>IFERROR('ISO · Reg. Notas'!R33,"")</f>
        <v/>
      </c>
      <c r="G33" s="195" t="str">
        <f>IFERROR('ISO · Reg. Notas'!S33,"")</f>
        <v/>
      </c>
      <c r="H33" s="196" t="str">
        <f>IFERROR('ISO · Reg. Notas'!T33,"")</f>
        <v/>
      </c>
      <c r="I33" s="201" t="str">
        <f>IFERROR('ISO · Reg. Notas'!U33,"")</f>
        <v/>
      </c>
      <c r="J33" s="194" t="str">
        <f>IFERROR('ISO · Reg. Notas'!V33,"")</f>
        <v/>
      </c>
      <c r="K33" s="202" t="str">
        <f>IFERROR('ISO · Reg. Notas'!W33,"")</f>
        <v/>
      </c>
      <c r="L33" s="215" t="str">
        <f t="shared" si="0"/>
        <v/>
      </c>
      <c r="M33" s="216" t="str">
        <f t="shared" si="1"/>
        <v/>
      </c>
      <c r="N33" s="72"/>
    </row>
    <row r="34" spans="2:14" ht="20" customHeight="1" x14ac:dyDescent="0.2">
      <c r="B34" s="154">
        <v>24</v>
      </c>
      <c r="C34" s="174" t="str">
        <f>IFERROR('ISO · Alumnos'!C33&amp;IF('ISO · Alumnos'!D33&lt;&gt;"",", "&amp;'ISO · Alumnos'!D33,""),"")</f>
        <v/>
      </c>
      <c r="D34" s="184" t="str">
        <f>IFERROR('ISO · Reg. Notas'!P34,"")</f>
        <v/>
      </c>
      <c r="E34" s="185" t="str">
        <f>IFERROR('ISO · Reg. Notas'!Q34,"")</f>
        <v/>
      </c>
      <c r="F34" s="194" t="str">
        <f>IFERROR('ISO · Reg. Notas'!R34,"")</f>
        <v/>
      </c>
      <c r="G34" s="195" t="str">
        <f>IFERROR('ISO · Reg. Notas'!S34,"")</f>
        <v/>
      </c>
      <c r="H34" s="196" t="str">
        <f>IFERROR('ISO · Reg. Notas'!T34,"")</f>
        <v/>
      </c>
      <c r="I34" s="201" t="str">
        <f>IFERROR('ISO · Reg. Notas'!U34,"")</f>
        <v/>
      </c>
      <c r="J34" s="194" t="str">
        <f>IFERROR('ISO · Reg. Notas'!V34,"")</f>
        <v/>
      </c>
      <c r="K34" s="202" t="str">
        <f>IFERROR('ISO · Reg. Notas'!W34,"")</f>
        <v/>
      </c>
      <c r="L34" s="215" t="str">
        <f t="shared" si="0"/>
        <v/>
      </c>
      <c r="M34" s="217" t="str">
        <f t="shared" si="1"/>
        <v/>
      </c>
      <c r="N34" s="71"/>
    </row>
    <row r="35" spans="2:14" ht="20" customHeight="1" x14ac:dyDescent="0.2">
      <c r="B35" s="154">
        <v>25</v>
      </c>
      <c r="C35" s="174" t="str">
        <f>IFERROR('ISO · Alumnos'!C34&amp;IF('ISO · Alumnos'!D34&lt;&gt;"",", "&amp;'ISO · Alumnos'!D34,""),"")</f>
        <v/>
      </c>
      <c r="D35" s="184" t="str">
        <f>IFERROR('ISO · Reg. Notas'!P35,"")</f>
        <v/>
      </c>
      <c r="E35" s="185" t="str">
        <f>IFERROR('ISO · Reg. Notas'!Q35,"")</f>
        <v/>
      </c>
      <c r="F35" s="194" t="str">
        <f>IFERROR('ISO · Reg. Notas'!R35,"")</f>
        <v/>
      </c>
      <c r="G35" s="195" t="str">
        <f>IFERROR('ISO · Reg. Notas'!S35,"")</f>
        <v/>
      </c>
      <c r="H35" s="196" t="str">
        <f>IFERROR('ISO · Reg. Notas'!T35,"")</f>
        <v/>
      </c>
      <c r="I35" s="201" t="str">
        <f>IFERROR('ISO · Reg. Notas'!U35,"")</f>
        <v/>
      </c>
      <c r="J35" s="194" t="str">
        <f>IFERROR('ISO · Reg. Notas'!V35,"")</f>
        <v/>
      </c>
      <c r="K35" s="202" t="str">
        <f>IFERROR('ISO · Reg. Notas'!W35,"")</f>
        <v/>
      </c>
      <c r="L35" s="215" t="str">
        <f t="shared" si="0"/>
        <v/>
      </c>
      <c r="M35" s="216" t="str">
        <f t="shared" si="1"/>
        <v/>
      </c>
      <c r="N35" s="72"/>
    </row>
    <row r="36" spans="2:14" ht="20" customHeight="1" x14ac:dyDescent="0.2">
      <c r="B36" s="154">
        <v>26</v>
      </c>
      <c r="C36" s="174" t="str">
        <f>IFERROR('ISO · Alumnos'!C35&amp;IF('ISO · Alumnos'!D35&lt;&gt;"",", "&amp;'ISO · Alumnos'!D35,""),"")</f>
        <v/>
      </c>
      <c r="D36" s="184" t="str">
        <f>IFERROR('ISO · Reg. Notas'!P36,"")</f>
        <v/>
      </c>
      <c r="E36" s="185" t="str">
        <f>IFERROR('ISO · Reg. Notas'!Q36,"")</f>
        <v/>
      </c>
      <c r="F36" s="194" t="str">
        <f>IFERROR('ISO · Reg. Notas'!R36,"")</f>
        <v/>
      </c>
      <c r="G36" s="195" t="str">
        <f>IFERROR('ISO · Reg. Notas'!S36,"")</f>
        <v/>
      </c>
      <c r="H36" s="196" t="str">
        <f>IFERROR('ISO · Reg. Notas'!T36,"")</f>
        <v/>
      </c>
      <c r="I36" s="201" t="str">
        <f>IFERROR('ISO · Reg. Notas'!U36,"")</f>
        <v/>
      </c>
      <c r="J36" s="194" t="str">
        <f>IFERROR('ISO · Reg. Notas'!V36,"")</f>
        <v/>
      </c>
      <c r="K36" s="202" t="str">
        <f>IFERROR('ISO · Reg. Notas'!W36,"")</f>
        <v/>
      </c>
      <c r="L36" s="215" t="str">
        <f t="shared" si="0"/>
        <v/>
      </c>
      <c r="M36" s="217" t="str">
        <f t="shared" si="1"/>
        <v/>
      </c>
      <c r="N36" s="71"/>
    </row>
    <row r="37" spans="2:14" ht="20" customHeight="1" x14ac:dyDescent="0.2">
      <c r="B37" s="154">
        <v>27</v>
      </c>
      <c r="C37" s="174" t="str">
        <f>IFERROR('ISO · Alumnos'!C36&amp;IF('ISO · Alumnos'!D36&lt;&gt;"",", "&amp;'ISO · Alumnos'!D36,""),"")</f>
        <v/>
      </c>
      <c r="D37" s="184" t="str">
        <f>IFERROR('ISO · Reg. Notas'!P37,"")</f>
        <v/>
      </c>
      <c r="E37" s="185" t="str">
        <f>IFERROR('ISO · Reg. Notas'!Q37,"")</f>
        <v/>
      </c>
      <c r="F37" s="194" t="str">
        <f>IFERROR('ISO · Reg. Notas'!R37,"")</f>
        <v/>
      </c>
      <c r="G37" s="195" t="str">
        <f>IFERROR('ISO · Reg. Notas'!S37,"")</f>
        <v/>
      </c>
      <c r="H37" s="196" t="str">
        <f>IFERROR('ISO · Reg. Notas'!T37,"")</f>
        <v/>
      </c>
      <c r="I37" s="201" t="str">
        <f>IFERROR('ISO · Reg. Notas'!U37,"")</f>
        <v/>
      </c>
      <c r="J37" s="194" t="str">
        <f>IFERROR('ISO · Reg. Notas'!V37,"")</f>
        <v/>
      </c>
      <c r="K37" s="202" t="str">
        <f>IFERROR('ISO · Reg. Notas'!W37,"")</f>
        <v/>
      </c>
      <c r="L37" s="215" t="str">
        <f t="shared" si="0"/>
        <v/>
      </c>
      <c r="M37" s="216" t="str">
        <f t="shared" si="1"/>
        <v/>
      </c>
      <c r="N37" s="72"/>
    </row>
    <row r="38" spans="2:14" ht="20" customHeight="1" x14ac:dyDescent="0.2">
      <c r="B38" s="154">
        <v>28</v>
      </c>
      <c r="C38" s="174" t="str">
        <f>IFERROR('ISO · Alumnos'!C37&amp;IF('ISO · Alumnos'!D37&lt;&gt;"",", "&amp;'ISO · Alumnos'!D37,""),"")</f>
        <v/>
      </c>
      <c r="D38" s="184" t="str">
        <f>IFERROR('ISO · Reg. Notas'!P38,"")</f>
        <v/>
      </c>
      <c r="E38" s="185" t="str">
        <f>IFERROR('ISO · Reg. Notas'!Q38,"")</f>
        <v/>
      </c>
      <c r="F38" s="194" t="str">
        <f>IFERROR('ISO · Reg. Notas'!R38,"")</f>
        <v/>
      </c>
      <c r="G38" s="195" t="str">
        <f>IFERROR('ISO · Reg. Notas'!S38,"")</f>
        <v/>
      </c>
      <c r="H38" s="196" t="str">
        <f>IFERROR('ISO · Reg. Notas'!T38,"")</f>
        <v/>
      </c>
      <c r="I38" s="201" t="str">
        <f>IFERROR('ISO · Reg. Notas'!U38,"")</f>
        <v/>
      </c>
      <c r="J38" s="194" t="str">
        <f>IFERROR('ISO · Reg. Notas'!V38,"")</f>
        <v/>
      </c>
      <c r="K38" s="202" t="str">
        <f>IFERROR('ISO · Reg. Notas'!W38,"")</f>
        <v/>
      </c>
      <c r="L38" s="215" t="str">
        <f t="shared" si="0"/>
        <v/>
      </c>
      <c r="M38" s="217" t="str">
        <f t="shared" si="1"/>
        <v/>
      </c>
      <c r="N38" s="71"/>
    </row>
    <row r="39" spans="2:14" ht="20" customHeight="1" x14ac:dyDescent="0.2">
      <c r="B39" s="154">
        <v>29</v>
      </c>
      <c r="C39" s="174" t="str">
        <f>IFERROR('ISO · Alumnos'!C38&amp;IF('ISO · Alumnos'!D38&lt;&gt;"",", "&amp;'ISO · Alumnos'!D38,""),"")</f>
        <v/>
      </c>
      <c r="D39" s="184" t="str">
        <f>IFERROR('ISO · Reg. Notas'!P39,"")</f>
        <v/>
      </c>
      <c r="E39" s="185" t="str">
        <f>IFERROR('ISO · Reg. Notas'!Q39,"")</f>
        <v/>
      </c>
      <c r="F39" s="194" t="str">
        <f>IFERROR('ISO · Reg. Notas'!R39,"")</f>
        <v/>
      </c>
      <c r="G39" s="195" t="str">
        <f>IFERROR('ISO · Reg. Notas'!S39,"")</f>
        <v/>
      </c>
      <c r="H39" s="196" t="str">
        <f>IFERROR('ISO · Reg. Notas'!T39,"")</f>
        <v/>
      </c>
      <c r="I39" s="201" t="str">
        <f>IFERROR('ISO · Reg. Notas'!U39,"")</f>
        <v/>
      </c>
      <c r="J39" s="194" t="str">
        <f>IFERROR('ISO · Reg. Notas'!V39,"")</f>
        <v/>
      </c>
      <c r="K39" s="202" t="str">
        <f>IFERROR('ISO · Reg. Notas'!W39,"")</f>
        <v/>
      </c>
      <c r="L39" s="215" t="str">
        <f t="shared" si="0"/>
        <v/>
      </c>
      <c r="M39" s="216" t="str">
        <f t="shared" si="1"/>
        <v/>
      </c>
      <c r="N39" s="72"/>
    </row>
    <row r="40" spans="2:14" ht="20" customHeight="1" x14ac:dyDescent="0.2">
      <c r="B40" s="154">
        <v>30</v>
      </c>
      <c r="C40" s="174" t="str">
        <f>IFERROR('ISO · Alumnos'!C39&amp;IF('ISO · Alumnos'!D39&lt;&gt;"",", "&amp;'ISO · Alumnos'!D39,""),"")</f>
        <v/>
      </c>
      <c r="D40" s="184" t="str">
        <f>IFERROR('ISO · Reg. Notas'!P40,"")</f>
        <v/>
      </c>
      <c r="E40" s="185" t="str">
        <f>IFERROR('ISO · Reg. Notas'!Q40,"")</f>
        <v/>
      </c>
      <c r="F40" s="194" t="str">
        <f>IFERROR('ISO · Reg. Notas'!R40,"")</f>
        <v/>
      </c>
      <c r="G40" s="195" t="str">
        <f>IFERROR('ISO · Reg. Notas'!S40,"")</f>
        <v/>
      </c>
      <c r="H40" s="196" t="str">
        <f>IFERROR('ISO · Reg. Notas'!T40,"")</f>
        <v/>
      </c>
      <c r="I40" s="201" t="str">
        <f>IFERROR('ISO · Reg. Notas'!U40,"")</f>
        <v/>
      </c>
      <c r="J40" s="194" t="str">
        <f>IFERROR('ISO · Reg. Notas'!V40,"")</f>
        <v/>
      </c>
      <c r="K40" s="202" t="str">
        <f>IFERROR('ISO · Reg. Notas'!W40,"")</f>
        <v/>
      </c>
      <c r="L40" s="215" t="str">
        <f t="shared" si="0"/>
        <v/>
      </c>
      <c r="M40" s="217" t="str">
        <f t="shared" si="1"/>
        <v/>
      </c>
      <c r="N40" s="71"/>
    </row>
    <row r="42" spans="2:14" ht="22" customHeight="1" x14ac:dyDescent="0.2">
      <c r="B42" s="12" t="s">
        <v>453</v>
      </c>
      <c r="C42" s="12"/>
      <c r="D42" s="110" t="str">
        <f t="shared" ref="D42:L42" si="2">IFERROR(ROUND(AVERAGE(D11:D40),2),"")</f>
        <v/>
      </c>
      <c r="E42" s="130" t="str">
        <f t="shared" si="2"/>
        <v/>
      </c>
      <c r="F42" s="140" t="str">
        <f t="shared" si="2"/>
        <v/>
      </c>
      <c r="G42" s="218" t="str">
        <f t="shared" si="2"/>
        <v/>
      </c>
      <c r="H42" s="219" t="str">
        <f t="shared" si="2"/>
        <v/>
      </c>
      <c r="I42" s="220" t="str">
        <f t="shared" si="2"/>
        <v/>
      </c>
      <c r="J42" s="221" t="str">
        <f t="shared" si="2"/>
        <v/>
      </c>
      <c r="K42" s="222" t="str">
        <f t="shared" si="2"/>
        <v/>
      </c>
      <c r="L42" s="12" t="str">
        <f t="shared" si="2"/>
        <v/>
      </c>
      <c r="M42" s="12" t="str">
        <f>IFERROR(TEXT(COUNTIF(M11:M40,"APTO")/COUNTA(M11:M40),"0%"),"")</f>
        <v>0%</v>
      </c>
    </row>
    <row r="44" spans="2:14" ht="14" customHeight="1" x14ac:dyDescent="0.2">
      <c r="B44" s="319" t="s">
        <v>454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</row>
    <row r="45" spans="2:14" ht="90" customHeight="1" x14ac:dyDescent="0.2">
      <c r="B45" s="314" t="s">
        <v>344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</row>
    <row r="46" spans="2:14" ht="16" customHeight="1" x14ac:dyDescent="0.2">
      <c r="B46" s="309" t="s">
        <v>455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</row>
  </sheetData>
  <mergeCells count="5">
    <mergeCell ref="B46:N46"/>
    <mergeCell ref="B45:N45"/>
    <mergeCell ref="B44:N44"/>
    <mergeCell ref="B2:K2"/>
    <mergeCell ref="B3:K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5" customWidth="1"/>
    <col min="4" max="6" width="14" customWidth="1"/>
    <col min="7" max="7" width="12" customWidth="1"/>
    <col min="8" max="8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456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457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3" t="s">
        <v>458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157" t="s">
        <v>459</v>
      </c>
    </row>
    <row r="9" spans="1:29" ht="12" customHeight="1" x14ac:dyDescent="0.2">
      <c r="D9" s="223" t="s">
        <v>460</v>
      </c>
    </row>
    <row r="10" spans="1:29" ht="32" customHeight="1" x14ac:dyDescent="0.2">
      <c r="B10" s="158" t="s">
        <v>461</v>
      </c>
      <c r="C10" s="158" t="s">
        <v>391</v>
      </c>
      <c r="D10" s="224" t="s">
        <v>462</v>
      </c>
      <c r="E10" s="225" t="s">
        <v>463</v>
      </c>
      <c r="F10" s="158" t="s">
        <v>464</v>
      </c>
      <c r="G10" s="158" t="s">
        <v>413</v>
      </c>
      <c r="H10" s="158" t="s">
        <v>358</v>
      </c>
    </row>
    <row r="11" spans="1:29" ht="20" customHeight="1" x14ac:dyDescent="0.2">
      <c r="B11" s="226"/>
      <c r="C11" s="174" t="str">
        <f>IFERROR(IF(B11="","",INDEX('ISO · Alumnos'!C:C,9+B11)&amp;", "&amp;INDEX('ISO · Alumnos'!D:D,9+B11)),"")</f>
        <v/>
      </c>
      <c r="D11" s="227" t="str">
        <f>IFERROR(IF(B11="","",INDEX('ISO · 1ªORD'!L:L,10+B11)),"")</f>
        <v/>
      </c>
      <c r="E11" s="228"/>
      <c r="F11" s="215" t="str">
        <f t="shared" ref="F11:F30" si="0">IF(E11="",IF(D11="","",D11),E11)</f>
        <v/>
      </c>
      <c r="G11" s="216" t="str">
        <f t="shared" ref="G11:G30" si="1">IF(F11="","",IF(F11&gt;=5,"APTO","NO APTO"))</f>
        <v/>
      </c>
      <c r="H11" s="72"/>
    </row>
    <row r="12" spans="1:29" ht="20" customHeight="1" x14ac:dyDescent="0.2">
      <c r="B12" s="226"/>
      <c r="C12" s="174" t="str">
        <f>IFERROR(IF(B12="","",INDEX('ISO · Alumnos'!C:C,9+B12)&amp;", "&amp;INDEX('ISO · Alumnos'!D:D,9+B12)),"")</f>
        <v/>
      </c>
      <c r="D12" s="227" t="str">
        <f>IFERROR(IF(B12="","",INDEX('ISO · 1ªORD'!L:L,10+B12)),"")</f>
        <v/>
      </c>
      <c r="E12" s="228"/>
      <c r="F12" s="215" t="str">
        <f t="shared" si="0"/>
        <v/>
      </c>
      <c r="G12" s="217" t="str">
        <f t="shared" si="1"/>
        <v/>
      </c>
      <c r="H12" s="71"/>
    </row>
    <row r="13" spans="1:29" ht="20" customHeight="1" x14ac:dyDescent="0.2">
      <c r="B13" s="226"/>
      <c r="C13" s="174" t="str">
        <f>IFERROR(IF(B13="","",INDEX('ISO · Alumnos'!C:C,9+B13)&amp;", "&amp;INDEX('ISO · Alumnos'!D:D,9+B13)),"")</f>
        <v/>
      </c>
      <c r="D13" s="227" t="str">
        <f>IFERROR(IF(B13="","",INDEX('ISO · 1ªORD'!L:L,10+B13)),"")</f>
        <v/>
      </c>
      <c r="E13" s="228"/>
      <c r="F13" s="215" t="str">
        <f t="shared" si="0"/>
        <v/>
      </c>
      <c r="G13" s="216" t="str">
        <f t="shared" si="1"/>
        <v/>
      </c>
      <c r="H13" s="72"/>
    </row>
    <row r="14" spans="1:29" ht="20" customHeight="1" x14ac:dyDescent="0.2">
      <c r="B14" s="226"/>
      <c r="C14" s="174" t="str">
        <f>IFERROR(IF(B14="","",INDEX('ISO · Alumnos'!C:C,9+B14)&amp;", "&amp;INDEX('ISO · Alumnos'!D:D,9+B14)),"")</f>
        <v/>
      </c>
      <c r="D14" s="227" t="str">
        <f>IFERROR(IF(B14="","",INDEX('ISO · 1ªORD'!L:L,10+B14)),"")</f>
        <v/>
      </c>
      <c r="E14" s="228"/>
      <c r="F14" s="215" t="str">
        <f t="shared" si="0"/>
        <v/>
      </c>
      <c r="G14" s="217" t="str">
        <f t="shared" si="1"/>
        <v/>
      </c>
      <c r="H14" s="71"/>
    </row>
    <row r="15" spans="1:29" ht="20" customHeight="1" x14ac:dyDescent="0.2">
      <c r="B15" s="226"/>
      <c r="C15" s="174" t="str">
        <f>IFERROR(IF(B15="","",INDEX('ISO · Alumnos'!C:C,9+B15)&amp;", "&amp;INDEX('ISO · Alumnos'!D:D,9+B15)),"")</f>
        <v/>
      </c>
      <c r="D15" s="227" t="str">
        <f>IFERROR(IF(B15="","",INDEX('ISO · 1ªORD'!L:L,10+B15)),"")</f>
        <v/>
      </c>
      <c r="E15" s="228"/>
      <c r="F15" s="215" t="str">
        <f t="shared" si="0"/>
        <v/>
      </c>
      <c r="G15" s="216" t="str">
        <f t="shared" si="1"/>
        <v/>
      </c>
      <c r="H15" s="72"/>
    </row>
    <row r="16" spans="1:29" ht="20" customHeight="1" x14ac:dyDescent="0.2">
      <c r="B16" s="226"/>
      <c r="C16" s="174" t="str">
        <f>IFERROR(IF(B16="","",INDEX('ISO · Alumnos'!C:C,9+B16)&amp;", "&amp;INDEX('ISO · Alumnos'!D:D,9+B16)),"")</f>
        <v/>
      </c>
      <c r="D16" s="227" t="str">
        <f>IFERROR(IF(B16="","",INDEX('ISO · 1ªORD'!L:L,10+B16)),"")</f>
        <v/>
      </c>
      <c r="E16" s="228"/>
      <c r="F16" s="215" t="str">
        <f t="shared" si="0"/>
        <v/>
      </c>
      <c r="G16" s="217" t="str">
        <f t="shared" si="1"/>
        <v/>
      </c>
      <c r="H16" s="71"/>
    </row>
    <row r="17" spans="2:8" ht="20" customHeight="1" x14ac:dyDescent="0.2">
      <c r="B17" s="226"/>
      <c r="C17" s="174" t="str">
        <f>IFERROR(IF(B17="","",INDEX('ISO · Alumnos'!C:C,9+B17)&amp;", "&amp;INDEX('ISO · Alumnos'!D:D,9+B17)),"")</f>
        <v/>
      </c>
      <c r="D17" s="227" t="str">
        <f>IFERROR(IF(B17="","",INDEX('ISO · 1ªORD'!L:L,10+B17)),"")</f>
        <v/>
      </c>
      <c r="E17" s="228"/>
      <c r="F17" s="215" t="str">
        <f t="shared" si="0"/>
        <v/>
      </c>
      <c r="G17" s="216" t="str">
        <f t="shared" si="1"/>
        <v/>
      </c>
      <c r="H17" s="72"/>
    </row>
    <row r="18" spans="2:8" ht="20" customHeight="1" x14ac:dyDescent="0.2">
      <c r="B18" s="226"/>
      <c r="C18" s="174" t="str">
        <f>IFERROR(IF(B18="","",INDEX('ISO · Alumnos'!C:C,9+B18)&amp;", "&amp;INDEX('ISO · Alumnos'!D:D,9+B18)),"")</f>
        <v/>
      </c>
      <c r="D18" s="227" t="str">
        <f>IFERROR(IF(B18="","",INDEX('ISO · 1ªORD'!L:L,10+B18)),"")</f>
        <v/>
      </c>
      <c r="E18" s="228"/>
      <c r="F18" s="215" t="str">
        <f t="shared" si="0"/>
        <v/>
      </c>
      <c r="G18" s="217" t="str">
        <f t="shared" si="1"/>
        <v/>
      </c>
      <c r="H18" s="71"/>
    </row>
    <row r="19" spans="2:8" ht="20" customHeight="1" x14ac:dyDescent="0.2">
      <c r="B19" s="226"/>
      <c r="C19" s="174" t="str">
        <f>IFERROR(IF(B19="","",INDEX('ISO · Alumnos'!C:C,9+B19)&amp;", "&amp;INDEX('ISO · Alumnos'!D:D,9+B19)),"")</f>
        <v/>
      </c>
      <c r="D19" s="227" t="str">
        <f>IFERROR(IF(B19="","",INDEX('ISO · 1ªORD'!L:L,10+B19)),"")</f>
        <v/>
      </c>
      <c r="E19" s="228"/>
      <c r="F19" s="215" t="str">
        <f t="shared" si="0"/>
        <v/>
      </c>
      <c r="G19" s="216" t="str">
        <f t="shared" si="1"/>
        <v/>
      </c>
      <c r="H19" s="72"/>
    </row>
    <row r="20" spans="2:8" ht="20" customHeight="1" x14ac:dyDescent="0.2">
      <c r="B20" s="226"/>
      <c r="C20" s="174" t="str">
        <f>IFERROR(IF(B20="","",INDEX('ISO · Alumnos'!C:C,9+B20)&amp;", "&amp;INDEX('ISO · Alumnos'!D:D,9+B20)),"")</f>
        <v/>
      </c>
      <c r="D20" s="227" t="str">
        <f>IFERROR(IF(B20="","",INDEX('ISO · 1ªORD'!L:L,10+B20)),"")</f>
        <v/>
      </c>
      <c r="E20" s="228"/>
      <c r="F20" s="215" t="str">
        <f t="shared" si="0"/>
        <v/>
      </c>
      <c r="G20" s="217" t="str">
        <f t="shared" si="1"/>
        <v/>
      </c>
      <c r="H20" s="71"/>
    </row>
    <row r="21" spans="2:8" ht="20" customHeight="1" x14ac:dyDescent="0.2">
      <c r="B21" s="226"/>
      <c r="C21" s="174" t="str">
        <f>IFERROR(IF(B21="","",INDEX('ISO · Alumnos'!C:C,9+B21)&amp;", "&amp;INDEX('ISO · Alumnos'!D:D,9+B21)),"")</f>
        <v/>
      </c>
      <c r="D21" s="227" t="str">
        <f>IFERROR(IF(B21="","",INDEX('ISO · 1ªORD'!L:L,10+B21)),"")</f>
        <v/>
      </c>
      <c r="E21" s="228"/>
      <c r="F21" s="215" t="str">
        <f t="shared" si="0"/>
        <v/>
      </c>
      <c r="G21" s="216" t="str">
        <f t="shared" si="1"/>
        <v/>
      </c>
      <c r="H21" s="72"/>
    </row>
    <row r="22" spans="2:8" ht="20" customHeight="1" x14ac:dyDescent="0.2">
      <c r="B22" s="226"/>
      <c r="C22" s="174" t="str">
        <f>IFERROR(IF(B22="","",INDEX('ISO · Alumnos'!C:C,9+B22)&amp;", "&amp;INDEX('ISO · Alumnos'!D:D,9+B22)),"")</f>
        <v/>
      </c>
      <c r="D22" s="227" t="str">
        <f>IFERROR(IF(B22="","",INDEX('ISO · 1ªORD'!L:L,10+B22)),"")</f>
        <v/>
      </c>
      <c r="E22" s="228"/>
      <c r="F22" s="215" t="str">
        <f t="shared" si="0"/>
        <v/>
      </c>
      <c r="G22" s="217" t="str">
        <f t="shared" si="1"/>
        <v/>
      </c>
      <c r="H22" s="71"/>
    </row>
    <row r="23" spans="2:8" ht="20" customHeight="1" x14ac:dyDescent="0.2">
      <c r="B23" s="226"/>
      <c r="C23" s="174" t="str">
        <f>IFERROR(IF(B23="","",INDEX('ISO · Alumnos'!C:C,9+B23)&amp;", "&amp;INDEX('ISO · Alumnos'!D:D,9+B23)),"")</f>
        <v/>
      </c>
      <c r="D23" s="227" t="str">
        <f>IFERROR(IF(B23="","",INDEX('ISO · 1ªORD'!L:L,10+B23)),"")</f>
        <v/>
      </c>
      <c r="E23" s="228"/>
      <c r="F23" s="215" t="str">
        <f t="shared" si="0"/>
        <v/>
      </c>
      <c r="G23" s="216" t="str">
        <f t="shared" si="1"/>
        <v/>
      </c>
      <c r="H23" s="72"/>
    </row>
    <row r="24" spans="2:8" ht="20" customHeight="1" x14ac:dyDescent="0.2">
      <c r="B24" s="226"/>
      <c r="C24" s="174" t="str">
        <f>IFERROR(IF(B24="","",INDEX('ISO · Alumnos'!C:C,9+B24)&amp;", "&amp;INDEX('ISO · Alumnos'!D:D,9+B24)),"")</f>
        <v/>
      </c>
      <c r="D24" s="227" t="str">
        <f>IFERROR(IF(B24="","",INDEX('ISO · 1ªORD'!L:L,10+B24)),"")</f>
        <v/>
      </c>
      <c r="E24" s="228"/>
      <c r="F24" s="215" t="str">
        <f t="shared" si="0"/>
        <v/>
      </c>
      <c r="G24" s="217" t="str">
        <f t="shared" si="1"/>
        <v/>
      </c>
      <c r="H24" s="71"/>
    </row>
    <row r="25" spans="2:8" ht="20" customHeight="1" x14ac:dyDescent="0.2">
      <c r="B25" s="226"/>
      <c r="C25" s="174" t="str">
        <f>IFERROR(IF(B25="","",INDEX('ISO · Alumnos'!C:C,9+B25)&amp;", "&amp;INDEX('ISO · Alumnos'!D:D,9+B25)),"")</f>
        <v/>
      </c>
      <c r="D25" s="227" t="str">
        <f>IFERROR(IF(B25="","",INDEX('ISO · 1ªORD'!L:L,10+B25)),"")</f>
        <v/>
      </c>
      <c r="E25" s="228"/>
      <c r="F25" s="215" t="str">
        <f t="shared" si="0"/>
        <v/>
      </c>
      <c r="G25" s="216" t="str">
        <f t="shared" si="1"/>
        <v/>
      </c>
      <c r="H25" s="72"/>
    </row>
    <row r="26" spans="2:8" ht="20" customHeight="1" x14ac:dyDescent="0.2">
      <c r="B26" s="226"/>
      <c r="C26" s="174" t="str">
        <f>IFERROR(IF(B26="","",INDEX('ISO · Alumnos'!C:C,9+B26)&amp;", "&amp;INDEX('ISO · Alumnos'!D:D,9+B26)),"")</f>
        <v/>
      </c>
      <c r="D26" s="227" t="str">
        <f>IFERROR(IF(B26="","",INDEX('ISO · 1ªORD'!L:L,10+B26)),"")</f>
        <v/>
      </c>
      <c r="E26" s="228"/>
      <c r="F26" s="215" t="str">
        <f t="shared" si="0"/>
        <v/>
      </c>
      <c r="G26" s="217" t="str">
        <f t="shared" si="1"/>
        <v/>
      </c>
      <c r="H26" s="71"/>
    </row>
    <row r="27" spans="2:8" ht="20" customHeight="1" x14ac:dyDescent="0.2">
      <c r="B27" s="226"/>
      <c r="C27" s="174" t="str">
        <f>IFERROR(IF(B27="","",INDEX('ISO · Alumnos'!C:C,9+B27)&amp;", "&amp;INDEX('ISO · Alumnos'!D:D,9+B27)),"")</f>
        <v/>
      </c>
      <c r="D27" s="227" t="str">
        <f>IFERROR(IF(B27="","",INDEX('ISO · 1ªORD'!L:L,10+B27)),"")</f>
        <v/>
      </c>
      <c r="E27" s="228"/>
      <c r="F27" s="215" t="str">
        <f t="shared" si="0"/>
        <v/>
      </c>
      <c r="G27" s="216" t="str">
        <f t="shared" si="1"/>
        <v/>
      </c>
      <c r="H27" s="72"/>
    </row>
    <row r="28" spans="2:8" ht="20" customHeight="1" x14ac:dyDescent="0.2">
      <c r="B28" s="226"/>
      <c r="C28" s="174" t="str">
        <f>IFERROR(IF(B28="","",INDEX('ISO · Alumnos'!C:C,9+B28)&amp;", "&amp;INDEX('ISO · Alumnos'!D:D,9+B28)),"")</f>
        <v/>
      </c>
      <c r="D28" s="227" t="str">
        <f>IFERROR(IF(B28="","",INDEX('ISO · 1ªORD'!L:L,10+B28)),"")</f>
        <v/>
      </c>
      <c r="E28" s="228"/>
      <c r="F28" s="215" t="str">
        <f t="shared" si="0"/>
        <v/>
      </c>
      <c r="G28" s="217" t="str">
        <f t="shared" si="1"/>
        <v/>
      </c>
      <c r="H28" s="71"/>
    </row>
    <row r="29" spans="2:8" ht="20" customHeight="1" x14ac:dyDescent="0.2">
      <c r="B29" s="226"/>
      <c r="C29" s="174" t="str">
        <f>IFERROR(IF(B29="","",INDEX('ISO · Alumnos'!C:C,9+B29)&amp;", "&amp;INDEX('ISO · Alumnos'!D:D,9+B29)),"")</f>
        <v/>
      </c>
      <c r="D29" s="227" t="str">
        <f>IFERROR(IF(B29="","",INDEX('ISO · 1ªORD'!L:L,10+B29)),"")</f>
        <v/>
      </c>
      <c r="E29" s="228"/>
      <c r="F29" s="215" t="str">
        <f t="shared" si="0"/>
        <v/>
      </c>
      <c r="G29" s="216" t="str">
        <f t="shared" si="1"/>
        <v/>
      </c>
      <c r="H29" s="72"/>
    </row>
    <row r="30" spans="2:8" ht="20" customHeight="1" x14ac:dyDescent="0.2">
      <c r="B30" s="226"/>
      <c r="C30" s="174" t="str">
        <f>IFERROR(IF(B30="","",INDEX('ISO · Alumnos'!C:C,9+B30)&amp;", "&amp;INDEX('ISO · Alumnos'!D:D,9+B30)),"")</f>
        <v/>
      </c>
      <c r="D30" s="227" t="str">
        <f>IFERROR(IF(B30="","",INDEX('ISO · 1ªORD'!L:L,10+B30)),"")</f>
        <v/>
      </c>
      <c r="E30" s="228"/>
      <c r="F30" s="215" t="str">
        <f t="shared" si="0"/>
        <v/>
      </c>
      <c r="G30" s="217" t="str">
        <f t="shared" si="1"/>
        <v/>
      </c>
      <c r="H30" s="71"/>
    </row>
    <row r="32" spans="2:8" ht="16" customHeight="1" x14ac:dyDescent="0.2">
      <c r="B32" s="229" t="s">
        <v>465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19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6" width="30" customWidth="1"/>
    <col min="7" max="7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466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467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3" t="s">
        <v>468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332" t="s">
        <v>469</v>
      </c>
      <c r="C8" s="292"/>
      <c r="D8" s="292"/>
      <c r="E8" s="292"/>
      <c r="F8" s="292"/>
      <c r="G8" s="292"/>
    </row>
    <row r="9" spans="1:29" ht="20" customHeight="1" x14ac:dyDescent="0.2">
      <c r="B9" s="334" t="s">
        <v>470</v>
      </c>
      <c r="C9" s="292"/>
      <c r="D9" s="292"/>
      <c r="E9" s="292"/>
      <c r="F9" s="292"/>
      <c r="G9" s="292"/>
    </row>
    <row r="10" spans="1:29" ht="36" customHeight="1" x14ac:dyDescent="0.2">
      <c r="B10" s="33" t="s">
        <v>471</v>
      </c>
      <c r="C10" s="88" t="s">
        <v>472</v>
      </c>
      <c r="D10" s="89" t="s">
        <v>473</v>
      </c>
      <c r="E10" s="182" t="s">
        <v>474</v>
      </c>
      <c r="F10" s="87" t="s">
        <v>475</v>
      </c>
      <c r="G10" s="33" t="s">
        <v>476</v>
      </c>
    </row>
    <row r="11" spans="1:29" ht="52" customHeight="1" x14ac:dyDescent="0.2">
      <c r="B11" s="159" t="s">
        <v>316</v>
      </c>
      <c r="C11" s="230" t="s">
        <v>477</v>
      </c>
      <c r="D11" s="231" t="s">
        <v>478</v>
      </c>
      <c r="E11" s="232" t="s">
        <v>479</v>
      </c>
      <c r="F11" s="233" t="s">
        <v>480</v>
      </c>
      <c r="G11" s="49" t="s">
        <v>324</v>
      </c>
    </row>
    <row r="12" spans="1:29" ht="52" customHeight="1" x14ac:dyDescent="0.2">
      <c r="B12" s="159" t="s">
        <v>481</v>
      </c>
      <c r="C12" s="230" t="s">
        <v>482</v>
      </c>
      <c r="D12" s="231" t="s">
        <v>483</v>
      </c>
      <c r="E12" s="232" t="s">
        <v>484</v>
      </c>
      <c r="F12" s="233" t="s">
        <v>485</v>
      </c>
      <c r="G12" s="47" t="s">
        <v>324</v>
      </c>
    </row>
    <row r="13" spans="1:29" ht="52" customHeight="1" x14ac:dyDescent="0.2">
      <c r="B13" s="159" t="s">
        <v>486</v>
      </c>
      <c r="C13" s="230" t="s">
        <v>487</v>
      </c>
      <c r="D13" s="231" t="s">
        <v>488</v>
      </c>
      <c r="E13" s="232" t="s">
        <v>489</v>
      </c>
      <c r="F13" s="233" t="s">
        <v>490</v>
      </c>
      <c r="G13" s="49" t="s">
        <v>324</v>
      </c>
    </row>
    <row r="14" spans="1:29" ht="52" customHeight="1" x14ac:dyDescent="0.2">
      <c r="B14" s="159" t="s">
        <v>491</v>
      </c>
      <c r="C14" s="230" t="s">
        <v>492</v>
      </c>
      <c r="D14" s="231" t="s">
        <v>493</v>
      </c>
      <c r="E14" s="232" t="s">
        <v>494</v>
      </c>
      <c r="F14" s="233" t="s">
        <v>495</v>
      </c>
      <c r="G14" s="47" t="s">
        <v>324</v>
      </c>
    </row>
    <row r="15" spans="1:29" ht="52" customHeight="1" x14ac:dyDescent="0.2">
      <c r="B15" s="159" t="s">
        <v>496</v>
      </c>
      <c r="C15" s="230" t="s">
        <v>497</v>
      </c>
      <c r="D15" s="231" t="s">
        <v>498</v>
      </c>
      <c r="E15" s="232" t="s">
        <v>499</v>
      </c>
      <c r="F15" s="233" t="s">
        <v>500</v>
      </c>
      <c r="G15" s="49" t="s">
        <v>324</v>
      </c>
    </row>
    <row r="16" spans="1:29" ht="52" customHeight="1" x14ac:dyDescent="0.2">
      <c r="B16" s="159" t="s">
        <v>501</v>
      </c>
      <c r="C16" s="230" t="s">
        <v>502</v>
      </c>
      <c r="D16" s="231" t="s">
        <v>503</v>
      </c>
      <c r="E16" s="232" t="s">
        <v>504</v>
      </c>
      <c r="F16" s="233" t="s">
        <v>505</v>
      </c>
      <c r="G16" s="47" t="s">
        <v>324</v>
      </c>
    </row>
    <row r="17" spans="2:7" ht="52" customHeight="1" x14ac:dyDescent="0.2">
      <c r="B17" s="159" t="s">
        <v>506</v>
      </c>
      <c r="C17" s="230" t="s">
        <v>507</v>
      </c>
      <c r="D17" s="231" t="s">
        <v>508</v>
      </c>
      <c r="E17" s="232" t="s">
        <v>509</v>
      </c>
      <c r="F17" s="233" t="s">
        <v>510</v>
      </c>
      <c r="G17" s="49" t="s">
        <v>324</v>
      </c>
    </row>
    <row r="18" spans="2:7" ht="52" customHeight="1" x14ac:dyDescent="0.2">
      <c r="B18" s="159" t="s">
        <v>328</v>
      </c>
      <c r="C18" s="230" t="s">
        <v>511</v>
      </c>
      <c r="D18" s="231" t="s">
        <v>512</v>
      </c>
      <c r="E18" s="232" t="s">
        <v>513</v>
      </c>
      <c r="F18" s="233" t="s">
        <v>514</v>
      </c>
      <c r="G18" s="47" t="s">
        <v>324</v>
      </c>
    </row>
    <row r="19" spans="2:7" ht="16" customHeight="1" x14ac:dyDescent="0.2">
      <c r="B19" s="331" t="s">
        <v>515</v>
      </c>
      <c r="C19" s="292"/>
      <c r="D19" s="292"/>
      <c r="E19" s="292"/>
      <c r="F19" s="292"/>
      <c r="G19" s="110" t="s">
        <v>95</v>
      </c>
    </row>
    <row r="20" spans="2:7" ht="6" customHeight="1" x14ac:dyDescent="0.2">
      <c r="B20" s="1"/>
      <c r="C20" s="1"/>
      <c r="D20" s="1"/>
      <c r="E20" s="1"/>
      <c r="F20" s="1"/>
      <c r="G20" s="1"/>
    </row>
    <row r="21" spans="2:7" ht="20" customHeight="1" x14ac:dyDescent="0.2">
      <c r="B21" s="339" t="s">
        <v>516</v>
      </c>
      <c r="C21" s="292"/>
      <c r="D21" s="292"/>
      <c r="E21" s="292"/>
      <c r="F21" s="292"/>
      <c r="G21" s="292"/>
    </row>
    <row r="22" spans="2:7" ht="36" customHeight="1" x14ac:dyDescent="0.2">
      <c r="B22" s="33" t="s">
        <v>471</v>
      </c>
      <c r="C22" s="88" t="s">
        <v>472</v>
      </c>
      <c r="D22" s="89" t="s">
        <v>473</v>
      </c>
      <c r="E22" s="182" t="s">
        <v>474</v>
      </c>
      <c r="F22" s="87" t="s">
        <v>475</v>
      </c>
      <c r="G22" s="33" t="s">
        <v>476</v>
      </c>
    </row>
    <row r="23" spans="2:7" ht="52" customHeight="1" x14ac:dyDescent="0.2">
      <c r="B23" s="159" t="s">
        <v>316</v>
      </c>
      <c r="C23" s="230" t="s">
        <v>517</v>
      </c>
      <c r="D23" s="231" t="s">
        <v>478</v>
      </c>
      <c r="E23" s="232" t="s">
        <v>479</v>
      </c>
      <c r="F23" s="233" t="s">
        <v>480</v>
      </c>
      <c r="G23" s="55" t="s">
        <v>518</v>
      </c>
    </row>
    <row r="24" spans="2:7" ht="52" customHeight="1" x14ac:dyDescent="0.2">
      <c r="B24" s="159" t="s">
        <v>481</v>
      </c>
      <c r="C24" s="230" t="s">
        <v>519</v>
      </c>
      <c r="D24" s="231" t="s">
        <v>483</v>
      </c>
      <c r="E24" s="232" t="s">
        <v>484</v>
      </c>
      <c r="F24" s="233" t="s">
        <v>485</v>
      </c>
      <c r="G24" s="47" t="s">
        <v>518</v>
      </c>
    </row>
    <row r="25" spans="2:7" ht="52" customHeight="1" x14ac:dyDescent="0.2">
      <c r="B25" s="159" t="s">
        <v>486</v>
      </c>
      <c r="C25" s="230" t="s">
        <v>520</v>
      </c>
      <c r="D25" s="231" t="s">
        <v>488</v>
      </c>
      <c r="E25" s="232" t="s">
        <v>489</v>
      </c>
      <c r="F25" s="233" t="s">
        <v>490</v>
      </c>
      <c r="G25" s="55" t="s">
        <v>518</v>
      </c>
    </row>
    <row r="26" spans="2:7" ht="52" customHeight="1" x14ac:dyDescent="0.2">
      <c r="B26" s="159" t="s">
        <v>491</v>
      </c>
      <c r="C26" s="230" t="s">
        <v>521</v>
      </c>
      <c r="D26" s="231" t="s">
        <v>493</v>
      </c>
      <c r="E26" s="232" t="s">
        <v>494</v>
      </c>
      <c r="F26" s="233" t="s">
        <v>495</v>
      </c>
      <c r="G26" s="47" t="s">
        <v>518</v>
      </c>
    </row>
    <row r="27" spans="2:7" ht="52" customHeight="1" x14ac:dyDescent="0.2">
      <c r="B27" s="159" t="s">
        <v>496</v>
      </c>
      <c r="C27" s="230" t="s">
        <v>522</v>
      </c>
      <c r="D27" s="231" t="s">
        <v>498</v>
      </c>
      <c r="E27" s="232" t="s">
        <v>499</v>
      </c>
      <c r="F27" s="233" t="s">
        <v>500</v>
      </c>
      <c r="G27" s="55" t="s">
        <v>518</v>
      </c>
    </row>
    <row r="28" spans="2:7" ht="52" customHeight="1" x14ac:dyDescent="0.2">
      <c r="B28" s="159" t="s">
        <v>501</v>
      </c>
      <c r="C28" s="230" t="s">
        <v>523</v>
      </c>
      <c r="D28" s="231" t="s">
        <v>503</v>
      </c>
      <c r="E28" s="232" t="s">
        <v>504</v>
      </c>
      <c r="F28" s="233" t="s">
        <v>505</v>
      </c>
      <c r="G28" s="47" t="s">
        <v>518</v>
      </c>
    </row>
    <row r="29" spans="2:7" ht="52" customHeight="1" x14ac:dyDescent="0.2">
      <c r="B29" s="159" t="s">
        <v>506</v>
      </c>
      <c r="C29" s="230" t="s">
        <v>524</v>
      </c>
      <c r="D29" s="231" t="s">
        <v>508</v>
      </c>
      <c r="E29" s="232" t="s">
        <v>509</v>
      </c>
      <c r="F29" s="233" t="s">
        <v>510</v>
      </c>
      <c r="G29" s="55" t="s">
        <v>518</v>
      </c>
    </row>
    <row r="30" spans="2:7" ht="52" customHeight="1" x14ac:dyDescent="0.2">
      <c r="B30" s="159" t="s">
        <v>328</v>
      </c>
      <c r="C30" s="230" t="s">
        <v>525</v>
      </c>
      <c r="D30" s="231" t="s">
        <v>512</v>
      </c>
      <c r="E30" s="232" t="s">
        <v>513</v>
      </c>
      <c r="F30" s="233" t="s">
        <v>514</v>
      </c>
      <c r="G30" s="47" t="s">
        <v>518</v>
      </c>
    </row>
    <row r="31" spans="2:7" ht="52" customHeight="1" x14ac:dyDescent="0.2">
      <c r="B31" s="159" t="s">
        <v>526</v>
      </c>
      <c r="C31" s="230" t="s">
        <v>527</v>
      </c>
      <c r="D31" s="231" t="s">
        <v>528</v>
      </c>
      <c r="E31" s="232" t="s">
        <v>529</v>
      </c>
      <c r="F31" s="233" t="s">
        <v>530</v>
      </c>
      <c r="G31" s="55" t="s">
        <v>518</v>
      </c>
    </row>
    <row r="32" spans="2:7" ht="52" customHeight="1" x14ac:dyDescent="0.2">
      <c r="B32" s="159" t="s">
        <v>531</v>
      </c>
      <c r="C32" s="230" t="s">
        <v>532</v>
      </c>
      <c r="D32" s="231" t="s">
        <v>533</v>
      </c>
      <c r="E32" s="232" t="s">
        <v>534</v>
      </c>
      <c r="F32" s="233" t="s">
        <v>535</v>
      </c>
      <c r="G32" s="47" t="s">
        <v>518</v>
      </c>
    </row>
    <row r="33" spans="2:7" ht="52" customHeight="1" x14ac:dyDescent="0.2">
      <c r="B33" s="159" t="s">
        <v>536</v>
      </c>
      <c r="C33" s="230" t="s">
        <v>537</v>
      </c>
      <c r="D33" s="231" t="s">
        <v>538</v>
      </c>
      <c r="E33" s="232" t="s">
        <v>539</v>
      </c>
      <c r="F33" s="233" t="s">
        <v>540</v>
      </c>
      <c r="G33" s="55" t="s">
        <v>518</v>
      </c>
    </row>
    <row r="34" spans="2:7" ht="52" customHeight="1" x14ac:dyDescent="0.2">
      <c r="B34" s="159" t="s">
        <v>541</v>
      </c>
      <c r="C34" s="230" t="s">
        <v>542</v>
      </c>
      <c r="D34" s="231" t="s">
        <v>543</v>
      </c>
      <c r="E34" s="232" t="s">
        <v>544</v>
      </c>
      <c r="F34" s="233" t="s">
        <v>545</v>
      </c>
      <c r="G34" s="47" t="s">
        <v>518</v>
      </c>
    </row>
    <row r="35" spans="2:7" ht="52" customHeight="1" x14ac:dyDescent="0.2">
      <c r="B35" s="159" t="s">
        <v>546</v>
      </c>
      <c r="C35" s="230" t="s">
        <v>547</v>
      </c>
      <c r="D35" s="231" t="s">
        <v>548</v>
      </c>
      <c r="E35" s="232" t="s">
        <v>549</v>
      </c>
      <c r="F35" s="233" t="s">
        <v>550</v>
      </c>
      <c r="G35" s="55" t="s">
        <v>518</v>
      </c>
    </row>
    <row r="36" spans="2:7" ht="52" customHeight="1" x14ac:dyDescent="0.2">
      <c r="B36" s="159" t="s">
        <v>551</v>
      </c>
      <c r="C36" s="230" t="s">
        <v>552</v>
      </c>
      <c r="D36" s="231" t="s">
        <v>553</v>
      </c>
      <c r="E36" s="232" t="s">
        <v>554</v>
      </c>
      <c r="F36" s="233" t="s">
        <v>555</v>
      </c>
      <c r="G36" s="47" t="s">
        <v>518</v>
      </c>
    </row>
    <row r="37" spans="2:7" ht="52" customHeight="1" x14ac:dyDescent="0.2">
      <c r="B37" s="159" t="s">
        <v>556</v>
      </c>
      <c r="C37" s="230" t="s">
        <v>557</v>
      </c>
      <c r="D37" s="231" t="s">
        <v>558</v>
      </c>
      <c r="E37" s="232" t="s">
        <v>559</v>
      </c>
      <c r="F37" s="233" t="s">
        <v>560</v>
      </c>
      <c r="G37" s="55" t="s">
        <v>518</v>
      </c>
    </row>
    <row r="38" spans="2:7" ht="52" customHeight="1" x14ac:dyDescent="0.2">
      <c r="B38" s="159" t="s">
        <v>561</v>
      </c>
      <c r="C38" s="230" t="s">
        <v>562</v>
      </c>
      <c r="D38" s="231" t="s">
        <v>563</v>
      </c>
      <c r="E38" s="232" t="s">
        <v>564</v>
      </c>
      <c r="F38" s="233" t="s">
        <v>565</v>
      </c>
      <c r="G38" s="47" t="s">
        <v>518</v>
      </c>
    </row>
    <row r="39" spans="2:7" ht="52" customHeight="1" x14ac:dyDescent="0.2">
      <c r="B39" s="159" t="s">
        <v>566</v>
      </c>
      <c r="C39" s="230" t="s">
        <v>567</v>
      </c>
      <c r="D39" s="231" t="s">
        <v>568</v>
      </c>
      <c r="E39" s="232" t="s">
        <v>569</v>
      </c>
      <c r="F39" s="233" t="s">
        <v>570</v>
      </c>
      <c r="G39" s="55" t="s">
        <v>518</v>
      </c>
    </row>
    <row r="40" spans="2:7" ht="52" customHeight="1" x14ac:dyDescent="0.2">
      <c r="B40" s="159" t="s">
        <v>571</v>
      </c>
      <c r="C40" s="230" t="s">
        <v>572</v>
      </c>
      <c r="D40" s="231" t="s">
        <v>573</v>
      </c>
      <c r="E40" s="232" t="s">
        <v>574</v>
      </c>
      <c r="F40" s="233" t="s">
        <v>575</v>
      </c>
      <c r="G40" s="47" t="s">
        <v>518</v>
      </c>
    </row>
    <row r="41" spans="2:7" ht="52" customHeight="1" x14ac:dyDescent="0.2">
      <c r="B41" s="159" t="s">
        <v>576</v>
      </c>
      <c r="C41" s="230" t="s">
        <v>577</v>
      </c>
      <c r="D41" s="231" t="s">
        <v>578</v>
      </c>
      <c r="E41" s="232" t="s">
        <v>579</v>
      </c>
      <c r="F41" s="233" t="s">
        <v>580</v>
      </c>
      <c r="G41" s="55" t="s">
        <v>518</v>
      </c>
    </row>
    <row r="42" spans="2:7" ht="16" customHeight="1" x14ac:dyDescent="0.2">
      <c r="B42" s="331" t="s">
        <v>581</v>
      </c>
      <c r="C42" s="292"/>
      <c r="D42" s="292"/>
      <c r="E42" s="292"/>
      <c r="F42" s="292"/>
      <c r="G42" s="130" t="s">
        <v>95</v>
      </c>
    </row>
    <row r="43" spans="2:7" ht="6" customHeight="1" x14ac:dyDescent="0.2">
      <c r="B43" s="1"/>
      <c r="C43" s="1"/>
      <c r="D43" s="1"/>
      <c r="E43" s="1"/>
      <c r="F43" s="1"/>
      <c r="G43" s="1"/>
    </row>
    <row r="44" spans="2:7" ht="20" customHeight="1" x14ac:dyDescent="0.2">
      <c r="B44" s="333" t="s">
        <v>582</v>
      </c>
      <c r="C44" s="292"/>
      <c r="D44" s="292"/>
      <c r="E44" s="292"/>
      <c r="F44" s="292"/>
      <c r="G44" s="292"/>
    </row>
    <row r="45" spans="2:7" ht="36" customHeight="1" x14ac:dyDescent="0.2">
      <c r="B45" s="33" t="s">
        <v>471</v>
      </c>
      <c r="C45" s="88" t="s">
        <v>472</v>
      </c>
      <c r="D45" s="89" t="s">
        <v>473</v>
      </c>
      <c r="E45" s="182" t="s">
        <v>474</v>
      </c>
      <c r="F45" s="87" t="s">
        <v>475</v>
      </c>
      <c r="G45" s="33" t="s">
        <v>476</v>
      </c>
    </row>
    <row r="46" spans="2:7" ht="52" customHeight="1" x14ac:dyDescent="0.2">
      <c r="B46" s="159" t="s">
        <v>316</v>
      </c>
      <c r="C46" s="230" t="s">
        <v>583</v>
      </c>
      <c r="D46" s="231" t="s">
        <v>478</v>
      </c>
      <c r="E46" s="232" t="s">
        <v>479</v>
      </c>
      <c r="F46" s="233" t="s">
        <v>480</v>
      </c>
      <c r="G46" s="59" t="s">
        <v>324</v>
      </c>
    </row>
    <row r="47" spans="2:7" ht="52" customHeight="1" x14ac:dyDescent="0.2">
      <c r="B47" s="159" t="s">
        <v>481</v>
      </c>
      <c r="C47" s="230" t="s">
        <v>584</v>
      </c>
      <c r="D47" s="231" t="s">
        <v>483</v>
      </c>
      <c r="E47" s="232" t="s">
        <v>484</v>
      </c>
      <c r="F47" s="233" t="s">
        <v>485</v>
      </c>
      <c r="G47" s="47" t="s">
        <v>324</v>
      </c>
    </row>
    <row r="48" spans="2:7" ht="52" customHeight="1" x14ac:dyDescent="0.2">
      <c r="B48" s="159" t="s">
        <v>486</v>
      </c>
      <c r="C48" s="230" t="s">
        <v>585</v>
      </c>
      <c r="D48" s="231" t="s">
        <v>488</v>
      </c>
      <c r="E48" s="232" t="s">
        <v>489</v>
      </c>
      <c r="F48" s="233" t="s">
        <v>490</v>
      </c>
      <c r="G48" s="59" t="s">
        <v>324</v>
      </c>
    </row>
    <row r="49" spans="2:7" ht="52" customHeight="1" x14ac:dyDescent="0.2">
      <c r="B49" s="159" t="s">
        <v>491</v>
      </c>
      <c r="C49" s="230" t="s">
        <v>586</v>
      </c>
      <c r="D49" s="231" t="s">
        <v>493</v>
      </c>
      <c r="E49" s="232" t="s">
        <v>494</v>
      </c>
      <c r="F49" s="233" t="s">
        <v>495</v>
      </c>
      <c r="G49" s="47" t="s">
        <v>324</v>
      </c>
    </row>
    <row r="50" spans="2:7" ht="52" customHeight="1" x14ac:dyDescent="0.2">
      <c r="B50" s="159" t="s">
        <v>496</v>
      </c>
      <c r="C50" s="230" t="s">
        <v>587</v>
      </c>
      <c r="D50" s="231" t="s">
        <v>498</v>
      </c>
      <c r="E50" s="232" t="s">
        <v>499</v>
      </c>
      <c r="F50" s="233" t="s">
        <v>500</v>
      </c>
      <c r="G50" s="59" t="s">
        <v>324</v>
      </c>
    </row>
    <row r="51" spans="2:7" ht="52" customHeight="1" x14ac:dyDescent="0.2">
      <c r="B51" s="159" t="s">
        <v>501</v>
      </c>
      <c r="C51" s="230" t="s">
        <v>588</v>
      </c>
      <c r="D51" s="231" t="s">
        <v>503</v>
      </c>
      <c r="E51" s="232" t="s">
        <v>504</v>
      </c>
      <c r="F51" s="233" t="s">
        <v>505</v>
      </c>
      <c r="G51" s="47" t="s">
        <v>324</v>
      </c>
    </row>
    <row r="52" spans="2:7" ht="52" customHeight="1" x14ac:dyDescent="0.2">
      <c r="B52" s="159" t="s">
        <v>506</v>
      </c>
      <c r="C52" s="230" t="s">
        <v>589</v>
      </c>
      <c r="D52" s="231" t="s">
        <v>508</v>
      </c>
      <c r="E52" s="232" t="s">
        <v>509</v>
      </c>
      <c r="F52" s="233" t="s">
        <v>510</v>
      </c>
      <c r="G52" s="59" t="s">
        <v>324</v>
      </c>
    </row>
    <row r="53" spans="2:7" ht="52" customHeight="1" x14ac:dyDescent="0.2">
      <c r="B53" s="159" t="s">
        <v>328</v>
      </c>
      <c r="C53" s="230" t="s">
        <v>590</v>
      </c>
      <c r="D53" s="231" t="s">
        <v>512</v>
      </c>
      <c r="E53" s="232" t="s">
        <v>513</v>
      </c>
      <c r="F53" s="233" t="s">
        <v>514</v>
      </c>
      <c r="G53" s="47" t="s">
        <v>324</v>
      </c>
    </row>
    <row r="54" spans="2:7" ht="16" customHeight="1" x14ac:dyDescent="0.2">
      <c r="B54" s="331" t="s">
        <v>515</v>
      </c>
      <c r="C54" s="292"/>
      <c r="D54" s="292"/>
      <c r="E54" s="292"/>
      <c r="F54" s="292"/>
      <c r="G54" s="140" t="s">
        <v>95</v>
      </c>
    </row>
    <row r="55" spans="2:7" ht="6" customHeight="1" x14ac:dyDescent="0.2">
      <c r="B55" s="1"/>
      <c r="C55" s="1"/>
      <c r="D55" s="1"/>
      <c r="E55" s="1"/>
      <c r="F55" s="1"/>
      <c r="G55" s="1"/>
    </row>
    <row r="56" spans="2:7" ht="20" customHeight="1" x14ac:dyDescent="0.2">
      <c r="B56" s="338" t="s">
        <v>591</v>
      </c>
      <c r="C56" s="292"/>
      <c r="D56" s="292"/>
      <c r="E56" s="292"/>
      <c r="F56" s="292"/>
      <c r="G56" s="292"/>
    </row>
    <row r="57" spans="2:7" ht="36" customHeight="1" x14ac:dyDescent="0.2">
      <c r="B57" s="33" t="s">
        <v>471</v>
      </c>
      <c r="C57" s="88" t="s">
        <v>472</v>
      </c>
      <c r="D57" s="89" t="s">
        <v>473</v>
      </c>
      <c r="E57" s="182" t="s">
        <v>474</v>
      </c>
      <c r="F57" s="87" t="s">
        <v>475</v>
      </c>
      <c r="G57" s="33" t="s">
        <v>476</v>
      </c>
    </row>
    <row r="58" spans="2:7" ht="52" customHeight="1" x14ac:dyDescent="0.2">
      <c r="B58" s="159" t="s">
        <v>316</v>
      </c>
      <c r="C58" s="230" t="s">
        <v>592</v>
      </c>
      <c r="D58" s="231" t="s">
        <v>478</v>
      </c>
      <c r="E58" s="232" t="s">
        <v>479</v>
      </c>
      <c r="F58" s="233" t="s">
        <v>480</v>
      </c>
      <c r="G58" s="61" t="s">
        <v>324</v>
      </c>
    </row>
    <row r="59" spans="2:7" ht="52" customHeight="1" x14ac:dyDescent="0.2">
      <c r="B59" s="159" t="s">
        <v>481</v>
      </c>
      <c r="C59" s="230" t="s">
        <v>593</v>
      </c>
      <c r="D59" s="231" t="s">
        <v>483</v>
      </c>
      <c r="E59" s="232" t="s">
        <v>484</v>
      </c>
      <c r="F59" s="233" t="s">
        <v>485</v>
      </c>
      <c r="G59" s="47" t="s">
        <v>324</v>
      </c>
    </row>
    <row r="60" spans="2:7" ht="52" customHeight="1" x14ac:dyDescent="0.2">
      <c r="B60" s="159" t="s">
        <v>486</v>
      </c>
      <c r="C60" s="230" t="s">
        <v>594</v>
      </c>
      <c r="D60" s="231" t="s">
        <v>488</v>
      </c>
      <c r="E60" s="232" t="s">
        <v>489</v>
      </c>
      <c r="F60" s="233" t="s">
        <v>490</v>
      </c>
      <c r="G60" s="61" t="s">
        <v>324</v>
      </c>
    </row>
    <row r="61" spans="2:7" ht="52" customHeight="1" x14ac:dyDescent="0.2">
      <c r="B61" s="159" t="s">
        <v>491</v>
      </c>
      <c r="C61" s="230" t="s">
        <v>595</v>
      </c>
      <c r="D61" s="231" t="s">
        <v>493</v>
      </c>
      <c r="E61" s="232" t="s">
        <v>494</v>
      </c>
      <c r="F61" s="233" t="s">
        <v>495</v>
      </c>
      <c r="G61" s="47" t="s">
        <v>324</v>
      </c>
    </row>
    <row r="62" spans="2:7" ht="52" customHeight="1" x14ac:dyDescent="0.2">
      <c r="B62" s="159" t="s">
        <v>496</v>
      </c>
      <c r="C62" s="230" t="s">
        <v>596</v>
      </c>
      <c r="D62" s="231" t="s">
        <v>498</v>
      </c>
      <c r="E62" s="232" t="s">
        <v>499</v>
      </c>
      <c r="F62" s="233" t="s">
        <v>500</v>
      </c>
      <c r="G62" s="61" t="s">
        <v>324</v>
      </c>
    </row>
    <row r="63" spans="2:7" ht="52" customHeight="1" x14ac:dyDescent="0.2">
      <c r="B63" s="159" t="s">
        <v>501</v>
      </c>
      <c r="C63" s="230" t="s">
        <v>597</v>
      </c>
      <c r="D63" s="231" t="s">
        <v>503</v>
      </c>
      <c r="E63" s="232" t="s">
        <v>504</v>
      </c>
      <c r="F63" s="233" t="s">
        <v>505</v>
      </c>
      <c r="G63" s="47" t="s">
        <v>324</v>
      </c>
    </row>
    <row r="64" spans="2:7" ht="52" customHeight="1" x14ac:dyDescent="0.2">
      <c r="B64" s="159" t="s">
        <v>506</v>
      </c>
      <c r="C64" s="230" t="s">
        <v>598</v>
      </c>
      <c r="D64" s="231" t="s">
        <v>508</v>
      </c>
      <c r="E64" s="232" t="s">
        <v>509</v>
      </c>
      <c r="F64" s="233" t="s">
        <v>510</v>
      </c>
      <c r="G64" s="61" t="s">
        <v>324</v>
      </c>
    </row>
    <row r="65" spans="2:7" ht="52" customHeight="1" x14ac:dyDescent="0.2">
      <c r="B65" s="159" t="s">
        <v>328</v>
      </c>
      <c r="C65" s="230" t="s">
        <v>599</v>
      </c>
      <c r="D65" s="231" t="s">
        <v>512</v>
      </c>
      <c r="E65" s="232" t="s">
        <v>513</v>
      </c>
      <c r="F65" s="233" t="s">
        <v>514</v>
      </c>
      <c r="G65" s="47" t="s">
        <v>324</v>
      </c>
    </row>
    <row r="66" spans="2:7" ht="16" customHeight="1" x14ac:dyDescent="0.2">
      <c r="B66" s="331" t="s">
        <v>515</v>
      </c>
      <c r="C66" s="292"/>
      <c r="D66" s="292"/>
      <c r="E66" s="292"/>
      <c r="F66" s="292"/>
      <c r="G66" s="218" t="s">
        <v>95</v>
      </c>
    </row>
    <row r="67" spans="2:7" ht="6" customHeight="1" x14ac:dyDescent="0.2">
      <c r="B67" s="1"/>
      <c r="C67" s="1"/>
      <c r="D67" s="1"/>
      <c r="E67" s="1"/>
      <c r="F67" s="1"/>
      <c r="G67" s="1"/>
    </row>
    <row r="68" spans="2:7" ht="20" customHeight="1" x14ac:dyDescent="0.2">
      <c r="B68" s="335" t="s">
        <v>600</v>
      </c>
      <c r="C68" s="292"/>
      <c r="D68" s="292"/>
      <c r="E68" s="292"/>
      <c r="F68" s="292"/>
      <c r="G68" s="292"/>
    </row>
    <row r="69" spans="2:7" ht="36" customHeight="1" x14ac:dyDescent="0.2">
      <c r="B69" s="33" t="s">
        <v>471</v>
      </c>
      <c r="C69" s="88" t="s">
        <v>472</v>
      </c>
      <c r="D69" s="89" t="s">
        <v>473</v>
      </c>
      <c r="E69" s="182" t="s">
        <v>474</v>
      </c>
      <c r="F69" s="87" t="s">
        <v>475</v>
      </c>
      <c r="G69" s="33" t="s">
        <v>476</v>
      </c>
    </row>
    <row r="70" spans="2:7" ht="52" customHeight="1" x14ac:dyDescent="0.2">
      <c r="B70" s="159" t="s">
        <v>316</v>
      </c>
      <c r="C70" s="230" t="s">
        <v>601</v>
      </c>
      <c r="D70" s="231" t="s">
        <v>478</v>
      </c>
      <c r="E70" s="232" t="s">
        <v>479</v>
      </c>
      <c r="F70" s="233" t="s">
        <v>480</v>
      </c>
      <c r="G70" s="63" t="s">
        <v>324</v>
      </c>
    </row>
    <row r="71" spans="2:7" ht="52" customHeight="1" x14ac:dyDescent="0.2">
      <c r="B71" s="159" t="s">
        <v>481</v>
      </c>
      <c r="C71" s="230" t="s">
        <v>602</v>
      </c>
      <c r="D71" s="231" t="s">
        <v>483</v>
      </c>
      <c r="E71" s="232" t="s">
        <v>484</v>
      </c>
      <c r="F71" s="233" t="s">
        <v>485</v>
      </c>
      <c r="G71" s="47" t="s">
        <v>324</v>
      </c>
    </row>
    <row r="72" spans="2:7" ht="52" customHeight="1" x14ac:dyDescent="0.2">
      <c r="B72" s="159" t="s">
        <v>486</v>
      </c>
      <c r="C72" s="230" t="s">
        <v>603</v>
      </c>
      <c r="D72" s="231" t="s">
        <v>488</v>
      </c>
      <c r="E72" s="232" t="s">
        <v>489</v>
      </c>
      <c r="F72" s="233" t="s">
        <v>490</v>
      </c>
      <c r="G72" s="63" t="s">
        <v>324</v>
      </c>
    </row>
    <row r="73" spans="2:7" ht="52" customHeight="1" x14ac:dyDescent="0.2">
      <c r="B73" s="159" t="s">
        <v>491</v>
      </c>
      <c r="C73" s="230" t="s">
        <v>604</v>
      </c>
      <c r="D73" s="231" t="s">
        <v>493</v>
      </c>
      <c r="E73" s="232" t="s">
        <v>494</v>
      </c>
      <c r="F73" s="233" t="s">
        <v>495</v>
      </c>
      <c r="G73" s="47" t="s">
        <v>324</v>
      </c>
    </row>
    <row r="74" spans="2:7" ht="52" customHeight="1" x14ac:dyDescent="0.2">
      <c r="B74" s="159" t="s">
        <v>496</v>
      </c>
      <c r="C74" s="230" t="s">
        <v>605</v>
      </c>
      <c r="D74" s="231" t="s">
        <v>498</v>
      </c>
      <c r="E74" s="232" t="s">
        <v>499</v>
      </c>
      <c r="F74" s="233" t="s">
        <v>500</v>
      </c>
      <c r="G74" s="63" t="s">
        <v>324</v>
      </c>
    </row>
    <row r="75" spans="2:7" ht="52" customHeight="1" x14ac:dyDescent="0.2">
      <c r="B75" s="159" t="s">
        <v>501</v>
      </c>
      <c r="C75" s="230" t="s">
        <v>606</v>
      </c>
      <c r="D75" s="231" t="s">
        <v>503</v>
      </c>
      <c r="E75" s="232" t="s">
        <v>504</v>
      </c>
      <c r="F75" s="233" t="s">
        <v>505</v>
      </c>
      <c r="G75" s="47" t="s">
        <v>324</v>
      </c>
    </row>
    <row r="76" spans="2:7" ht="52" customHeight="1" x14ac:dyDescent="0.2">
      <c r="B76" s="159" t="s">
        <v>506</v>
      </c>
      <c r="C76" s="230" t="s">
        <v>607</v>
      </c>
      <c r="D76" s="231" t="s">
        <v>508</v>
      </c>
      <c r="E76" s="232" t="s">
        <v>509</v>
      </c>
      <c r="F76" s="233" t="s">
        <v>510</v>
      </c>
      <c r="G76" s="63" t="s">
        <v>324</v>
      </c>
    </row>
    <row r="77" spans="2:7" ht="52" customHeight="1" x14ac:dyDescent="0.2">
      <c r="B77" s="159" t="s">
        <v>328</v>
      </c>
      <c r="C77" s="230" t="s">
        <v>608</v>
      </c>
      <c r="D77" s="231" t="s">
        <v>512</v>
      </c>
      <c r="E77" s="232" t="s">
        <v>513</v>
      </c>
      <c r="F77" s="233" t="s">
        <v>514</v>
      </c>
      <c r="G77" s="47" t="s">
        <v>324</v>
      </c>
    </row>
    <row r="78" spans="2:7" ht="16" customHeight="1" x14ac:dyDescent="0.2">
      <c r="B78" s="331" t="s">
        <v>515</v>
      </c>
      <c r="C78" s="292"/>
      <c r="D78" s="292"/>
      <c r="E78" s="292"/>
      <c r="F78" s="292"/>
      <c r="G78" s="219" t="s">
        <v>95</v>
      </c>
    </row>
    <row r="79" spans="2:7" ht="6" customHeight="1" x14ac:dyDescent="0.2">
      <c r="B79" s="1"/>
      <c r="C79" s="1"/>
      <c r="D79" s="1"/>
      <c r="E79" s="1"/>
      <c r="F79" s="1"/>
      <c r="G79" s="1"/>
    </row>
    <row r="80" spans="2:7" ht="20" customHeight="1" x14ac:dyDescent="0.2">
      <c r="B80" s="336" t="s">
        <v>609</v>
      </c>
      <c r="C80" s="292"/>
      <c r="D80" s="292"/>
      <c r="E80" s="292"/>
      <c r="F80" s="292"/>
      <c r="G80" s="292"/>
    </row>
    <row r="81" spans="2:7" ht="36" customHeight="1" x14ac:dyDescent="0.2">
      <c r="B81" s="33" t="s">
        <v>471</v>
      </c>
      <c r="C81" s="88" t="s">
        <v>472</v>
      </c>
      <c r="D81" s="89" t="s">
        <v>473</v>
      </c>
      <c r="E81" s="182" t="s">
        <v>474</v>
      </c>
      <c r="F81" s="87" t="s">
        <v>475</v>
      </c>
      <c r="G81" s="33" t="s">
        <v>476</v>
      </c>
    </row>
    <row r="82" spans="2:7" ht="52" customHeight="1" x14ac:dyDescent="0.2">
      <c r="B82" s="159" t="s">
        <v>316</v>
      </c>
      <c r="C82" s="230" t="s">
        <v>610</v>
      </c>
      <c r="D82" s="231" t="s">
        <v>478</v>
      </c>
      <c r="E82" s="232" t="s">
        <v>479</v>
      </c>
      <c r="F82" s="233" t="s">
        <v>480</v>
      </c>
      <c r="G82" s="65" t="s">
        <v>329</v>
      </c>
    </row>
    <row r="83" spans="2:7" ht="52" customHeight="1" x14ac:dyDescent="0.2">
      <c r="B83" s="159" t="s">
        <v>481</v>
      </c>
      <c r="C83" s="230" t="s">
        <v>611</v>
      </c>
      <c r="D83" s="231" t="s">
        <v>483</v>
      </c>
      <c r="E83" s="232" t="s">
        <v>484</v>
      </c>
      <c r="F83" s="233" t="s">
        <v>485</v>
      </c>
      <c r="G83" s="47" t="s">
        <v>329</v>
      </c>
    </row>
    <row r="84" spans="2:7" ht="52" customHeight="1" x14ac:dyDescent="0.2">
      <c r="B84" s="159" t="s">
        <v>486</v>
      </c>
      <c r="C84" s="230" t="s">
        <v>612</v>
      </c>
      <c r="D84" s="231" t="s">
        <v>488</v>
      </c>
      <c r="E84" s="232" t="s">
        <v>489</v>
      </c>
      <c r="F84" s="233" t="s">
        <v>490</v>
      </c>
      <c r="G84" s="65" t="s">
        <v>329</v>
      </c>
    </row>
    <row r="85" spans="2:7" ht="52" customHeight="1" x14ac:dyDescent="0.2">
      <c r="B85" s="159" t="s">
        <v>491</v>
      </c>
      <c r="C85" s="230" t="s">
        <v>613</v>
      </c>
      <c r="D85" s="231" t="s">
        <v>493</v>
      </c>
      <c r="E85" s="232" t="s">
        <v>494</v>
      </c>
      <c r="F85" s="233" t="s">
        <v>495</v>
      </c>
      <c r="G85" s="47" t="s">
        <v>329</v>
      </c>
    </row>
    <row r="86" spans="2:7" ht="52" customHeight="1" x14ac:dyDescent="0.2">
      <c r="B86" s="159" t="s">
        <v>496</v>
      </c>
      <c r="C86" s="230" t="s">
        <v>614</v>
      </c>
      <c r="D86" s="231" t="s">
        <v>498</v>
      </c>
      <c r="E86" s="232" t="s">
        <v>499</v>
      </c>
      <c r="F86" s="233" t="s">
        <v>500</v>
      </c>
      <c r="G86" s="65" t="s">
        <v>329</v>
      </c>
    </row>
    <row r="87" spans="2:7" ht="52" customHeight="1" x14ac:dyDescent="0.2">
      <c r="B87" s="159" t="s">
        <v>501</v>
      </c>
      <c r="C87" s="230" t="s">
        <v>615</v>
      </c>
      <c r="D87" s="231" t="s">
        <v>503</v>
      </c>
      <c r="E87" s="232" t="s">
        <v>504</v>
      </c>
      <c r="F87" s="233" t="s">
        <v>505</v>
      </c>
      <c r="G87" s="47" t="s">
        <v>329</v>
      </c>
    </row>
    <row r="88" spans="2:7" ht="52" customHeight="1" x14ac:dyDescent="0.2">
      <c r="B88" s="159" t="s">
        <v>506</v>
      </c>
      <c r="C88" s="230" t="s">
        <v>616</v>
      </c>
      <c r="D88" s="231" t="s">
        <v>508</v>
      </c>
      <c r="E88" s="232" t="s">
        <v>509</v>
      </c>
      <c r="F88" s="233" t="s">
        <v>510</v>
      </c>
      <c r="G88" s="65" t="s">
        <v>329</v>
      </c>
    </row>
    <row r="89" spans="2:7" ht="52" customHeight="1" x14ac:dyDescent="0.2">
      <c r="B89" s="159" t="s">
        <v>328</v>
      </c>
      <c r="C89" s="230" t="s">
        <v>617</v>
      </c>
      <c r="D89" s="231" t="s">
        <v>512</v>
      </c>
      <c r="E89" s="232" t="s">
        <v>513</v>
      </c>
      <c r="F89" s="233" t="s">
        <v>514</v>
      </c>
      <c r="G89" s="47" t="s">
        <v>329</v>
      </c>
    </row>
    <row r="90" spans="2:7" ht="52" customHeight="1" x14ac:dyDescent="0.2">
      <c r="B90" s="159" t="s">
        <v>526</v>
      </c>
      <c r="C90" s="230" t="s">
        <v>618</v>
      </c>
      <c r="D90" s="231" t="s">
        <v>528</v>
      </c>
      <c r="E90" s="232" t="s">
        <v>529</v>
      </c>
      <c r="F90" s="233" t="s">
        <v>530</v>
      </c>
      <c r="G90" s="65" t="s">
        <v>329</v>
      </c>
    </row>
    <row r="91" spans="2:7" ht="52" customHeight="1" x14ac:dyDescent="0.2">
      <c r="B91" s="159" t="s">
        <v>531</v>
      </c>
      <c r="C91" s="230" t="s">
        <v>619</v>
      </c>
      <c r="D91" s="231" t="s">
        <v>533</v>
      </c>
      <c r="E91" s="232" t="s">
        <v>534</v>
      </c>
      <c r="F91" s="233" t="s">
        <v>535</v>
      </c>
      <c r="G91" s="47" t="s">
        <v>329</v>
      </c>
    </row>
    <row r="92" spans="2:7" ht="16" customHeight="1" x14ac:dyDescent="0.2">
      <c r="B92" s="331" t="s">
        <v>620</v>
      </c>
      <c r="C92" s="292"/>
      <c r="D92" s="292"/>
      <c r="E92" s="292"/>
      <c r="F92" s="292"/>
      <c r="G92" s="220" t="s">
        <v>95</v>
      </c>
    </row>
    <row r="93" spans="2:7" ht="6" customHeight="1" x14ac:dyDescent="0.2">
      <c r="B93" s="1"/>
      <c r="C93" s="1"/>
      <c r="D93" s="1"/>
      <c r="E93" s="1"/>
      <c r="F93" s="1"/>
      <c r="G93" s="1"/>
    </row>
    <row r="94" spans="2:7" ht="20" customHeight="1" x14ac:dyDescent="0.2">
      <c r="B94" s="337" t="s">
        <v>621</v>
      </c>
      <c r="C94" s="292"/>
      <c r="D94" s="292"/>
      <c r="E94" s="292"/>
      <c r="F94" s="292"/>
      <c r="G94" s="292"/>
    </row>
    <row r="95" spans="2:7" ht="36" customHeight="1" x14ac:dyDescent="0.2">
      <c r="B95" s="33" t="s">
        <v>471</v>
      </c>
      <c r="C95" s="88" t="s">
        <v>472</v>
      </c>
      <c r="D95" s="89" t="s">
        <v>473</v>
      </c>
      <c r="E95" s="182" t="s">
        <v>474</v>
      </c>
      <c r="F95" s="87" t="s">
        <v>475</v>
      </c>
      <c r="G95" s="33" t="s">
        <v>476</v>
      </c>
    </row>
    <row r="96" spans="2:7" ht="52" customHeight="1" x14ac:dyDescent="0.2">
      <c r="B96" s="159" t="s">
        <v>316</v>
      </c>
      <c r="C96" s="230" t="s">
        <v>622</v>
      </c>
      <c r="D96" s="231" t="s">
        <v>478</v>
      </c>
      <c r="E96" s="232" t="s">
        <v>479</v>
      </c>
      <c r="F96" s="233" t="s">
        <v>480</v>
      </c>
      <c r="G96" s="59" t="s">
        <v>623</v>
      </c>
    </row>
    <row r="97" spans="2:7" ht="52" customHeight="1" x14ac:dyDescent="0.2">
      <c r="B97" s="159" t="s">
        <v>481</v>
      </c>
      <c r="C97" s="230" t="s">
        <v>624</v>
      </c>
      <c r="D97" s="231" t="s">
        <v>483</v>
      </c>
      <c r="E97" s="232" t="s">
        <v>484</v>
      </c>
      <c r="F97" s="233" t="s">
        <v>485</v>
      </c>
      <c r="G97" s="47" t="s">
        <v>623</v>
      </c>
    </row>
    <row r="98" spans="2:7" ht="52" customHeight="1" x14ac:dyDescent="0.2">
      <c r="B98" s="159" t="s">
        <v>486</v>
      </c>
      <c r="C98" s="230" t="s">
        <v>625</v>
      </c>
      <c r="D98" s="231" t="s">
        <v>488</v>
      </c>
      <c r="E98" s="232" t="s">
        <v>489</v>
      </c>
      <c r="F98" s="233" t="s">
        <v>490</v>
      </c>
      <c r="G98" s="59" t="s">
        <v>623</v>
      </c>
    </row>
    <row r="99" spans="2:7" ht="52" customHeight="1" x14ac:dyDescent="0.2">
      <c r="B99" s="159" t="s">
        <v>491</v>
      </c>
      <c r="C99" s="230" t="s">
        <v>626</v>
      </c>
      <c r="D99" s="231" t="s">
        <v>493</v>
      </c>
      <c r="E99" s="232" t="s">
        <v>494</v>
      </c>
      <c r="F99" s="233" t="s">
        <v>495</v>
      </c>
      <c r="G99" s="47" t="s">
        <v>623</v>
      </c>
    </row>
    <row r="100" spans="2:7" ht="52" customHeight="1" x14ac:dyDescent="0.2">
      <c r="B100" s="159" t="s">
        <v>496</v>
      </c>
      <c r="C100" s="230" t="s">
        <v>627</v>
      </c>
      <c r="D100" s="231" t="s">
        <v>498</v>
      </c>
      <c r="E100" s="232" t="s">
        <v>499</v>
      </c>
      <c r="F100" s="233" t="s">
        <v>500</v>
      </c>
      <c r="G100" s="59" t="s">
        <v>623</v>
      </c>
    </row>
    <row r="101" spans="2:7" ht="52" customHeight="1" x14ac:dyDescent="0.2">
      <c r="B101" s="159" t="s">
        <v>501</v>
      </c>
      <c r="C101" s="230" t="s">
        <v>628</v>
      </c>
      <c r="D101" s="231" t="s">
        <v>503</v>
      </c>
      <c r="E101" s="232" t="s">
        <v>504</v>
      </c>
      <c r="F101" s="233" t="s">
        <v>505</v>
      </c>
      <c r="G101" s="47" t="s">
        <v>623</v>
      </c>
    </row>
    <row r="102" spans="2:7" ht="52" customHeight="1" x14ac:dyDescent="0.2">
      <c r="B102" s="159" t="s">
        <v>506</v>
      </c>
      <c r="C102" s="230" t="s">
        <v>629</v>
      </c>
      <c r="D102" s="231" t="s">
        <v>508</v>
      </c>
      <c r="E102" s="232" t="s">
        <v>509</v>
      </c>
      <c r="F102" s="233" t="s">
        <v>510</v>
      </c>
      <c r="G102" s="59" t="s">
        <v>623</v>
      </c>
    </row>
    <row r="103" spans="2:7" ht="52" customHeight="1" x14ac:dyDescent="0.2">
      <c r="B103" s="159" t="s">
        <v>328</v>
      </c>
      <c r="C103" s="230" t="s">
        <v>630</v>
      </c>
      <c r="D103" s="231" t="s">
        <v>512</v>
      </c>
      <c r="E103" s="232" t="s">
        <v>513</v>
      </c>
      <c r="F103" s="233" t="s">
        <v>514</v>
      </c>
      <c r="G103" s="47" t="s">
        <v>623</v>
      </c>
    </row>
    <row r="104" spans="2:7" ht="52" customHeight="1" x14ac:dyDescent="0.2">
      <c r="B104" s="159" t="s">
        <v>526</v>
      </c>
      <c r="C104" s="230" t="s">
        <v>631</v>
      </c>
      <c r="D104" s="231" t="s">
        <v>528</v>
      </c>
      <c r="E104" s="232" t="s">
        <v>529</v>
      </c>
      <c r="F104" s="233" t="s">
        <v>530</v>
      </c>
      <c r="G104" s="59" t="s">
        <v>623</v>
      </c>
    </row>
    <row r="105" spans="2:7" ht="16" customHeight="1" x14ac:dyDescent="0.2">
      <c r="B105" s="331" t="s">
        <v>632</v>
      </c>
      <c r="C105" s="292"/>
      <c r="D105" s="292"/>
      <c r="E105" s="292"/>
      <c r="F105" s="292"/>
      <c r="G105" s="221" t="s">
        <v>95</v>
      </c>
    </row>
    <row r="106" spans="2:7" ht="6" customHeight="1" x14ac:dyDescent="0.2">
      <c r="B106" s="1"/>
      <c r="C106" s="1"/>
      <c r="D106" s="1"/>
      <c r="E106" s="1"/>
      <c r="F106" s="1"/>
      <c r="G106" s="1"/>
    </row>
    <row r="107" spans="2:7" ht="20" customHeight="1" x14ac:dyDescent="0.2">
      <c r="B107" s="330" t="s">
        <v>633</v>
      </c>
      <c r="C107" s="292"/>
      <c r="D107" s="292"/>
      <c r="E107" s="292"/>
      <c r="F107" s="292"/>
      <c r="G107" s="292"/>
    </row>
    <row r="108" spans="2:7" ht="36" customHeight="1" x14ac:dyDescent="0.2">
      <c r="B108" s="33" t="s">
        <v>471</v>
      </c>
      <c r="C108" s="88" t="s">
        <v>472</v>
      </c>
      <c r="D108" s="89" t="s">
        <v>473</v>
      </c>
      <c r="E108" s="182" t="s">
        <v>474</v>
      </c>
      <c r="F108" s="87" t="s">
        <v>475</v>
      </c>
      <c r="G108" s="33" t="s">
        <v>476</v>
      </c>
    </row>
    <row r="109" spans="2:7" ht="52" customHeight="1" x14ac:dyDescent="0.2">
      <c r="B109" s="159" t="s">
        <v>316</v>
      </c>
      <c r="C109" s="230" t="s">
        <v>634</v>
      </c>
      <c r="D109" s="231" t="s">
        <v>478</v>
      </c>
      <c r="E109" s="232" t="s">
        <v>479</v>
      </c>
      <c r="F109" s="233" t="s">
        <v>480</v>
      </c>
      <c r="G109" s="69" t="s">
        <v>623</v>
      </c>
    </row>
    <row r="110" spans="2:7" ht="52" customHeight="1" x14ac:dyDescent="0.2">
      <c r="B110" s="159" t="s">
        <v>481</v>
      </c>
      <c r="C110" s="230" t="s">
        <v>635</v>
      </c>
      <c r="D110" s="231" t="s">
        <v>483</v>
      </c>
      <c r="E110" s="232" t="s">
        <v>484</v>
      </c>
      <c r="F110" s="233" t="s">
        <v>485</v>
      </c>
      <c r="G110" s="47" t="s">
        <v>623</v>
      </c>
    </row>
    <row r="111" spans="2:7" ht="52" customHeight="1" x14ac:dyDescent="0.2">
      <c r="B111" s="159" t="s">
        <v>486</v>
      </c>
      <c r="C111" s="230" t="s">
        <v>636</v>
      </c>
      <c r="D111" s="231" t="s">
        <v>488</v>
      </c>
      <c r="E111" s="232" t="s">
        <v>489</v>
      </c>
      <c r="F111" s="233" t="s">
        <v>490</v>
      </c>
      <c r="G111" s="69" t="s">
        <v>623</v>
      </c>
    </row>
    <row r="112" spans="2:7" ht="52" customHeight="1" x14ac:dyDescent="0.2">
      <c r="B112" s="159" t="s">
        <v>491</v>
      </c>
      <c r="C112" s="230" t="s">
        <v>637</v>
      </c>
      <c r="D112" s="231" t="s">
        <v>493</v>
      </c>
      <c r="E112" s="232" t="s">
        <v>494</v>
      </c>
      <c r="F112" s="233" t="s">
        <v>495</v>
      </c>
      <c r="G112" s="47" t="s">
        <v>623</v>
      </c>
    </row>
    <row r="113" spans="2:7" ht="52" customHeight="1" x14ac:dyDescent="0.2">
      <c r="B113" s="159" t="s">
        <v>496</v>
      </c>
      <c r="C113" s="230" t="s">
        <v>638</v>
      </c>
      <c r="D113" s="231" t="s">
        <v>498</v>
      </c>
      <c r="E113" s="232" t="s">
        <v>499</v>
      </c>
      <c r="F113" s="233" t="s">
        <v>500</v>
      </c>
      <c r="G113" s="69" t="s">
        <v>623</v>
      </c>
    </row>
    <row r="114" spans="2:7" ht="52" customHeight="1" x14ac:dyDescent="0.2">
      <c r="B114" s="159" t="s">
        <v>501</v>
      </c>
      <c r="C114" s="230" t="s">
        <v>639</v>
      </c>
      <c r="D114" s="231" t="s">
        <v>503</v>
      </c>
      <c r="E114" s="232" t="s">
        <v>504</v>
      </c>
      <c r="F114" s="233" t="s">
        <v>505</v>
      </c>
      <c r="G114" s="47" t="s">
        <v>623</v>
      </c>
    </row>
    <row r="115" spans="2:7" ht="52" customHeight="1" x14ac:dyDescent="0.2">
      <c r="B115" s="159" t="s">
        <v>506</v>
      </c>
      <c r="C115" s="230" t="s">
        <v>640</v>
      </c>
      <c r="D115" s="231" t="s">
        <v>508</v>
      </c>
      <c r="E115" s="232" t="s">
        <v>509</v>
      </c>
      <c r="F115" s="233" t="s">
        <v>510</v>
      </c>
      <c r="G115" s="69" t="s">
        <v>623</v>
      </c>
    </row>
    <row r="116" spans="2:7" ht="52" customHeight="1" x14ac:dyDescent="0.2">
      <c r="B116" s="159" t="s">
        <v>328</v>
      </c>
      <c r="C116" s="230" t="s">
        <v>641</v>
      </c>
      <c r="D116" s="231" t="s">
        <v>512</v>
      </c>
      <c r="E116" s="232" t="s">
        <v>513</v>
      </c>
      <c r="F116" s="233" t="s">
        <v>514</v>
      </c>
      <c r="G116" s="47" t="s">
        <v>623</v>
      </c>
    </row>
    <row r="117" spans="2:7" ht="52" customHeight="1" x14ac:dyDescent="0.2">
      <c r="B117" s="159" t="s">
        <v>526</v>
      </c>
      <c r="C117" s="230" t="s">
        <v>642</v>
      </c>
      <c r="D117" s="231" t="s">
        <v>528</v>
      </c>
      <c r="E117" s="232" t="s">
        <v>529</v>
      </c>
      <c r="F117" s="233" t="s">
        <v>530</v>
      </c>
      <c r="G117" s="69" t="s">
        <v>623</v>
      </c>
    </row>
    <row r="118" spans="2:7" ht="16" customHeight="1" x14ac:dyDescent="0.2">
      <c r="B118" s="331" t="s">
        <v>632</v>
      </c>
      <c r="C118" s="292"/>
      <c r="D118" s="292"/>
      <c r="E118" s="292"/>
      <c r="F118" s="292"/>
      <c r="G118" s="234" t="s">
        <v>95</v>
      </c>
    </row>
    <row r="119" spans="2:7" ht="6" customHeight="1" x14ac:dyDescent="0.2">
      <c r="B119" s="1"/>
      <c r="C119" s="1"/>
      <c r="D119" s="1"/>
      <c r="E119" s="1"/>
      <c r="F119" s="1"/>
      <c r="G119" s="1"/>
    </row>
  </sheetData>
  <mergeCells count="19">
    <mergeCell ref="B2:K2"/>
    <mergeCell ref="B118:F118"/>
    <mergeCell ref="B92:F92"/>
    <mergeCell ref="B56:G56"/>
    <mergeCell ref="B21:G21"/>
    <mergeCell ref="B3:K3"/>
    <mergeCell ref="B80:G80"/>
    <mergeCell ref="B78:F78"/>
    <mergeCell ref="B94:G94"/>
    <mergeCell ref="B19:F19"/>
    <mergeCell ref="B107:G107"/>
    <mergeCell ref="B54:F54"/>
    <mergeCell ref="B8:G8"/>
    <mergeCell ref="B66:F66"/>
    <mergeCell ref="B44:G44"/>
    <mergeCell ref="B105:F105"/>
    <mergeCell ref="B42:F42"/>
    <mergeCell ref="B9:G9"/>
    <mergeCell ref="B68:G6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12" width="12" customWidth="1"/>
    <col min="13" max="14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643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644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3" t="s">
        <v>645</v>
      </c>
      <c r="O5" s="4" t="str">
        <f>HYPERLINK("#ISO · Boletín!A1","📄 Boletín")</f>
        <v>📄 Boletín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40" t="s">
        <v>646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20" customHeight="1" x14ac:dyDescent="0.2">
      <c r="B9" s="7" t="s">
        <v>647</v>
      </c>
      <c r="C9" s="235"/>
    </row>
    <row r="10" spans="1:29" ht="20" customHeight="1" x14ac:dyDescent="0.2">
      <c r="B10" s="9" t="s">
        <v>247</v>
      </c>
      <c r="C10" s="235"/>
    </row>
    <row r="11" spans="1:29" ht="20" customHeight="1" x14ac:dyDescent="0.2">
      <c r="B11" s="7" t="s">
        <v>648</v>
      </c>
      <c r="C11" s="236">
        <f>COUNTIF('ISO · 1ªORD'!M11:M40,"APTO")</f>
        <v>0</v>
      </c>
    </row>
    <row r="12" spans="1:29" ht="20" customHeight="1" x14ac:dyDescent="0.2">
      <c r="B12" s="9" t="s">
        <v>649</v>
      </c>
      <c r="C12" s="237">
        <f>COUNTIF('ISO · 1ªORD'!M11:M40,"NO APTO")</f>
        <v>0</v>
      </c>
    </row>
    <row r="13" spans="1:29" ht="20" customHeight="1" x14ac:dyDescent="0.2">
      <c r="B13" s="7" t="s">
        <v>650</v>
      </c>
      <c r="C13" s="238" t="str">
        <f>IFERROR(ROUND(AVERAGEIF('ISO · 1ªORD'!M11:M40,"&lt;&gt;",'ISO · 1ªORD'!L11:L40),2),"")</f>
        <v/>
      </c>
    </row>
    <row r="14" spans="1:29" ht="20" customHeight="1" x14ac:dyDescent="0.2">
      <c r="B14" s="9" t="s">
        <v>129</v>
      </c>
      <c r="C14" s="239">
        <f>IFERROR(MAX('ISO · 1ªORD'!L11:L40),"")</f>
        <v>0</v>
      </c>
    </row>
    <row r="15" spans="1:29" ht="20" customHeight="1" x14ac:dyDescent="0.2">
      <c r="B15" s="7" t="s">
        <v>651</v>
      </c>
      <c r="C15" s="240" t="str">
        <f ca="1">IFERROR(_xludf.MINIFS('ISO · 1ªORD'!L11:L40,'ISO · 1ªORD'!L11:L40,"&gt;0"),"")</f>
        <v/>
      </c>
    </row>
    <row r="16" spans="1:29" ht="20" customHeight="1" x14ac:dyDescent="0.2">
      <c r="B16" s="9" t="s">
        <v>652</v>
      </c>
      <c r="C16" s="241">
        <f>COUNTIFS('ISO · 1ªORD'!L11:L40,"&lt;4",'ISO · 1ªORD'!L11:L40,"&gt;0")</f>
        <v>0</v>
      </c>
    </row>
    <row r="18" spans="2:14" ht="20" customHeight="1" x14ac:dyDescent="0.2">
      <c r="B18" s="341" t="s">
        <v>653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</row>
    <row r="19" spans="2:14" ht="28" customHeight="1" x14ac:dyDescent="0.2">
      <c r="B19" s="182" t="s">
        <v>444</v>
      </c>
      <c r="C19" s="89" t="s">
        <v>445</v>
      </c>
      <c r="D19" s="192" t="s">
        <v>446</v>
      </c>
      <c r="E19" s="193" t="s">
        <v>447</v>
      </c>
      <c r="F19" s="172" t="s">
        <v>448</v>
      </c>
      <c r="G19" s="88" t="s">
        <v>449</v>
      </c>
      <c r="H19" s="35" t="s">
        <v>450</v>
      </c>
      <c r="I19" s="242" t="s">
        <v>654</v>
      </c>
    </row>
    <row r="20" spans="2:14" ht="20" customHeight="1" x14ac:dyDescent="0.2">
      <c r="B20" s="243" t="str">
        <f>IFERROR(ROUND(AVERAGEIF('ISO · 1ªORD'!D11:D40,"&gt;0",'ISO · 1ªORD'!D11:D40),2),"")</f>
        <v/>
      </c>
      <c r="C20" s="244" t="str">
        <f>IFERROR(ROUND(AVERAGEIF('ISO · 1ªORD'!E11:E40,"&gt;0",'ISO · 1ªORD'!E11:E40),2),"")</f>
        <v/>
      </c>
      <c r="D20" s="245" t="str">
        <f>IFERROR(ROUND(AVERAGEIF('ISO · 1ªORD'!F11:F40,"&gt;0",'ISO · 1ªORD'!F11:F40),2),"")</f>
        <v/>
      </c>
      <c r="E20" s="246" t="str">
        <f>IFERROR(ROUND(AVERAGEIF('ISO · 1ªORD'!G11:G40,"&gt;0",'ISO · 1ªORD'!G11:G40),2),"")</f>
        <v/>
      </c>
      <c r="F20" s="247" t="str">
        <f>IFERROR(ROUND(AVERAGEIF('ISO · 1ªORD'!H11:H40,"&gt;0",'ISO · 1ªORD'!H11:H40),2),"")</f>
        <v/>
      </c>
      <c r="G20" s="248" t="str">
        <f>IFERROR(ROUND(AVERAGEIF('ISO · 1ªORD'!I11:I40,"&gt;0",'ISO · 1ªORD'!I11:I40),2),"")</f>
        <v/>
      </c>
      <c r="H20" s="245" t="str">
        <f>IFERROR(ROUND(AVERAGEIF('ISO · 1ªORD'!J11:J40,"&gt;0",'ISO · 1ªORD'!J11:J40),2),"")</f>
        <v/>
      </c>
      <c r="I20" s="249" t="str">
        <f>IFERROR(ROUND(AVERAGEIF('ISO · 1ªORD'!K11:K40,"&gt;0",'ISO · 1ªORD'!K11:K40),2),"")</f>
        <v/>
      </c>
    </row>
    <row r="22" spans="2:14" ht="20" customHeight="1" x14ac:dyDescent="0.2">
      <c r="B22" s="340" t="s">
        <v>655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</row>
    <row r="23" spans="2:14" ht="30" customHeight="1" x14ac:dyDescent="0.2">
      <c r="B23" s="33" t="s">
        <v>352</v>
      </c>
      <c r="C23" s="33" t="s">
        <v>391</v>
      </c>
      <c r="D23" s="182" t="s">
        <v>26</v>
      </c>
      <c r="E23" s="89" t="s">
        <v>31</v>
      </c>
      <c r="F23" s="192" t="s">
        <v>36</v>
      </c>
      <c r="G23" s="193" t="s">
        <v>40</v>
      </c>
      <c r="H23" s="172" t="s">
        <v>44</v>
      </c>
      <c r="I23" s="88" t="s">
        <v>47</v>
      </c>
      <c r="J23" s="35" t="s">
        <v>52</v>
      </c>
      <c r="K23" s="242" t="s">
        <v>56</v>
      </c>
      <c r="L23" s="33" t="s">
        <v>452</v>
      </c>
      <c r="M23" s="33" t="s">
        <v>413</v>
      </c>
    </row>
    <row r="24" spans="2:14" ht="18" customHeight="1" x14ac:dyDescent="0.2">
      <c r="B24" s="173">
        <v>1</v>
      </c>
      <c r="C24" s="174" t="str">
        <f>IFERROR(INDEX('ISO · 1ªORD'!C:C,11),"")</f>
        <v/>
      </c>
      <c r="D24" s="184" t="str">
        <f>IFERROR(INDEX('ISO · 1ªORD'!D:D,11),"")</f>
        <v/>
      </c>
      <c r="E24" s="185" t="str">
        <f>IFERROR(INDEX('ISO · 1ªORD'!E:E,11),"")</f>
        <v/>
      </c>
      <c r="F24" s="194" t="str">
        <f>IFERROR(INDEX('ISO · 1ªORD'!F:F,11),"")</f>
        <v/>
      </c>
      <c r="G24" s="195" t="str">
        <f>IFERROR(INDEX('ISO · 1ªORD'!G:G,11),"")</f>
        <v/>
      </c>
      <c r="H24" s="196" t="str">
        <f>IFERROR(INDEX('ISO · 1ªORD'!H:H,11),"")</f>
        <v/>
      </c>
      <c r="I24" s="201" t="str">
        <f>IFERROR(INDEX('ISO · 1ªORD'!I:I,11),"")</f>
        <v/>
      </c>
      <c r="J24" s="194" t="str">
        <f>IFERROR(INDEX('ISO · 1ªORD'!J:J,11),"")</f>
        <v/>
      </c>
      <c r="K24" s="250" t="str">
        <f>IFERROR(INDEX('ISO · 1ªORD'!K:K,11),"")</f>
        <v/>
      </c>
      <c r="L24" s="251" t="str">
        <f>IFERROR(INDEX('ISO · 1ªORD'!L:L,11),"")</f>
        <v/>
      </c>
      <c r="M24" s="252" t="str">
        <f>IFERROR(INDEX('ISO · 1ªORD'!M:M,11),"")</f>
        <v/>
      </c>
    </row>
    <row r="25" spans="2:14" ht="18" customHeight="1" x14ac:dyDescent="0.2">
      <c r="B25" s="173">
        <v>2</v>
      </c>
      <c r="C25" s="174" t="str">
        <f>IFERROR(INDEX('ISO · 1ªORD'!C:C,12),"")</f>
        <v/>
      </c>
      <c r="D25" s="184" t="str">
        <f>IFERROR(INDEX('ISO · 1ªORD'!D:D,12),"")</f>
        <v/>
      </c>
      <c r="E25" s="185" t="str">
        <f>IFERROR(INDEX('ISO · 1ªORD'!E:E,12),"")</f>
        <v/>
      </c>
      <c r="F25" s="194" t="str">
        <f>IFERROR(INDEX('ISO · 1ªORD'!F:F,12),"")</f>
        <v/>
      </c>
      <c r="G25" s="195" t="str">
        <f>IFERROR(INDEX('ISO · 1ªORD'!G:G,12),"")</f>
        <v/>
      </c>
      <c r="H25" s="196" t="str">
        <f>IFERROR(INDEX('ISO · 1ªORD'!H:H,12),"")</f>
        <v/>
      </c>
      <c r="I25" s="201" t="str">
        <f>IFERROR(INDEX('ISO · 1ªORD'!I:I,12),"")</f>
        <v/>
      </c>
      <c r="J25" s="194" t="str">
        <f>IFERROR(INDEX('ISO · 1ªORD'!J:J,12),"")</f>
        <v/>
      </c>
      <c r="K25" s="250" t="str">
        <f>IFERROR(INDEX('ISO · 1ªORD'!K:K,12),"")</f>
        <v/>
      </c>
      <c r="L25" s="215" t="str">
        <f>IFERROR(INDEX('ISO · 1ªORD'!L:L,12),"")</f>
        <v/>
      </c>
      <c r="M25" s="77" t="str">
        <f>IFERROR(INDEX('ISO · 1ªORD'!M:M,12),"")</f>
        <v/>
      </c>
    </row>
    <row r="26" spans="2:14" ht="18" customHeight="1" x14ac:dyDescent="0.2">
      <c r="B26" s="173">
        <v>3</v>
      </c>
      <c r="C26" s="174" t="str">
        <f>IFERROR(INDEX('ISO · 1ªORD'!C:C,13),"")</f>
        <v/>
      </c>
      <c r="D26" s="184" t="str">
        <f>IFERROR(INDEX('ISO · 1ªORD'!D:D,13),"")</f>
        <v/>
      </c>
      <c r="E26" s="185" t="str">
        <f>IFERROR(INDEX('ISO · 1ªORD'!E:E,13),"")</f>
        <v/>
      </c>
      <c r="F26" s="194" t="str">
        <f>IFERROR(INDEX('ISO · 1ªORD'!F:F,13),"")</f>
        <v/>
      </c>
      <c r="G26" s="195" t="str">
        <f>IFERROR(INDEX('ISO · 1ªORD'!G:G,13),"")</f>
        <v/>
      </c>
      <c r="H26" s="196" t="str">
        <f>IFERROR(INDEX('ISO · 1ªORD'!H:H,13),"")</f>
        <v/>
      </c>
      <c r="I26" s="201" t="str">
        <f>IFERROR(INDEX('ISO · 1ªORD'!I:I,13),"")</f>
        <v/>
      </c>
      <c r="J26" s="194" t="str">
        <f>IFERROR(INDEX('ISO · 1ªORD'!J:J,13),"")</f>
        <v/>
      </c>
      <c r="K26" s="250" t="str">
        <f>IFERROR(INDEX('ISO · 1ªORD'!K:K,13),"")</f>
        <v/>
      </c>
      <c r="L26" s="251" t="str">
        <f>IFERROR(INDEX('ISO · 1ªORD'!L:L,13),"")</f>
        <v/>
      </c>
      <c r="M26" s="252" t="str">
        <f>IFERROR(INDEX('ISO · 1ªORD'!M:M,13),"")</f>
        <v/>
      </c>
    </row>
    <row r="27" spans="2:14" ht="18" customHeight="1" x14ac:dyDescent="0.2">
      <c r="B27" s="173">
        <v>4</v>
      </c>
      <c r="C27" s="174" t="str">
        <f>IFERROR(INDEX('ISO · 1ªORD'!C:C,14),"")</f>
        <v/>
      </c>
      <c r="D27" s="184" t="str">
        <f>IFERROR(INDEX('ISO · 1ªORD'!D:D,14),"")</f>
        <v/>
      </c>
      <c r="E27" s="185" t="str">
        <f>IFERROR(INDEX('ISO · 1ªORD'!E:E,14),"")</f>
        <v/>
      </c>
      <c r="F27" s="194" t="str">
        <f>IFERROR(INDEX('ISO · 1ªORD'!F:F,14),"")</f>
        <v/>
      </c>
      <c r="G27" s="195" t="str">
        <f>IFERROR(INDEX('ISO · 1ªORD'!G:G,14),"")</f>
        <v/>
      </c>
      <c r="H27" s="196" t="str">
        <f>IFERROR(INDEX('ISO · 1ªORD'!H:H,14),"")</f>
        <v/>
      </c>
      <c r="I27" s="201" t="str">
        <f>IFERROR(INDEX('ISO · 1ªORD'!I:I,14),"")</f>
        <v/>
      </c>
      <c r="J27" s="194" t="str">
        <f>IFERROR(INDEX('ISO · 1ªORD'!J:J,14),"")</f>
        <v/>
      </c>
      <c r="K27" s="250" t="str">
        <f>IFERROR(INDEX('ISO · 1ªORD'!K:K,14),"")</f>
        <v/>
      </c>
      <c r="L27" s="215" t="str">
        <f>IFERROR(INDEX('ISO · 1ªORD'!L:L,14),"")</f>
        <v/>
      </c>
      <c r="M27" s="77" t="str">
        <f>IFERROR(INDEX('ISO · 1ªORD'!M:M,14),"")</f>
        <v/>
      </c>
    </row>
    <row r="28" spans="2:14" ht="18" customHeight="1" x14ac:dyDescent="0.2">
      <c r="B28" s="173">
        <v>5</v>
      </c>
      <c r="C28" s="174" t="str">
        <f>IFERROR(INDEX('ISO · 1ªORD'!C:C,15),"")</f>
        <v/>
      </c>
      <c r="D28" s="184" t="str">
        <f>IFERROR(INDEX('ISO · 1ªORD'!D:D,15),"")</f>
        <v/>
      </c>
      <c r="E28" s="185" t="str">
        <f>IFERROR(INDEX('ISO · 1ªORD'!E:E,15),"")</f>
        <v/>
      </c>
      <c r="F28" s="194" t="str">
        <f>IFERROR(INDEX('ISO · 1ªORD'!F:F,15),"")</f>
        <v/>
      </c>
      <c r="G28" s="195" t="str">
        <f>IFERROR(INDEX('ISO · 1ªORD'!G:G,15),"")</f>
        <v/>
      </c>
      <c r="H28" s="196" t="str">
        <f>IFERROR(INDEX('ISO · 1ªORD'!H:H,15),"")</f>
        <v/>
      </c>
      <c r="I28" s="201" t="str">
        <f>IFERROR(INDEX('ISO · 1ªORD'!I:I,15),"")</f>
        <v/>
      </c>
      <c r="J28" s="194" t="str">
        <f>IFERROR(INDEX('ISO · 1ªORD'!J:J,15),"")</f>
        <v/>
      </c>
      <c r="K28" s="250" t="str">
        <f>IFERROR(INDEX('ISO · 1ªORD'!K:K,15),"")</f>
        <v/>
      </c>
      <c r="L28" s="251" t="str">
        <f>IFERROR(INDEX('ISO · 1ªORD'!L:L,15),"")</f>
        <v/>
      </c>
      <c r="M28" s="252" t="str">
        <f>IFERROR(INDEX('ISO · 1ªORD'!M:M,15),"")</f>
        <v/>
      </c>
    </row>
    <row r="29" spans="2:14" ht="18" customHeight="1" x14ac:dyDescent="0.2">
      <c r="B29" s="173">
        <v>6</v>
      </c>
      <c r="C29" s="174" t="str">
        <f>IFERROR(INDEX('ISO · 1ªORD'!C:C,16),"")</f>
        <v/>
      </c>
      <c r="D29" s="184" t="str">
        <f>IFERROR(INDEX('ISO · 1ªORD'!D:D,16),"")</f>
        <v/>
      </c>
      <c r="E29" s="185" t="str">
        <f>IFERROR(INDEX('ISO · 1ªORD'!E:E,16),"")</f>
        <v/>
      </c>
      <c r="F29" s="194" t="str">
        <f>IFERROR(INDEX('ISO · 1ªORD'!F:F,16),"")</f>
        <v/>
      </c>
      <c r="G29" s="195" t="str">
        <f>IFERROR(INDEX('ISO · 1ªORD'!G:G,16),"")</f>
        <v/>
      </c>
      <c r="H29" s="196" t="str">
        <f>IFERROR(INDEX('ISO · 1ªORD'!H:H,16),"")</f>
        <v/>
      </c>
      <c r="I29" s="201" t="str">
        <f>IFERROR(INDEX('ISO · 1ªORD'!I:I,16),"")</f>
        <v/>
      </c>
      <c r="J29" s="194" t="str">
        <f>IFERROR(INDEX('ISO · 1ªORD'!J:J,16),"")</f>
        <v/>
      </c>
      <c r="K29" s="250" t="str">
        <f>IFERROR(INDEX('ISO · 1ªORD'!K:K,16),"")</f>
        <v/>
      </c>
      <c r="L29" s="215" t="str">
        <f>IFERROR(INDEX('ISO · 1ªORD'!L:L,16),"")</f>
        <v/>
      </c>
      <c r="M29" s="77" t="str">
        <f>IFERROR(INDEX('ISO · 1ªORD'!M:M,16),"")</f>
        <v/>
      </c>
    </row>
    <row r="30" spans="2:14" ht="18" customHeight="1" x14ac:dyDescent="0.2">
      <c r="B30" s="173">
        <v>7</v>
      </c>
      <c r="C30" s="174" t="str">
        <f>IFERROR(INDEX('ISO · 1ªORD'!C:C,17),"")</f>
        <v/>
      </c>
      <c r="D30" s="184" t="str">
        <f>IFERROR(INDEX('ISO · 1ªORD'!D:D,17),"")</f>
        <v/>
      </c>
      <c r="E30" s="185" t="str">
        <f>IFERROR(INDEX('ISO · 1ªORD'!E:E,17),"")</f>
        <v/>
      </c>
      <c r="F30" s="194" t="str">
        <f>IFERROR(INDEX('ISO · 1ªORD'!F:F,17),"")</f>
        <v/>
      </c>
      <c r="G30" s="195" t="str">
        <f>IFERROR(INDEX('ISO · 1ªORD'!G:G,17),"")</f>
        <v/>
      </c>
      <c r="H30" s="196" t="str">
        <f>IFERROR(INDEX('ISO · 1ªORD'!H:H,17),"")</f>
        <v/>
      </c>
      <c r="I30" s="201" t="str">
        <f>IFERROR(INDEX('ISO · 1ªORD'!I:I,17),"")</f>
        <v/>
      </c>
      <c r="J30" s="194" t="str">
        <f>IFERROR(INDEX('ISO · 1ªORD'!J:J,17),"")</f>
        <v/>
      </c>
      <c r="K30" s="250" t="str">
        <f>IFERROR(INDEX('ISO · 1ªORD'!K:K,17),"")</f>
        <v/>
      </c>
      <c r="L30" s="251" t="str">
        <f>IFERROR(INDEX('ISO · 1ªORD'!L:L,17),"")</f>
        <v/>
      </c>
      <c r="M30" s="252" t="str">
        <f>IFERROR(INDEX('ISO · 1ªORD'!M:M,17),"")</f>
        <v/>
      </c>
    </row>
    <row r="31" spans="2:14" ht="18" customHeight="1" x14ac:dyDescent="0.2">
      <c r="B31" s="173">
        <v>8</v>
      </c>
      <c r="C31" s="174" t="str">
        <f>IFERROR(INDEX('ISO · 1ªORD'!C:C,18),"")</f>
        <v/>
      </c>
      <c r="D31" s="184" t="str">
        <f>IFERROR(INDEX('ISO · 1ªORD'!D:D,18),"")</f>
        <v/>
      </c>
      <c r="E31" s="185" t="str">
        <f>IFERROR(INDEX('ISO · 1ªORD'!E:E,18),"")</f>
        <v/>
      </c>
      <c r="F31" s="194" t="str">
        <f>IFERROR(INDEX('ISO · 1ªORD'!F:F,18),"")</f>
        <v/>
      </c>
      <c r="G31" s="195" t="str">
        <f>IFERROR(INDEX('ISO · 1ªORD'!G:G,18),"")</f>
        <v/>
      </c>
      <c r="H31" s="196" t="str">
        <f>IFERROR(INDEX('ISO · 1ªORD'!H:H,18),"")</f>
        <v/>
      </c>
      <c r="I31" s="201" t="str">
        <f>IFERROR(INDEX('ISO · 1ªORD'!I:I,18),"")</f>
        <v/>
      </c>
      <c r="J31" s="194" t="str">
        <f>IFERROR(INDEX('ISO · 1ªORD'!J:J,18),"")</f>
        <v/>
      </c>
      <c r="K31" s="250" t="str">
        <f>IFERROR(INDEX('ISO · 1ªORD'!K:K,18),"")</f>
        <v/>
      </c>
      <c r="L31" s="215" t="str">
        <f>IFERROR(INDEX('ISO · 1ªORD'!L:L,18),"")</f>
        <v/>
      </c>
      <c r="M31" s="77" t="str">
        <f>IFERROR(INDEX('ISO · 1ªORD'!M:M,18),"")</f>
        <v/>
      </c>
    </row>
    <row r="32" spans="2:14" ht="18" customHeight="1" x14ac:dyDescent="0.2">
      <c r="B32" s="173">
        <v>9</v>
      </c>
      <c r="C32" s="174" t="str">
        <f>IFERROR(INDEX('ISO · 1ªORD'!C:C,19),"")</f>
        <v/>
      </c>
      <c r="D32" s="184" t="str">
        <f>IFERROR(INDEX('ISO · 1ªORD'!D:D,19),"")</f>
        <v/>
      </c>
      <c r="E32" s="185" t="str">
        <f>IFERROR(INDEX('ISO · 1ªORD'!E:E,19),"")</f>
        <v/>
      </c>
      <c r="F32" s="194" t="str">
        <f>IFERROR(INDEX('ISO · 1ªORD'!F:F,19),"")</f>
        <v/>
      </c>
      <c r="G32" s="195" t="str">
        <f>IFERROR(INDEX('ISO · 1ªORD'!G:G,19),"")</f>
        <v/>
      </c>
      <c r="H32" s="196" t="str">
        <f>IFERROR(INDEX('ISO · 1ªORD'!H:H,19),"")</f>
        <v/>
      </c>
      <c r="I32" s="201" t="str">
        <f>IFERROR(INDEX('ISO · 1ªORD'!I:I,19),"")</f>
        <v/>
      </c>
      <c r="J32" s="194" t="str">
        <f>IFERROR(INDEX('ISO · 1ªORD'!J:J,19),"")</f>
        <v/>
      </c>
      <c r="K32" s="250" t="str">
        <f>IFERROR(INDEX('ISO · 1ªORD'!K:K,19),"")</f>
        <v/>
      </c>
      <c r="L32" s="251" t="str">
        <f>IFERROR(INDEX('ISO · 1ªORD'!L:L,19),"")</f>
        <v/>
      </c>
      <c r="M32" s="252" t="str">
        <f>IFERROR(INDEX('ISO · 1ªORD'!M:M,19),"")</f>
        <v/>
      </c>
    </row>
    <row r="33" spans="2:13" ht="18" customHeight="1" x14ac:dyDescent="0.2">
      <c r="B33" s="173">
        <v>10</v>
      </c>
      <c r="C33" s="174" t="str">
        <f>IFERROR(INDEX('ISO · 1ªORD'!C:C,20),"")</f>
        <v/>
      </c>
      <c r="D33" s="184" t="str">
        <f>IFERROR(INDEX('ISO · 1ªORD'!D:D,20),"")</f>
        <v/>
      </c>
      <c r="E33" s="185" t="str">
        <f>IFERROR(INDEX('ISO · 1ªORD'!E:E,20),"")</f>
        <v/>
      </c>
      <c r="F33" s="194" t="str">
        <f>IFERROR(INDEX('ISO · 1ªORD'!F:F,20),"")</f>
        <v/>
      </c>
      <c r="G33" s="195" t="str">
        <f>IFERROR(INDEX('ISO · 1ªORD'!G:G,20),"")</f>
        <v/>
      </c>
      <c r="H33" s="196" t="str">
        <f>IFERROR(INDEX('ISO · 1ªORD'!H:H,20),"")</f>
        <v/>
      </c>
      <c r="I33" s="201" t="str">
        <f>IFERROR(INDEX('ISO · 1ªORD'!I:I,20),"")</f>
        <v/>
      </c>
      <c r="J33" s="194" t="str">
        <f>IFERROR(INDEX('ISO · 1ªORD'!J:J,20),"")</f>
        <v/>
      </c>
      <c r="K33" s="250" t="str">
        <f>IFERROR(INDEX('ISO · 1ªORD'!K:K,20),"")</f>
        <v/>
      </c>
      <c r="L33" s="215" t="str">
        <f>IFERROR(INDEX('ISO · 1ªORD'!L:L,20),"")</f>
        <v/>
      </c>
      <c r="M33" s="77" t="str">
        <f>IFERROR(INDEX('ISO · 1ªORD'!M:M,20),"")</f>
        <v/>
      </c>
    </row>
    <row r="34" spans="2:13" ht="18" customHeight="1" x14ac:dyDescent="0.2">
      <c r="B34" s="173">
        <v>11</v>
      </c>
      <c r="C34" s="174" t="str">
        <f>IFERROR(INDEX('ISO · 1ªORD'!C:C,21),"")</f>
        <v/>
      </c>
      <c r="D34" s="184" t="str">
        <f>IFERROR(INDEX('ISO · 1ªORD'!D:D,21),"")</f>
        <v/>
      </c>
      <c r="E34" s="185" t="str">
        <f>IFERROR(INDEX('ISO · 1ªORD'!E:E,21),"")</f>
        <v/>
      </c>
      <c r="F34" s="194" t="str">
        <f>IFERROR(INDEX('ISO · 1ªORD'!F:F,21),"")</f>
        <v/>
      </c>
      <c r="G34" s="195" t="str">
        <f>IFERROR(INDEX('ISO · 1ªORD'!G:G,21),"")</f>
        <v/>
      </c>
      <c r="H34" s="196" t="str">
        <f>IFERROR(INDEX('ISO · 1ªORD'!H:H,21),"")</f>
        <v/>
      </c>
      <c r="I34" s="201" t="str">
        <f>IFERROR(INDEX('ISO · 1ªORD'!I:I,21),"")</f>
        <v/>
      </c>
      <c r="J34" s="194" t="str">
        <f>IFERROR(INDEX('ISO · 1ªORD'!J:J,21),"")</f>
        <v/>
      </c>
      <c r="K34" s="250" t="str">
        <f>IFERROR(INDEX('ISO · 1ªORD'!K:K,21),"")</f>
        <v/>
      </c>
      <c r="L34" s="251" t="str">
        <f>IFERROR(INDEX('ISO · 1ªORD'!L:L,21),"")</f>
        <v/>
      </c>
      <c r="M34" s="252" t="str">
        <f>IFERROR(INDEX('ISO · 1ªORD'!M:M,21),"")</f>
        <v/>
      </c>
    </row>
    <row r="35" spans="2:13" ht="18" customHeight="1" x14ac:dyDescent="0.2">
      <c r="B35" s="173">
        <v>12</v>
      </c>
      <c r="C35" s="174" t="str">
        <f>IFERROR(INDEX('ISO · 1ªORD'!C:C,22),"")</f>
        <v/>
      </c>
      <c r="D35" s="184" t="str">
        <f>IFERROR(INDEX('ISO · 1ªORD'!D:D,22),"")</f>
        <v/>
      </c>
      <c r="E35" s="185" t="str">
        <f>IFERROR(INDEX('ISO · 1ªORD'!E:E,22),"")</f>
        <v/>
      </c>
      <c r="F35" s="194" t="str">
        <f>IFERROR(INDEX('ISO · 1ªORD'!F:F,22),"")</f>
        <v/>
      </c>
      <c r="G35" s="195" t="str">
        <f>IFERROR(INDEX('ISO · 1ªORD'!G:G,22),"")</f>
        <v/>
      </c>
      <c r="H35" s="196" t="str">
        <f>IFERROR(INDEX('ISO · 1ªORD'!H:H,22),"")</f>
        <v/>
      </c>
      <c r="I35" s="201" t="str">
        <f>IFERROR(INDEX('ISO · 1ªORD'!I:I,22),"")</f>
        <v/>
      </c>
      <c r="J35" s="194" t="str">
        <f>IFERROR(INDEX('ISO · 1ªORD'!J:J,22),"")</f>
        <v/>
      </c>
      <c r="K35" s="250" t="str">
        <f>IFERROR(INDEX('ISO · 1ªORD'!K:K,22),"")</f>
        <v/>
      </c>
      <c r="L35" s="215" t="str">
        <f>IFERROR(INDEX('ISO · 1ªORD'!L:L,22),"")</f>
        <v/>
      </c>
      <c r="M35" s="77" t="str">
        <f>IFERROR(INDEX('ISO · 1ªORD'!M:M,22),"")</f>
        <v/>
      </c>
    </row>
    <row r="36" spans="2:13" ht="18" customHeight="1" x14ac:dyDescent="0.2">
      <c r="B36" s="173">
        <v>13</v>
      </c>
      <c r="C36" s="174" t="str">
        <f>IFERROR(INDEX('ISO · 1ªORD'!C:C,23),"")</f>
        <v/>
      </c>
      <c r="D36" s="184" t="str">
        <f>IFERROR(INDEX('ISO · 1ªORD'!D:D,23),"")</f>
        <v/>
      </c>
      <c r="E36" s="185" t="str">
        <f>IFERROR(INDEX('ISO · 1ªORD'!E:E,23),"")</f>
        <v/>
      </c>
      <c r="F36" s="194" t="str">
        <f>IFERROR(INDEX('ISO · 1ªORD'!F:F,23),"")</f>
        <v/>
      </c>
      <c r="G36" s="195" t="str">
        <f>IFERROR(INDEX('ISO · 1ªORD'!G:G,23),"")</f>
        <v/>
      </c>
      <c r="H36" s="196" t="str">
        <f>IFERROR(INDEX('ISO · 1ªORD'!H:H,23),"")</f>
        <v/>
      </c>
      <c r="I36" s="201" t="str">
        <f>IFERROR(INDEX('ISO · 1ªORD'!I:I,23),"")</f>
        <v/>
      </c>
      <c r="J36" s="194" t="str">
        <f>IFERROR(INDEX('ISO · 1ªORD'!J:J,23),"")</f>
        <v/>
      </c>
      <c r="K36" s="250" t="str">
        <f>IFERROR(INDEX('ISO · 1ªORD'!K:K,23),"")</f>
        <v/>
      </c>
      <c r="L36" s="251" t="str">
        <f>IFERROR(INDEX('ISO · 1ªORD'!L:L,23),"")</f>
        <v/>
      </c>
      <c r="M36" s="252" t="str">
        <f>IFERROR(INDEX('ISO · 1ªORD'!M:M,23),"")</f>
        <v/>
      </c>
    </row>
    <row r="37" spans="2:13" ht="18" customHeight="1" x14ac:dyDescent="0.2">
      <c r="B37" s="173">
        <v>14</v>
      </c>
      <c r="C37" s="174" t="str">
        <f>IFERROR(INDEX('ISO · 1ªORD'!C:C,24),"")</f>
        <v/>
      </c>
      <c r="D37" s="184" t="str">
        <f>IFERROR(INDEX('ISO · 1ªORD'!D:D,24),"")</f>
        <v/>
      </c>
      <c r="E37" s="185" t="str">
        <f>IFERROR(INDEX('ISO · 1ªORD'!E:E,24),"")</f>
        <v/>
      </c>
      <c r="F37" s="194" t="str">
        <f>IFERROR(INDEX('ISO · 1ªORD'!F:F,24),"")</f>
        <v/>
      </c>
      <c r="G37" s="195" t="str">
        <f>IFERROR(INDEX('ISO · 1ªORD'!G:G,24),"")</f>
        <v/>
      </c>
      <c r="H37" s="196" t="str">
        <f>IFERROR(INDEX('ISO · 1ªORD'!H:H,24),"")</f>
        <v/>
      </c>
      <c r="I37" s="201" t="str">
        <f>IFERROR(INDEX('ISO · 1ªORD'!I:I,24),"")</f>
        <v/>
      </c>
      <c r="J37" s="194" t="str">
        <f>IFERROR(INDEX('ISO · 1ªORD'!J:J,24),"")</f>
        <v/>
      </c>
      <c r="K37" s="250" t="str">
        <f>IFERROR(INDEX('ISO · 1ªORD'!K:K,24),"")</f>
        <v/>
      </c>
      <c r="L37" s="215" t="str">
        <f>IFERROR(INDEX('ISO · 1ªORD'!L:L,24),"")</f>
        <v/>
      </c>
      <c r="M37" s="77" t="str">
        <f>IFERROR(INDEX('ISO · 1ªORD'!M:M,24),"")</f>
        <v/>
      </c>
    </row>
    <row r="38" spans="2:13" ht="18" customHeight="1" x14ac:dyDescent="0.2">
      <c r="B38" s="173">
        <v>15</v>
      </c>
      <c r="C38" s="174" t="str">
        <f>IFERROR(INDEX('ISO · 1ªORD'!C:C,25),"")</f>
        <v/>
      </c>
      <c r="D38" s="184" t="str">
        <f>IFERROR(INDEX('ISO · 1ªORD'!D:D,25),"")</f>
        <v/>
      </c>
      <c r="E38" s="185" t="str">
        <f>IFERROR(INDEX('ISO · 1ªORD'!E:E,25),"")</f>
        <v/>
      </c>
      <c r="F38" s="194" t="str">
        <f>IFERROR(INDEX('ISO · 1ªORD'!F:F,25),"")</f>
        <v/>
      </c>
      <c r="G38" s="195" t="str">
        <f>IFERROR(INDEX('ISO · 1ªORD'!G:G,25),"")</f>
        <v/>
      </c>
      <c r="H38" s="196" t="str">
        <f>IFERROR(INDEX('ISO · 1ªORD'!H:H,25),"")</f>
        <v/>
      </c>
      <c r="I38" s="201" t="str">
        <f>IFERROR(INDEX('ISO · 1ªORD'!I:I,25),"")</f>
        <v/>
      </c>
      <c r="J38" s="194" t="str">
        <f>IFERROR(INDEX('ISO · 1ªORD'!J:J,25),"")</f>
        <v/>
      </c>
      <c r="K38" s="250" t="str">
        <f>IFERROR(INDEX('ISO · 1ªORD'!K:K,25),"")</f>
        <v/>
      </c>
      <c r="L38" s="251" t="str">
        <f>IFERROR(INDEX('ISO · 1ªORD'!L:L,25),"")</f>
        <v/>
      </c>
      <c r="M38" s="252" t="str">
        <f>IFERROR(INDEX('ISO · 1ªORD'!M:M,25),"")</f>
        <v/>
      </c>
    </row>
    <row r="39" spans="2:13" ht="18" customHeight="1" x14ac:dyDescent="0.2">
      <c r="B39" s="173">
        <v>16</v>
      </c>
      <c r="C39" s="174" t="str">
        <f>IFERROR(INDEX('ISO · 1ªORD'!C:C,26),"")</f>
        <v/>
      </c>
      <c r="D39" s="184" t="str">
        <f>IFERROR(INDEX('ISO · 1ªORD'!D:D,26),"")</f>
        <v/>
      </c>
      <c r="E39" s="185" t="str">
        <f>IFERROR(INDEX('ISO · 1ªORD'!E:E,26),"")</f>
        <v/>
      </c>
      <c r="F39" s="194" t="str">
        <f>IFERROR(INDEX('ISO · 1ªORD'!F:F,26),"")</f>
        <v/>
      </c>
      <c r="G39" s="195" t="str">
        <f>IFERROR(INDEX('ISO · 1ªORD'!G:G,26),"")</f>
        <v/>
      </c>
      <c r="H39" s="196" t="str">
        <f>IFERROR(INDEX('ISO · 1ªORD'!H:H,26),"")</f>
        <v/>
      </c>
      <c r="I39" s="201" t="str">
        <f>IFERROR(INDEX('ISO · 1ªORD'!I:I,26),"")</f>
        <v/>
      </c>
      <c r="J39" s="194" t="str">
        <f>IFERROR(INDEX('ISO · 1ªORD'!J:J,26),"")</f>
        <v/>
      </c>
      <c r="K39" s="250" t="str">
        <f>IFERROR(INDEX('ISO · 1ªORD'!K:K,26),"")</f>
        <v/>
      </c>
      <c r="L39" s="215" t="str">
        <f>IFERROR(INDEX('ISO · 1ªORD'!L:L,26),"")</f>
        <v/>
      </c>
      <c r="M39" s="77" t="str">
        <f>IFERROR(INDEX('ISO · 1ªORD'!M:M,26),"")</f>
        <v/>
      </c>
    </row>
    <row r="40" spans="2:13" ht="18" customHeight="1" x14ac:dyDescent="0.2">
      <c r="B40" s="173">
        <v>17</v>
      </c>
      <c r="C40" s="174" t="str">
        <f>IFERROR(INDEX('ISO · 1ªORD'!C:C,27),"")</f>
        <v/>
      </c>
      <c r="D40" s="184" t="str">
        <f>IFERROR(INDEX('ISO · 1ªORD'!D:D,27),"")</f>
        <v/>
      </c>
      <c r="E40" s="185" t="str">
        <f>IFERROR(INDEX('ISO · 1ªORD'!E:E,27),"")</f>
        <v/>
      </c>
      <c r="F40" s="194" t="str">
        <f>IFERROR(INDEX('ISO · 1ªORD'!F:F,27),"")</f>
        <v/>
      </c>
      <c r="G40" s="195" t="str">
        <f>IFERROR(INDEX('ISO · 1ªORD'!G:G,27),"")</f>
        <v/>
      </c>
      <c r="H40" s="196" t="str">
        <f>IFERROR(INDEX('ISO · 1ªORD'!H:H,27),"")</f>
        <v/>
      </c>
      <c r="I40" s="201" t="str">
        <f>IFERROR(INDEX('ISO · 1ªORD'!I:I,27),"")</f>
        <v/>
      </c>
      <c r="J40" s="194" t="str">
        <f>IFERROR(INDEX('ISO · 1ªORD'!J:J,27),"")</f>
        <v/>
      </c>
      <c r="K40" s="250" t="str">
        <f>IFERROR(INDEX('ISO · 1ªORD'!K:K,27),"")</f>
        <v/>
      </c>
      <c r="L40" s="251" t="str">
        <f>IFERROR(INDEX('ISO · 1ªORD'!L:L,27),"")</f>
        <v/>
      </c>
      <c r="M40" s="252" t="str">
        <f>IFERROR(INDEX('ISO · 1ªORD'!M:M,27),"")</f>
        <v/>
      </c>
    </row>
    <row r="41" spans="2:13" ht="18" customHeight="1" x14ac:dyDescent="0.2">
      <c r="B41" s="173">
        <v>18</v>
      </c>
      <c r="C41" s="174" t="str">
        <f>IFERROR(INDEX('ISO · 1ªORD'!C:C,28),"")</f>
        <v/>
      </c>
      <c r="D41" s="184" t="str">
        <f>IFERROR(INDEX('ISO · 1ªORD'!D:D,28),"")</f>
        <v/>
      </c>
      <c r="E41" s="185" t="str">
        <f>IFERROR(INDEX('ISO · 1ªORD'!E:E,28),"")</f>
        <v/>
      </c>
      <c r="F41" s="194" t="str">
        <f>IFERROR(INDEX('ISO · 1ªORD'!F:F,28),"")</f>
        <v/>
      </c>
      <c r="G41" s="195" t="str">
        <f>IFERROR(INDEX('ISO · 1ªORD'!G:G,28),"")</f>
        <v/>
      </c>
      <c r="H41" s="196" t="str">
        <f>IFERROR(INDEX('ISO · 1ªORD'!H:H,28),"")</f>
        <v/>
      </c>
      <c r="I41" s="201" t="str">
        <f>IFERROR(INDEX('ISO · 1ªORD'!I:I,28),"")</f>
        <v/>
      </c>
      <c r="J41" s="194" t="str">
        <f>IFERROR(INDEX('ISO · 1ªORD'!J:J,28),"")</f>
        <v/>
      </c>
      <c r="K41" s="250" t="str">
        <f>IFERROR(INDEX('ISO · 1ªORD'!K:K,28),"")</f>
        <v/>
      </c>
      <c r="L41" s="215" t="str">
        <f>IFERROR(INDEX('ISO · 1ªORD'!L:L,28),"")</f>
        <v/>
      </c>
      <c r="M41" s="77" t="str">
        <f>IFERROR(INDEX('ISO · 1ªORD'!M:M,28),"")</f>
        <v/>
      </c>
    </row>
    <row r="42" spans="2:13" ht="18" customHeight="1" x14ac:dyDescent="0.2">
      <c r="B42" s="173">
        <v>19</v>
      </c>
      <c r="C42" s="174" t="str">
        <f>IFERROR(INDEX('ISO · 1ªORD'!C:C,29),"")</f>
        <v/>
      </c>
      <c r="D42" s="184" t="str">
        <f>IFERROR(INDEX('ISO · 1ªORD'!D:D,29),"")</f>
        <v/>
      </c>
      <c r="E42" s="185" t="str">
        <f>IFERROR(INDEX('ISO · 1ªORD'!E:E,29),"")</f>
        <v/>
      </c>
      <c r="F42" s="194" t="str">
        <f>IFERROR(INDEX('ISO · 1ªORD'!F:F,29),"")</f>
        <v/>
      </c>
      <c r="G42" s="195" t="str">
        <f>IFERROR(INDEX('ISO · 1ªORD'!G:G,29),"")</f>
        <v/>
      </c>
      <c r="H42" s="196" t="str">
        <f>IFERROR(INDEX('ISO · 1ªORD'!H:H,29),"")</f>
        <v/>
      </c>
      <c r="I42" s="201" t="str">
        <f>IFERROR(INDEX('ISO · 1ªORD'!I:I,29),"")</f>
        <v/>
      </c>
      <c r="J42" s="194" t="str">
        <f>IFERROR(INDEX('ISO · 1ªORD'!J:J,29),"")</f>
        <v/>
      </c>
      <c r="K42" s="250" t="str">
        <f>IFERROR(INDEX('ISO · 1ªORD'!K:K,29),"")</f>
        <v/>
      </c>
      <c r="L42" s="251" t="str">
        <f>IFERROR(INDEX('ISO · 1ªORD'!L:L,29),"")</f>
        <v/>
      </c>
      <c r="M42" s="252" t="str">
        <f>IFERROR(INDEX('ISO · 1ªORD'!M:M,29),"")</f>
        <v/>
      </c>
    </row>
    <row r="43" spans="2:13" ht="18" customHeight="1" x14ac:dyDescent="0.2">
      <c r="B43" s="173">
        <v>20</v>
      </c>
      <c r="C43" s="174" t="str">
        <f>IFERROR(INDEX('ISO · 1ªORD'!C:C,30),"")</f>
        <v/>
      </c>
      <c r="D43" s="184" t="str">
        <f>IFERROR(INDEX('ISO · 1ªORD'!D:D,30),"")</f>
        <v/>
      </c>
      <c r="E43" s="185" t="str">
        <f>IFERROR(INDEX('ISO · 1ªORD'!E:E,30),"")</f>
        <v/>
      </c>
      <c r="F43" s="194" t="str">
        <f>IFERROR(INDEX('ISO · 1ªORD'!F:F,30),"")</f>
        <v/>
      </c>
      <c r="G43" s="195" t="str">
        <f>IFERROR(INDEX('ISO · 1ªORD'!G:G,30),"")</f>
        <v/>
      </c>
      <c r="H43" s="196" t="str">
        <f>IFERROR(INDEX('ISO · 1ªORD'!H:H,30),"")</f>
        <v/>
      </c>
      <c r="I43" s="201" t="str">
        <f>IFERROR(INDEX('ISO · 1ªORD'!I:I,30),"")</f>
        <v/>
      </c>
      <c r="J43" s="194" t="str">
        <f>IFERROR(INDEX('ISO · 1ªORD'!J:J,30),"")</f>
        <v/>
      </c>
      <c r="K43" s="250" t="str">
        <f>IFERROR(INDEX('ISO · 1ªORD'!K:K,30),"")</f>
        <v/>
      </c>
      <c r="L43" s="215" t="str">
        <f>IFERROR(INDEX('ISO · 1ªORD'!L:L,30),"")</f>
        <v/>
      </c>
      <c r="M43" s="77" t="str">
        <f>IFERROR(INDEX('ISO · 1ªORD'!M:M,30),"")</f>
        <v/>
      </c>
    </row>
    <row r="44" spans="2:13" ht="18" customHeight="1" x14ac:dyDescent="0.2">
      <c r="B44" s="173">
        <v>21</v>
      </c>
      <c r="C44" s="174" t="str">
        <f>IFERROR(INDEX('ISO · 1ªORD'!C:C,31),"")</f>
        <v/>
      </c>
      <c r="D44" s="184" t="str">
        <f>IFERROR(INDEX('ISO · 1ªORD'!D:D,31),"")</f>
        <v/>
      </c>
      <c r="E44" s="185" t="str">
        <f>IFERROR(INDEX('ISO · 1ªORD'!E:E,31),"")</f>
        <v/>
      </c>
      <c r="F44" s="194" t="str">
        <f>IFERROR(INDEX('ISO · 1ªORD'!F:F,31),"")</f>
        <v/>
      </c>
      <c r="G44" s="195" t="str">
        <f>IFERROR(INDEX('ISO · 1ªORD'!G:G,31),"")</f>
        <v/>
      </c>
      <c r="H44" s="196" t="str">
        <f>IFERROR(INDEX('ISO · 1ªORD'!H:H,31),"")</f>
        <v/>
      </c>
      <c r="I44" s="201" t="str">
        <f>IFERROR(INDEX('ISO · 1ªORD'!I:I,31),"")</f>
        <v/>
      </c>
      <c r="J44" s="194" t="str">
        <f>IFERROR(INDEX('ISO · 1ªORD'!J:J,31),"")</f>
        <v/>
      </c>
      <c r="K44" s="250" t="str">
        <f>IFERROR(INDEX('ISO · 1ªORD'!K:K,31),"")</f>
        <v/>
      </c>
      <c r="L44" s="251" t="str">
        <f>IFERROR(INDEX('ISO · 1ªORD'!L:L,31),"")</f>
        <v/>
      </c>
      <c r="M44" s="252" t="str">
        <f>IFERROR(INDEX('ISO · 1ªORD'!M:M,31),"")</f>
        <v/>
      </c>
    </row>
    <row r="45" spans="2:13" ht="18" customHeight="1" x14ac:dyDescent="0.2">
      <c r="B45" s="173">
        <v>22</v>
      </c>
      <c r="C45" s="174" t="str">
        <f>IFERROR(INDEX('ISO · 1ªORD'!C:C,32),"")</f>
        <v/>
      </c>
      <c r="D45" s="184" t="str">
        <f>IFERROR(INDEX('ISO · 1ªORD'!D:D,32),"")</f>
        <v/>
      </c>
      <c r="E45" s="185" t="str">
        <f>IFERROR(INDEX('ISO · 1ªORD'!E:E,32),"")</f>
        <v/>
      </c>
      <c r="F45" s="194" t="str">
        <f>IFERROR(INDEX('ISO · 1ªORD'!F:F,32),"")</f>
        <v/>
      </c>
      <c r="G45" s="195" t="str">
        <f>IFERROR(INDEX('ISO · 1ªORD'!G:G,32),"")</f>
        <v/>
      </c>
      <c r="H45" s="196" t="str">
        <f>IFERROR(INDEX('ISO · 1ªORD'!H:H,32),"")</f>
        <v/>
      </c>
      <c r="I45" s="201" t="str">
        <f>IFERROR(INDEX('ISO · 1ªORD'!I:I,32),"")</f>
        <v/>
      </c>
      <c r="J45" s="194" t="str">
        <f>IFERROR(INDEX('ISO · 1ªORD'!J:J,32),"")</f>
        <v/>
      </c>
      <c r="K45" s="250" t="str">
        <f>IFERROR(INDEX('ISO · 1ªORD'!K:K,32),"")</f>
        <v/>
      </c>
      <c r="L45" s="215" t="str">
        <f>IFERROR(INDEX('ISO · 1ªORD'!L:L,32),"")</f>
        <v/>
      </c>
      <c r="M45" s="77" t="str">
        <f>IFERROR(INDEX('ISO · 1ªORD'!M:M,32),"")</f>
        <v/>
      </c>
    </row>
    <row r="46" spans="2:13" ht="18" customHeight="1" x14ac:dyDescent="0.2">
      <c r="B46" s="173">
        <v>23</v>
      </c>
      <c r="C46" s="174" t="str">
        <f>IFERROR(INDEX('ISO · 1ªORD'!C:C,33),"")</f>
        <v/>
      </c>
      <c r="D46" s="184" t="str">
        <f>IFERROR(INDEX('ISO · 1ªORD'!D:D,33),"")</f>
        <v/>
      </c>
      <c r="E46" s="185" t="str">
        <f>IFERROR(INDEX('ISO · 1ªORD'!E:E,33),"")</f>
        <v/>
      </c>
      <c r="F46" s="194" t="str">
        <f>IFERROR(INDEX('ISO · 1ªORD'!F:F,33),"")</f>
        <v/>
      </c>
      <c r="G46" s="195" t="str">
        <f>IFERROR(INDEX('ISO · 1ªORD'!G:G,33),"")</f>
        <v/>
      </c>
      <c r="H46" s="196" t="str">
        <f>IFERROR(INDEX('ISO · 1ªORD'!H:H,33),"")</f>
        <v/>
      </c>
      <c r="I46" s="201" t="str">
        <f>IFERROR(INDEX('ISO · 1ªORD'!I:I,33),"")</f>
        <v/>
      </c>
      <c r="J46" s="194" t="str">
        <f>IFERROR(INDEX('ISO · 1ªORD'!J:J,33),"")</f>
        <v/>
      </c>
      <c r="K46" s="250" t="str">
        <f>IFERROR(INDEX('ISO · 1ªORD'!K:K,33),"")</f>
        <v/>
      </c>
      <c r="L46" s="251" t="str">
        <f>IFERROR(INDEX('ISO · 1ªORD'!L:L,33),"")</f>
        <v/>
      </c>
      <c r="M46" s="252" t="str">
        <f>IFERROR(INDEX('ISO · 1ªORD'!M:M,33),"")</f>
        <v/>
      </c>
    </row>
    <row r="47" spans="2:13" ht="18" customHeight="1" x14ac:dyDescent="0.2">
      <c r="B47" s="173">
        <v>24</v>
      </c>
      <c r="C47" s="174" t="str">
        <f>IFERROR(INDEX('ISO · 1ªORD'!C:C,34),"")</f>
        <v/>
      </c>
      <c r="D47" s="184" t="str">
        <f>IFERROR(INDEX('ISO · 1ªORD'!D:D,34),"")</f>
        <v/>
      </c>
      <c r="E47" s="185" t="str">
        <f>IFERROR(INDEX('ISO · 1ªORD'!E:E,34),"")</f>
        <v/>
      </c>
      <c r="F47" s="194" t="str">
        <f>IFERROR(INDEX('ISO · 1ªORD'!F:F,34),"")</f>
        <v/>
      </c>
      <c r="G47" s="195" t="str">
        <f>IFERROR(INDEX('ISO · 1ªORD'!G:G,34),"")</f>
        <v/>
      </c>
      <c r="H47" s="196" t="str">
        <f>IFERROR(INDEX('ISO · 1ªORD'!H:H,34),"")</f>
        <v/>
      </c>
      <c r="I47" s="201" t="str">
        <f>IFERROR(INDEX('ISO · 1ªORD'!I:I,34),"")</f>
        <v/>
      </c>
      <c r="J47" s="194" t="str">
        <f>IFERROR(INDEX('ISO · 1ªORD'!J:J,34),"")</f>
        <v/>
      </c>
      <c r="K47" s="250" t="str">
        <f>IFERROR(INDEX('ISO · 1ªORD'!K:K,34),"")</f>
        <v/>
      </c>
      <c r="L47" s="215" t="str">
        <f>IFERROR(INDEX('ISO · 1ªORD'!L:L,34),"")</f>
        <v/>
      </c>
      <c r="M47" s="77" t="str">
        <f>IFERROR(INDEX('ISO · 1ªORD'!M:M,34),"")</f>
        <v/>
      </c>
    </row>
    <row r="48" spans="2:13" ht="18" customHeight="1" x14ac:dyDescent="0.2">
      <c r="B48" s="173">
        <v>25</v>
      </c>
      <c r="C48" s="174" t="str">
        <f>IFERROR(INDEX('ISO · 1ªORD'!C:C,35),"")</f>
        <v/>
      </c>
      <c r="D48" s="184" t="str">
        <f>IFERROR(INDEX('ISO · 1ªORD'!D:D,35),"")</f>
        <v/>
      </c>
      <c r="E48" s="185" t="str">
        <f>IFERROR(INDEX('ISO · 1ªORD'!E:E,35),"")</f>
        <v/>
      </c>
      <c r="F48" s="194" t="str">
        <f>IFERROR(INDEX('ISO · 1ªORD'!F:F,35),"")</f>
        <v/>
      </c>
      <c r="G48" s="195" t="str">
        <f>IFERROR(INDEX('ISO · 1ªORD'!G:G,35),"")</f>
        <v/>
      </c>
      <c r="H48" s="196" t="str">
        <f>IFERROR(INDEX('ISO · 1ªORD'!H:H,35),"")</f>
        <v/>
      </c>
      <c r="I48" s="201" t="str">
        <f>IFERROR(INDEX('ISO · 1ªORD'!I:I,35),"")</f>
        <v/>
      </c>
      <c r="J48" s="194" t="str">
        <f>IFERROR(INDEX('ISO · 1ªORD'!J:J,35),"")</f>
        <v/>
      </c>
      <c r="K48" s="250" t="str">
        <f>IFERROR(INDEX('ISO · 1ªORD'!K:K,35),"")</f>
        <v/>
      </c>
      <c r="L48" s="251" t="str">
        <f>IFERROR(INDEX('ISO · 1ªORD'!L:L,35),"")</f>
        <v/>
      </c>
      <c r="M48" s="252" t="str">
        <f>IFERROR(INDEX('ISO · 1ªORD'!M:M,35),"")</f>
        <v/>
      </c>
    </row>
    <row r="49" spans="2:14" ht="18" customHeight="1" x14ac:dyDescent="0.2">
      <c r="B49" s="173">
        <v>26</v>
      </c>
      <c r="C49" s="174" t="str">
        <f>IFERROR(INDEX('ISO · 1ªORD'!C:C,36),"")</f>
        <v/>
      </c>
      <c r="D49" s="184" t="str">
        <f>IFERROR(INDEX('ISO · 1ªORD'!D:D,36),"")</f>
        <v/>
      </c>
      <c r="E49" s="185" t="str">
        <f>IFERROR(INDEX('ISO · 1ªORD'!E:E,36),"")</f>
        <v/>
      </c>
      <c r="F49" s="194" t="str">
        <f>IFERROR(INDEX('ISO · 1ªORD'!F:F,36),"")</f>
        <v/>
      </c>
      <c r="G49" s="195" t="str">
        <f>IFERROR(INDEX('ISO · 1ªORD'!G:G,36),"")</f>
        <v/>
      </c>
      <c r="H49" s="196" t="str">
        <f>IFERROR(INDEX('ISO · 1ªORD'!H:H,36),"")</f>
        <v/>
      </c>
      <c r="I49" s="201" t="str">
        <f>IFERROR(INDEX('ISO · 1ªORD'!I:I,36),"")</f>
        <v/>
      </c>
      <c r="J49" s="194" t="str">
        <f>IFERROR(INDEX('ISO · 1ªORD'!J:J,36),"")</f>
        <v/>
      </c>
      <c r="K49" s="250" t="str">
        <f>IFERROR(INDEX('ISO · 1ªORD'!K:K,36),"")</f>
        <v/>
      </c>
      <c r="L49" s="215" t="str">
        <f>IFERROR(INDEX('ISO · 1ªORD'!L:L,36),"")</f>
        <v/>
      </c>
      <c r="M49" s="77" t="str">
        <f>IFERROR(INDEX('ISO · 1ªORD'!M:M,36),"")</f>
        <v/>
      </c>
    </row>
    <row r="50" spans="2:14" ht="18" customHeight="1" x14ac:dyDescent="0.2">
      <c r="B50" s="173">
        <v>27</v>
      </c>
      <c r="C50" s="174" t="str">
        <f>IFERROR(INDEX('ISO · 1ªORD'!C:C,37),"")</f>
        <v/>
      </c>
      <c r="D50" s="184" t="str">
        <f>IFERROR(INDEX('ISO · 1ªORD'!D:D,37),"")</f>
        <v/>
      </c>
      <c r="E50" s="185" t="str">
        <f>IFERROR(INDEX('ISO · 1ªORD'!E:E,37),"")</f>
        <v/>
      </c>
      <c r="F50" s="194" t="str">
        <f>IFERROR(INDEX('ISO · 1ªORD'!F:F,37),"")</f>
        <v/>
      </c>
      <c r="G50" s="195" t="str">
        <f>IFERROR(INDEX('ISO · 1ªORD'!G:G,37),"")</f>
        <v/>
      </c>
      <c r="H50" s="196" t="str">
        <f>IFERROR(INDEX('ISO · 1ªORD'!H:H,37),"")</f>
        <v/>
      </c>
      <c r="I50" s="201" t="str">
        <f>IFERROR(INDEX('ISO · 1ªORD'!I:I,37),"")</f>
        <v/>
      </c>
      <c r="J50" s="194" t="str">
        <f>IFERROR(INDEX('ISO · 1ªORD'!J:J,37),"")</f>
        <v/>
      </c>
      <c r="K50" s="250" t="str">
        <f>IFERROR(INDEX('ISO · 1ªORD'!K:K,37),"")</f>
        <v/>
      </c>
      <c r="L50" s="251" t="str">
        <f>IFERROR(INDEX('ISO · 1ªORD'!L:L,37),"")</f>
        <v/>
      </c>
      <c r="M50" s="252" t="str">
        <f>IFERROR(INDEX('ISO · 1ªORD'!M:M,37),"")</f>
        <v/>
      </c>
    </row>
    <row r="51" spans="2:14" ht="18" customHeight="1" x14ac:dyDescent="0.2">
      <c r="B51" s="173">
        <v>28</v>
      </c>
      <c r="C51" s="174" t="str">
        <f>IFERROR(INDEX('ISO · 1ªORD'!C:C,38),"")</f>
        <v/>
      </c>
      <c r="D51" s="184" t="str">
        <f>IFERROR(INDEX('ISO · 1ªORD'!D:D,38),"")</f>
        <v/>
      </c>
      <c r="E51" s="185" t="str">
        <f>IFERROR(INDEX('ISO · 1ªORD'!E:E,38),"")</f>
        <v/>
      </c>
      <c r="F51" s="194" t="str">
        <f>IFERROR(INDEX('ISO · 1ªORD'!F:F,38),"")</f>
        <v/>
      </c>
      <c r="G51" s="195" t="str">
        <f>IFERROR(INDEX('ISO · 1ªORD'!G:G,38),"")</f>
        <v/>
      </c>
      <c r="H51" s="196" t="str">
        <f>IFERROR(INDEX('ISO · 1ªORD'!H:H,38),"")</f>
        <v/>
      </c>
      <c r="I51" s="201" t="str">
        <f>IFERROR(INDEX('ISO · 1ªORD'!I:I,38),"")</f>
        <v/>
      </c>
      <c r="J51" s="194" t="str">
        <f>IFERROR(INDEX('ISO · 1ªORD'!J:J,38),"")</f>
        <v/>
      </c>
      <c r="K51" s="250" t="str">
        <f>IFERROR(INDEX('ISO · 1ªORD'!K:K,38),"")</f>
        <v/>
      </c>
      <c r="L51" s="215" t="str">
        <f>IFERROR(INDEX('ISO · 1ªORD'!L:L,38),"")</f>
        <v/>
      </c>
      <c r="M51" s="77" t="str">
        <f>IFERROR(INDEX('ISO · 1ªORD'!M:M,38),"")</f>
        <v/>
      </c>
    </row>
    <row r="52" spans="2:14" ht="18" customHeight="1" x14ac:dyDescent="0.2">
      <c r="B52" s="173">
        <v>29</v>
      </c>
      <c r="C52" s="174" t="str">
        <f>IFERROR(INDEX('ISO · 1ªORD'!C:C,39),"")</f>
        <v/>
      </c>
      <c r="D52" s="184" t="str">
        <f>IFERROR(INDEX('ISO · 1ªORD'!D:D,39),"")</f>
        <v/>
      </c>
      <c r="E52" s="185" t="str">
        <f>IFERROR(INDEX('ISO · 1ªORD'!E:E,39),"")</f>
        <v/>
      </c>
      <c r="F52" s="194" t="str">
        <f>IFERROR(INDEX('ISO · 1ªORD'!F:F,39),"")</f>
        <v/>
      </c>
      <c r="G52" s="195" t="str">
        <f>IFERROR(INDEX('ISO · 1ªORD'!G:G,39),"")</f>
        <v/>
      </c>
      <c r="H52" s="196" t="str">
        <f>IFERROR(INDEX('ISO · 1ªORD'!H:H,39),"")</f>
        <v/>
      </c>
      <c r="I52" s="201" t="str">
        <f>IFERROR(INDEX('ISO · 1ªORD'!I:I,39),"")</f>
        <v/>
      </c>
      <c r="J52" s="194" t="str">
        <f>IFERROR(INDEX('ISO · 1ªORD'!J:J,39),"")</f>
        <v/>
      </c>
      <c r="K52" s="250" t="str">
        <f>IFERROR(INDEX('ISO · 1ªORD'!K:K,39),"")</f>
        <v/>
      </c>
      <c r="L52" s="251" t="str">
        <f>IFERROR(INDEX('ISO · 1ªORD'!L:L,39),"")</f>
        <v/>
      </c>
      <c r="M52" s="252" t="str">
        <f>IFERROR(INDEX('ISO · 1ªORD'!M:M,39),"")</f>
        <v/>
      </c>
    </row>
    <row r="53" spans="2:14" ht="18" customHeight="1" x14ac:dyDescent="0.2">
      <c r="B53" s="173">
        <v>30</v>
      </c>
      <c r="C53" s="174" t="str">
        <f>IFERROR(INDEX('ISO · 1ªORD'!C:C,40),"")</f>
        <v/>
      </c>
      <c r="D53" s="184" t="str">
        <f>IFERROR(INDEX('ISO · 1ªORD'!D:D,40),"")</f>
        <v/>
      </c>
      <c r="E53" s="185" t="str">
        <f>IFERROR(INDEX('ISO · 1ªORD'!E:E,40),"")</f>
        <v/>
      </c>
      <c r="F53" s="194" t="str">
        <f>IFERROR(INDEX('ISO · 1ªORD'!F:F,40),"")</f>
        <v/>
      </c>
      <c r="G53" s="195" t="str">
        <f>IFERROR(INDEX('ISO · 1ªORD'!G:G,40),"")</f>
        <v/>
      </c>
      <c r="H53" s="196" t="str">
        <f>IFERROR(INDEX('ISO · 1ªORD'!H:H,40),"")</f>
        <v/>
      </c>
      <c r="I53" s="201" t="str">
        <f>IFERROR(INDEX('ISO · 1ªORD'!I:I,40),"")</f>
        <v/>
      </c>
      <c r="J53" s="194" t="str">
        <f>IFERROR(INDEX('ISO · 1ªORD'!J:J,40),"")</f>
        <v/>
      </c>
      <c r="K53" s="250" t="str">
        <f>IFERROR(INDEX('ISO · 1ªORD'!K:K,40),"")</f>
        <v/>
      </c>
      <c r="L53" s="215" t="str">
        <f>IFERROR(INDEX('ISO · 1ªORD'!L:L,40),"")</f>
        <v/>
      </c>
      <c r="M53" s="77" t="str">
        <f>IFERROR(INDEX('ISO · 1ªORD'!M:M,40),"")</f>
        <v/>
      </c>
    </row>
    <row r="55" spans="2:14" ht="14" customHeight="1" x14ac:dyDescent="0.2">
      <c r="B55" s="331" t="s">
        <v>656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</row>
  </sheetData>
  <mergeCells count="6">
    <mergeCell ref="B22:N22"/>
    <mergeCell ref="B8:N8"/>
    <mergeCell ref="B18:N18"/>
    <mergeCell ref="B2:K2"/>
    <mergeCell ref="B55:N55"/>
    <mergeCell ref="B3:K3"/>
  </mergeCells>
  <pageMargins left="0.75" right="0.75" top="1" bottom="1" header="0.5" footer="0.5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18" customWidth="1"/>
    <col min="3" max="12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657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658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3" t="s">
        <v>659</v>
      </c>
      <c r="P5" s="4" t="str">
        <f>HYPERLINK("#ISO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6" customHeight="1" x14ac:dyDescent="0.2">
      <c r="B8" s="178" t="s">
        <v>660</v>
      </c>
      <c r="C8" s="253">
        <v>1</v>
      </c>
      <c r="D8" s="343"/>
      <c r="E8" s="292"/>
      <c r="F8" s="292"/>
      <c r="G8" s="292"/>
      <c r="H8" s="292"/>
    </row>
    <row r="9" spans="1:29" ht="18" customHeight="1" x14ac:dyDescent="0.2">
      <c r="B9" s="254" t="s">
        <v>661</v>
      </c>
      <c r="C9" s="255">
        <f>IFERROR(INDEX('ISO · Alumnos'!E:E,9+C8),"")</f>
        <v>0</v>
      </c>
      <c r="D9" s="254" t="s">
        <v>356</v>
      </c>
      <c r="E9" s="255">
        <f>IFERROR(INDEX('ISO · Alumnos'!G:G,9+C8),"")</f>
        <v>0</v>
      </c>
      <c r="F9" s="254" t="s">
        <v>662</v>
      </c>
      <c r="G9" s="255">
        <f>IFERROR(INDEX('ISO · Alumnos'!H:H,9+C8),"")</f>
        <v>0</v>
      </c>
      <c r="H9" s="254" t="s">
        <v>232</v>
      </c>
      <c r="I9" s="255" t="str">
        <f>IFERROR(INDEX('ISO · Alumnos'!J:J,9+C8),"")</f>
        <v>Activo</v>
      </c>
    </row>
    <row r="11" spans="1:29" ht="20" customHeight="1" x14ac:dyDescent="0.2">
      <c r="B11" s="347" t="s">
        <v>663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29" ht="16" customHeight="1" x14ac:dyDescent="0.2">
      <c r="B12" s="75" t="s">
        <v>664</v>
      </c>
      <c r="C12" s="75" t="s">
        <v>665</v>
      </c>
      <c r="D12" s="75" t="s">
        <v>666</v>
      </c>
      <c r="E12" s="75" t="s">
        <v>667</v>
      </c>
      <c r="F12" s="256" t="s">
        <v>668</v>
      </c>
      <c r="G12" s="256" t="s">
        <v>669</v>
      </c>
      <c r="H12" s="256" t="s">
        <v>670</v>
      </c>
    </row>
    <row r="13" spans="1:29" ht="18" customHeight="1" x14ac:dyDescent="0.2">
      <c r="B13" s="257" t="s">
        <v>671</v>
      </c>
      <c r="C13" s="258">
        <f>IFERROR(INDEX('ISO · Reg. Notas'!M:M,10+C$8),"")</f>
        <v>0</v>
      </c>
      <c r="D13" s="258">
        <f>IFERROR(INDEX('ISO · Reg. Notas'!D:D,10+C$8),"")</f>
        <v>0</v>
      </c>
      <c r="E13" s="258">
        <f>IFERROR(INDEX('ISO · Reg. Notas'!E:E,10+C$8),"")</f>
        <v>0</v>
      </c>
      <c r="F13" s="258">
        <f>IFERROR(INDEX('ISO · Reg. Notas'!F:F,10+C$8),"")</f>
        <v>0</v>
      </c>
      <c r="G13" s="258" t="str">
        <f>IFERROR(INDEX('ISO · Reg. Notas'!P:P,10+C$8),"")</f>
        <v/>
      </c>
      <c r="H13" s="258" t="str">
        <f>IFERROR(INDEX('ISO · Reg. Notas'!Q:Q,10+C$8),"")</f>
        <v/>
      </c>
    </row>
    <row r="14" spans="1:29" ht="20" customHeight="1" x14ac:dyDescent="0.2">
      <c r="B14" s="345" t="s">
        <v>672</v>
      </c>
      <c r="C14" s="292"/>
      <c r="D14" s="292"/>
      <c r="E14" s="292"/>
      <c r="F14" s="292"/>
      <c r="G14" s="292"/>
      <c r="H14" s="259" t="str">
        <f>IFERROR(INDEX('ISO · Evaluación 1'!H:H,10+C$8),"")</f>
        <v/>
      </c>
      <c r="I14" s="77" t="str">
        <f>IFERROR(INDEX('ISO · Evaluación 1'!I:I,10+C$8),"")</f>
        <v/>
      </c>
    </row>
    <row r="16" spans="1:29" ht="20" customHeight="1" x14ac:dyDescent="0.2">
      <c r="B16" s="346" t="s">
        <v>673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2:12" ht="16" customHeight="1" x14ac:dyDescent="0.2">
      <c r="B17" s="75" t="s">
        <v>674</v>
      </c>
      <c r="C17" s="75" t="s">
        <v>675</v>
      </c>
      <c r="D17" s="75" t="s">
        <v>676</v>
      </c>
      <c r="E17" s="75" t="s">
        <v>677</v>
      </c>
      <c r="F17" s="260" t="s">
        <v>678</v>
      </c>
      <c r="G17" s="260" t="s">
        <v>679</v>
      </c>
      <c r="H17" s="260" t="s">
        <v>680</v>
      </c>
      <c r="I17" s="260" t="s">
        <v>681</v>
      </c>
    </row>
    <row r="18" spans="2:12" ht="18" customHeight="1" x14ac:dyDescent="0.2">
      <c r="B18" s="257" t="s">
        <v>671</v>
      </c>
      <c r="C18" s="258">
        <f>IFERROR(INDEX('ISO · Reg. Notas'!N:N,10+C$8),"")</f>
        <v>0</v>
      </c>
      <c r="D18" s="258">
        <f>IFERROR(INDEX('ISO · Reg. Notas'!G:G,10+C$8),"")</f>
        <v>0</v>
      </c>
      <c r="E18" s="258">
        <f>IFERROR(INDEX('ISO · Reg. Notas'!H:H,10+C$8),"")</f>
        <v>0</v>
      </c>
      <c r="F18" s="258">
        <f>IFERROR(INDEX('ISO · Reg. Notas'!I:I,10+C$8),"")</f>
        <v>0</v>
      </c>
      <c r="G18" s="258" t="str">
        <f>IFERROR(INDEX('ISO · Reg. Notas'!R:R,10+C$8),"")</f>
        <v/>
      </c>
      <c r="H18" s="258" t="str">
        <f>IFERROR(INDEX('ISO · Reg. Notas'!S:S,10+C$8),"")</f>
        <v/>
      </c>
      <c r="I18" s="258" t="str">
        <f>IFERROR(INDEX('ISO · Reg. Notas'!T:T,10+C$8),"")</f>
        <v/>
      </c>
    </row>
    <row r="19" spans="2:12" ht="20" customHeight="1" x14ac:dyDescent="0.2">
      <c r="B19" s="349" t="s">
        <v>682</v>
      </c>
      <c r="C19" s="292"/>
      <c r="D19" s="292"/>
      <c r="E19" s="292"/>
      <c r="F19" s="292"/>
      <c r="G19" s="292"/>
      <c r="H19" s="292"/>
      <c r="I19" s="261" t="str">
        <f>IFERROR(INDEX('ISO · Evaluación 2'!J:J,10+C$8),"")</f>
        <v/>
      </c>
      <c r="J19" s="77" t="str">
        <f>IFERROR(INDEX('ISO · Evaluación 2'!K:K,10+C$8),"")</f>
        <v/>
      </c>
    </row>
    <row r="21" spans="2:12" ht="20" customHeight="1" x14ac:dyDescent="0.2">
      <c r="B21" s="344" t="s">
        <v>683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</row>
    <row r="22" spans="2:12" ht="16" customHeight="1" x14ac:dyDescent="0.2">
      <c r="B22" s="75" t="s">
        <v>684</v>
      </c>
      <c r="C22" s="75" t="s">
        <v>685</v>
      </c>
      <c r="D22" s="75" t="s">
        <v>686</v>
      </c>
      <c r="E22" s="75" t="s">
        <v>687</v>
      </c>
      <c r="F22" s="82" t="s">
        <v>688</v>
      </c>
      <c r="G22" s="82" t="s">
        <v>689</v>
      </c>
      <c r="H22" s="262" t="s">
        <v>690</v>
      </c>
      <c r="I22" s="82" t="s">
        <v>691</v>
      </c>
    </row>
    <row r="23" spans="2:12" ht="18" customHeight="1" x14ac:dyDescent="0.2">
      <c r="B23" s="257" t="s">
        <v>671</v>
      </c>
      <c r="C23" s="258">
        <f>IFERROR(INDEX('ISO · Reg. Notas'!O:O,10+C$8),"")</f>
        <v>0</v>
      </c>
      <c r="D23" s="258">
        <f>IFERROR(INDEX('ISO · Reg. Notas'!J:J,10+C$8),"")</f>
        <v>0</v>
      </c>
      <c r="E23" s="258">
        <f>IFERROR(INDEX('ISO · Reg. Notas'!K:K,10+C$8),"")</f>
        <v>0</v>
      </c>
      <c r="F23" s="258">
        <f>IFERROR(INDEX('ISO · Reg. Notas'!L:L,10+C$8),"")</f>
        <v>0</v>
      </c>
      <c r="G23" s="258" t="str">
        <f>IFERROR(INDEX('ISO · Reg. Notas'!U:U,10+C$8),"")</f>
        <v/>
      </c>
      <c r="H23" s="258" t="str">
        <f>IFERROR(INDEX('ISO · Reg. Notas'!V:V,10+C$8),"")</f>
        <v/>
      </c>
      <c r="I23" s="258" t="str">
        <f>IFERROR(INDEX('ISO · Reg. Notas'!W:W,10+C$8),"")</f>
        <v/>
      </c>
    </row>
    <row r="24" spans="2:12" ht="20" customHeight="1" x14ac:dyDescent="0.2">
      <c r="B24" s="348" t="s">
        <v>692</v>
      </c>
      <c r="C24" s="292"/>
      <c r="D24" s="292"/>
      <c r="E24" s="292"/>
      <c r="F24" s="292"/>
      <c r="G24" s="292"/>
      <c r="H24" s="292"/>
      <c r="I24" s="263" t="str">
        <f>IFERROR(INDEX('ISO · Evaluación 3'!J:J,10+C$8),"")</f>
        <v/>
      </c>
      <c r="J24" s="77" t="str">
        <f>IFERROR(INDEX('ISO · Evaluación 3'!K:K,10+C$8),"")</f>
        <v/>
      </c>
    </row>
    <row r="26" spans="2:12" ht="20" customHeight="1" x14ac:dyDescent="0.2">
      <c r="B26" s="342" t="s">
        <v>693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</row>
    <row r="27" spans="2:12" ht="32" customHeight="1" x14ac:dyDescent="0.2">
      <c r="B27" s="264" t="s">
        <v>444</v>
      </c>
      <c r="C27" s="265" t="s">
        <v>445</v>
      </c>
      <c r="D27" s="266" t="s">
        <v>446</v>
      </c>
      <c r="E27" s="267" t="s">
        <v>447</v>
      </c>
      <c r="F27" s="268" t="s">
        <v>448</v>
      </c>
      <c r="G27" s="269" t="s">
        <v>449</v>
      </c>
      <c r="H27" s="270" t="s">
        <v>450</v>
      </c>
      <c r="I27" s="271" t="s">
        <v>654</v>
      </c>
      <c r="J27" s="12" t="s">
        <v>392</v>
      </c>
      <c r="K27" s="12" t="s">
        <v>694</v>
      </c>
    </row>
    <row r="28" spans="2:12" ht="26" customHeight="1" x14ac:dyDescent="0.2">
      <c r="B28" s="272" t="str">
        <f>IFERROR(INDEX('ISO · 1ªORD'!D:D,10+C$8),"")</f>
        <v/>
      </c>
      <c r="C28" s="273" t="str">
        <f>IFERROR(INDEX('ISO · 1ªORD'!E:E,10+C$8),"")</f>
        <v/>
      </c>
      <c r="D28" s="274" t="str">
        <f>IFERROR(INDEX('ISO · 1ªORD'!F:F,10+C$8),"")</f>
        <v/>
      </c>
      <c r="E28" s="275" t="str">
        <f>IFERROR(INDEX('ISO · 1ªORD'!G:G,10+C$8),"")</f>
        <v/>
      </c>
      <c r="F28" s="276" t="str">
        <f>IFERROR(INDEX('ISO · 1ªORD'!H:H,10+C$8),"")</f>
        <v/>
      </c>
      <c r="G28" s="277" t="str">
        <f>IFERROR(INDEX('ISO · 1ªORD'!I:I,10+C$8),"")</f>
        <v/>
      </c>
      <c r="H28" s="274" t="str">
        <f>IFERROR(INDEX('ISO · 1ªORD'!J:J,10+C$8),"")</f>
        <v/>
      </c>
      <c r="I28" s="278" t="str">
        <f>IFERROR(INDEX('ISO · 1ªORD'!K:K,10+C$8),"")</f>
        <v/>
      </c>
      <c r="J28" s="279" t="str">
        <f>IFERROR(INDEX('ISO · 1ªORD'!L:L,10+C$8),"")</f>
        <v/>
      </c>
      <c r="K28" s="280" t="str">
        <f>IFERROR(INDEX('ISO · 1ªORD'!M:M,10+C$8),"")</f>
        <v/>
      </c>
    </row>
  </sheetData>
  <mergeCells count="10">
    <mergeCell ref="B2:K2"/>
    <mergeCell ref="B19:H19"/>
    <mergeCell ref="B3:K3"/>
    <mergeCell ref="B26:L26"/>
    <mergeCell ref="D8:H8"/>
    <mergeCell ref="B21:L21"/>
    <mergeCell ref="B14:G14"/>
    <mergeCell ref="B16:L16"/>
    <mergeCell ref="B11:L11"/>
    <mergeCell ref="B24:H24"/>
  </mergeCells>
  <dataValidations count="1">
    <dataValidation type="whole" errorTitle="Número inválido" error="Introduce un número entre 1 y 30" sqref="C8" xr:uid="{00000000-0002-0000-1400-000000000000}">
      <formula1>1</formula1>
      <formula2>30</formula2>
    </dataValidation>
  </dataValidations>
  <pageMargins left="0.75" right="0.75" top="1" bottom="1" header="0.5" footer="0.5"/>
  <pageSetup fitToHeight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6" width="10" customWidth="1"/>
    <col min="7" max="7" width="12" customWidth="1"/>
    <col min="8" max="8" width="16" customWidth="1"/>
    <col min="9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695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696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HYPERLINK("#ISO · Programación!A1","📋 Programa")</f>
        <v>📋 Programa</v>
      </c>
      <c r="D5" s="4" t="str">
        <f>HYPERLINK("#ISO · Alumnos!A1","👥 Alumnos")</f>
        <v>👥 Alumnos</v>
      </c>
      <c r="E5" s="4" t="str">
        <f>HYPERLINK("#ISO · Actividades!A1","📝 Actividades")</f>
        <v>📝 Actividades</v>
      </c>
      <c r="F5" s="4" t="str">
        <f>HYPERLINK("#ISO · Reg. Notas!A1","📊 Reg. Notas")</f>
        <v>📊 Reg. Notas</v>
      </c>
      <c r="G5" s="4" t="str">
        <f>HYPERLINK("#ISO · Resumen!A1","📈 Resumen")</f>
        <v>📈 Resumen</v>
      </c>
      <c r="H5" s="4" t="str">
        <f>HYPERLINK("#ISO · Evaluación 1!A1","Eval 1")</f>
        <v>Eval 1</v>
      </c>
      <c r="I5" s="4" t="str">
        <f>HYPERLINK("#ISO · Evaluación 2!A1","Eval 2")</f>
        <v>Eval 2</v>
      </c>
      <c r="J5" s="4" t="str">
        <f>HYPERLINK("#ISO · Evaluación 3!A1","Eval 3")</f>
        <v>Eval 3</v>
      </c>
      <c r="K5" s="4" t="str">
        <f>HYPERLINK("#ISO · 1ªORD!A1","1ª ORD")</f>
        <v>1ª ORD</v>
      </c>
      <c r="L5" s="4" t="str">
        <f>HYPERLINK("#ISO · 2ªORD!A1","2ª ORD")</f>
        <v>2ª ORD</v>
      </c>
      <c r="M5" s="4" t="str">
        <f>HYPERLINK("#ISO · Rúbricas!A1","🎯 Rúbricas")</f>
        <v>🎯 Rúbricas</v>
      </c>
      <c r="N5" s="4" t="str">
        <f>HYPERLINK("#ISO · Informe Grupo!A1","📊 Inf.Grupo")</f>
        <v>📊 Inf.Grupo</v>
      </c>
      <c r="O5" s="4" t="str">
        <f>HYPERLINK("#ISO · Boletín!A1","📄 Boletín")</f>
        <v>📄 Boletín</v>
      </c>
      <c r="P5" s="3" t="s">
        <v>697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698</v>
      </c>
      <c r="C8" s="292"/>
      <c r="D8" s="292"/>
      <c r="E8" s="292"/>
      <c r="F8" s="292"/>
      <c r="G8" s="292"/>
      <c r="H8" s="292"/>
      <c r="I8" s="292"/>
    </row>
    <row r="9" spans="1:29" ht="13" customHeight="1" x14ac:dyDescent="0.2">
      <c r="B9" s="358" t="s">
        <v>699</v>
      </c>
      <c r="C9" s="292"/>
      <c r="D9" s="359" t="s">
        <v>700</v>
      </c>
      <c r="E9" s="292"/>
      <c r="F9" s="353" t="s">
        <v>701</v>
      </c>
      <c r="G9" s="292"/>
    </row>
    <row r="10" spans="1:29" ht="30" customHeight="1" x14ac:dyDescent="0.2">
      <c r="B10" s="356">
        <f>COUNTA('ISO · Alumnos'!C10:C39)</f>
        <v>0</v>
      </c>
      <c r="C10" s="292"/>
      <c r="D10" s="352">
        <f>COUNTIF('ISO · 1ªORD'!M11:M40,"APTO")</f>
        <v>0</v>
      </c>
      <c r="E10" s="292"/>
      <c r="F10" s="354">
        <f>COUNTIF('ISO · 1ªORD'!M11:M40,"NO APTO")</f>
        <v>0</v>
      </c>
      <c r="G10" s="292"/>
    </row>
    <row r="11" spans="1:29" ht="5" customHeight="1" x14ac:dyDescent="0.2"/>
    <row r="12" spans="1:29" ht="13" customHeight="1" x14ac:dyDescent="0.2">
      <c r="B12" s="361" t="s">
        <v>702</v>
      </c>
      <c r="C12" s="292"/>
      <c r="D12" s="360" t="s">
        <v>703</v>
      </c>
      <c r="E12" s="292"/>
      <c r="F12" s="351" t="s">
        <v>704</v>
      </c>
      <c r="G12" s="292"/>
    </row>
    <row r="13" spans="1:29" ht="30" customHeight="1" x14ac:dyDescent="0.2">
      <c r="B13" s="350" t="str">
        <f>IFERROR(ROUND(AVERAGE('ISO · 1ªORD'!L11:L40),2),"–")</f>
        <v>–</v>
      </c>
      <c r="C13" s="292"/>
      <c r="D13" s="355">
        <f>IFERROR(MAX('ISO · 1ªORD'!L11:L40),"–")</f>
        <v>0</v>
      </c>
      <c r="E13" s="292"/>
      <c r="F13" s="357">
        <f>COUNTIFS('ISO · 1ªORD'!L11:L40,"&gt;0",'ISO · 1ªORD'!L11:L40,"&lt;4")</f>
        <v>0</v>
      </c>
      <c r="G13" s="292"/>
    </row>
    <row r="14" spans="1:29" ht="5" customHeight="1" x14ac:dyDescent="0.2"/>
    <row r="15" spans="1:29" ht="5" customHeight="1" x14ac:dyDescent="0.2">
      <c r="B15" s="1"/>
      <c r="C15" s="1"/>
      <c r="D15" s="1"/>
      <c r="E15" s="1"/>
      <c r="F15" s="1"/>
      <c r="G15" s="1"/>
      <c r="H15" s="1"/>
      <c r="I15" s="1"/>
    </row>
    <row r="16" spans="1:29" ht="14" customHeight="1" x14ac:dyDescent="0.2">
      <c r="B16" s="295" t="s">
        <v>705</v>
      </c>
      <c r="C16" s="292"/>
      <c r="D16" s="292"/>
      <c r="E16" s="292"/>
      <c r="F16" s="292"/>
      <c r="G16" s="292"/>
      <c r="H16" s="292"/>
      <c r="I16" s="292"/>
    </row>
    <row r="17" spans="2:9" ht="30" customHeight="1" x14ac:dyDescent="0.2">
      <c r="B17" s="33" t="s">
        <v>352</v>
      </c>
      <c r="C17" s="33" t="s">
        <v>391</v>
      </c>
      <c r="D17" s="182" t="s">
        <v>706</v>
      </c>
      <c r="E17" s="89" t="s">
        <v>707</v>
      </c>
      <c r="F17" s="87" t="s">
        <v>708</v>
      </c>
      <c r="G17" s="33" t="s">
        <v>452</v>
      </c>
      <c r="H17" s="33" t="s">
        <v>232</v>
      </c>
      <c r="I17" s="34" t="s">
        <v>709</v>
      </c>
    </row>
    <row r="18" spans="2:9" ht="18" customHeight="1" x14ac:dyDescent="0.2">
      <c r="B18" s="154">
        <v>1</v>
      </c>
      <c r="C18" s="174" t="str">
        <f>IFERROR('ISO · Alumnos'!C17&amp;IF('ISO · Alumnos'!D17&lt;&gt;"",", "&amp;'ISO · Alumnos'!D17,""),"")</f>
        <v/>
      </c>
      <c r="D18" s="184" t="str">
        <f>IFERROR(INDEX('ISO · Evaluación 1'!H:H,10+1),"")</f>
        <v/>
      </c>
      <c r="E18" s="185" t="str">
        <f>IFERROR(INDEX('ISO · Evaluación 2'!J:J,10+1),"")</f>
        <v/>
      </c>
      <c r="F18" s="194" t="str">
        <f>IFERROR(INDEX('ISO · Evaluación 3'!J:J,10+1),"")</f>
        <v/>
      </c>
      <c r="G18" s="251" t="str">
        <f>IFERROR(INDEX('ISO · 1ªORD'!L:L,10+1),"")</f>
        <v/>
      </c>
      <c r="H18" s="281" t="str">
        <f t="shared" ref="H18:H47" si="0">IF(G18="","–",IF(G18&gt;=7,"🟢 NOTABLE",IF(G18&gt;=5,"🟡 APTO","🔴 NO APTO")))</f>
        <v>–</v>
      </c>
      <c r="I18" s="51" t="str">
        <f t="shared" ref="I18:I47" si="1">IFERROR(TEXT(COUNTIF(D18:F18,"&gt;0")/3,"0%"),"–")</f>
        <v>0%</v>
      </c>
    </row>
    <row r="19" spans="2:9" ht="18" customHeight="1" x14ac:dyDescent="0.2">
      <c r="B19" s="154">
        <v>2</v>
      </c>
      <c r="C19" s="174" t="str">
        <f>IFERROR('ISO · Alumnos'!C18&amp;IF('ISO · Alumnos'!D18&lt;&gt;"",", "&amp;'ISO · Alumnos'!D18,""),"")</f>
        <v/>
      </c>
      <c r="D19" s="184" t="str">
        <f>IFERROR(INDEX('ISO · Evaluación 1'!H:H,10+2),"")</f>
        <v/>
      </c>
      <c r="E19" s="185" t="str">
        <f>IFERROR(INDEX('ISO · Evaluación 2'!J:J,10+2),"")</f>
        <v/>
      </c>
      <c r="F19" s="194" t="str">
        <f>IFERROR(INDEX('ISO · Evaluación 3'!J:J,10+2),"")</f>
        <v/>
      </c>
      <c r="G19" s="215" t="str">
        <f>IFERROR(INDEX('ISO · 1ªORD'!L:L,10+2),"")</f>
        <v/>
      </c>
      <c r="H19" s="282" t="str">
        <f t="shared" si="0"/>
        <v>–</v>
      </c>
      <c r="I19" s="57" t="str">
        <f t="shared" si="1"/>
        <v>0%</v>
      </c>
    </row>
    <row r="20" spans="2:9" ht="18" customHeight="1" x14ac:dyDescent="0.2">
      <c r="B20" s="154">
        <v>3</v>
      </c>
      <c r="C20" s="174" t="str">
        <f>IFERROR('ISO · Alumnos'!C19&amp;IF('ISO · Alumnos'!D19&lt;&gt;"",", "&amp;'ISO · Alumnos'!D19,""),"")</f>
        <v/>
      </c>
      <c r="D20" s="184" t="str">
        <f>IFERROR(INDEX('ISO · Evaluación 1'!H:H,10+3),"")</f>
        <v/>
      </c>
      <c r="E20" s="185" t="str">
        <f>IFERROR(INDEX('ISO · Evaluación 2'!J:J,10+3),"")</f>
        <v/>
      </c>
      <c r="F20" s="194" t="str">
        <f>IFERROR(INDEX('ISO · Evaluación 3'!J:J,10+3),"")</f>
        <v/>
      </c>
      <c r="G20" s="251" t="str">
        <f>IFERROR(INDEX('ISO · 1ªORD'!L:L,10+3),"")</f>
        <v/>
      </c>
      <c r="H20" s="281" t="str">
        <f t="shared" si="0"/>
        <v>–</v>
      </c>
      <c r="I20" s="51" t="str">
        <f t="shared" si="1"/>
        <v>0%</v>
      </c>
    </row>
    <row r="21" spans="2:9" ht="18" customHeight="1" x14ac:dyDescent="0.2">
      <c r="B21" s="154">
        <v>4</v>
      </c>
      <c r="C21" s="174" t="str">
        <f>IFERROR('ISO · Alumnos'!C20&amp;IF('ISO · Alumnos'!D20&lt;&gt;"",", "&amp;'ISO · Alumnos'!D20,""),"")</f>
        <v/>
      </c>
      <c r="D21" s="184" t="str">
        <f>IFERROR(INDEX('ISO · Evaluación 1'!H:H,10+4),"")</f>
        <v/>
      </c>
      <c r="E21" s="185" t="str">
        <f>IFERROR(INDEX('ISO · Evaluación 2'!J:J,10+4),"")</f>
        <v/>
      </c>
      <c r="F21" s="194" t="str">
        <f>IFERROR(INDEX('ISO · Evaluación 3'!J:J,10+4),"")</f>
        <v/>
      </c>
      <c r="G21" s="215" t="str">
        <f>IFERROR(INDEX('ISO · 1ªORD'!L:L,10+4),"")</f>
        <v/>
      </c>
      <c r="H21" s="282" t="str">
        <f t="shared" si="0"/>
        <v>–</v>
      </c>
      <c r="I21" s="57" t="str">
        <f t="shared" si="1"/>
        <v>0%</v>
      </c>
    </row>
    <row r="22" spans="2:9" ht="18" customHeight="1" x14ac:dyDescent="0.2">
      <c r="B22" s="154">
        <v>5</v>
      </c>
      <c r="C22" s="174" t="str">
        <f>IFERROR('ISO · Alumnos'!C21&amp;IF('ISO · Alumnos'!D21&lt;&gt;"",", "&amp;'ISO · Alumnos'!D21,""),"")</f>
        <v/>
      </c>
      <c r="D22" s="184" t="str">
        <f>IFERROR(INDEX('ISO · Evaluación 1'!H:H,10+5),"")</f>
        <v/>
      </c>
      <c r="E22" s="185" t="str">
        <f>IFERROR(INDEX('ISO · Evaluación 2'!J:J,10+5),"")</f>
        <v/>
      </c>
      <c r="F22" s="194" t="str">
        <f>IFERROR(INDEX('ISO · Evaluación 3'!J:J,10+5),"")</f>
        <v/>
      </c>
      <c r="G22" s="251" t="str">
        <f>IFERROR(INDEX('ISO · 1ªORD'!L:L,10+5),"")</f>
        <v/>
      </c>
      <c r="H22" s="281" t="str">
        <f t="shared" si="0"/>
        <v>–</v>
      </c>
      <c r="I22" s="51" t="str">
        <f t="shared" si="1"/>
        <v>0%</v>
      </c>
    </row>
    <row r="23" spans="2:9" ht="18" customHeight="1" x14ac:dyDescent="0.2">
      <c r="B23" s="154">
        <v>6</v>
      </c>
      <c r="C23" s="174" t="str">
        <f>IFERROR('ISO · Alumnos'!C22&amp;IF('ISO · Alumnos'!D22&lt;&gt;"",", "&amp;'ISO · Alumnos'!D22,""),"")</f>
        <v/>
      </c>
      <c r="D23" s="184" t="str">
        <f>IFERROR(INDEX('ISO · Evaluación 1'!H:H,10+6),"")</f>
        <v/>
      </c>
      <c r="E23" s="185" t="str">
        <f>IFERROR(INDEX('ISO · Evaluación 2'!J:J,10+6),"")</f>
        <v/>
      </c>
      <c r="F23" s="194" t="str">
        <f>IFERROR(INDEX('ISO · Evaluación 3'!J:J,10+6),"")</f>
        <v/>
      </c>
      <c r="G23" s="215" t="str">
        <f>IFERROR(INDEX('ISO · 1ªORD'!L:L,10+6),"")</f>
        <v/>
      </c>
      <c r="H23" s="282" t="str">
        <f t="shared" si="0"/>
        <v>–</v>
      </c>
      <c r="I23" s="57" t="str">
        <f t="shared" si="1"/>
        <v>0%</v>
      </c>
    </row>
    <row r="24" spans="2:9" ht="18" customHeight="1" x14ac:dyDescent="0.2">
      <c r="B24" s="154">
        <v>7</v>
      </c>
      <c r="C24" s="174" t="str">
        <f>IFERROR('ISO · Alumnos'!C23&amp;IF('ISO · Alumnos'!D23&lt;&gt;"",", "&amp;'ISO · Alumnos'!D23,""),"")</f>
        <v/>
      </c>
      <c r="D24" s="184" t="str">
        <f>IFERROR(INDEX('ISO · Evaluación 1'!H:H,10+7),"")</f>
        <v/>
      </c>
      <c r="E24" s="185" t="str">
        <f>IFERROR(INDEX('ISO · Evaluación 2'!J:J,10+7),"")</f>
        <v/>
      </c>
      <c r="F24" s="194" t="str">
        <f>IFERROR(INDEX('ISO · Evaluación 3'!J:J,10+7),"")</f>
        <v/>
      </c>
      <c r="G24" s="251" t="str">
        <f>IFERROR(INDEX('ISO · 1ªORD'!L:L,10+7),"")</f>
        <v/>
      </c>
      <c r="H24" s="281" t="str">
        <f t="shared" si="0"/>
        <v>–</v>
      </c>
      <c r="I24" s="51" t="str">
        <f t="shared" si="1"/>
        <v>0%</v>
      </c>
    </row>
    <row r="25" spans="2:9" ht="18" customHeight="1" x14ac:dyDescent="0.2">
      <c r="B25" s="154">
        <v>8</v>
      </c>
      <c r="C25" s="174" t="str">
        <f>IFERROR('ISO · Alumnos'!C24&amp;IF('ISO · Alumnos'!D24&lt;&gt;"",", "&amp;'ISO · Alumnos'!D24,""),"")</f>
        <v/>
      </c>
      <c r="D25" s="184" t="str">
        <f>IFERROR(INDEX('ISO · Evaluación 1'!H:H,10+8),"")</f>
        <v/>
      </c>
      <c r="E25" s="185" t="str">
        <f>IFERROR(INDEX('ISO · Evaluación 2'!J:J,10+8),"")</f>
        <v/>
      </c>
      <c r="F25" s="194" t="str">
        <f>IFERROR(INDEX('ISO · Evaluación 3'!J:J,10+8),"")</f>
        <v/>
      </c>
      <c r="G25" s="215" t="str">
        <f>IFERROR(INDEX('ISO · 1ªORD'!L:L,10+8),"")</f>
        <v/>
      </c>
      <c r="H25" s="282" t="str">
        <f t="shared" si="0"/>
        <v>–</v>
      </c>
      <c r="I25" s="57" t="str">
        <f t="shared" si="1"/>
        <v>0%</v>
      </c>
    </row>
    <row r="26" spans="2:9" ht="18" customHeight="1" x14ac:dyDescent="0.2">
      <c r="B26" s="154">
        <v>9</v>
      </c>
      <c r="C26" s="174" t="str">
        <f>IFERROR('ISO · Alumnos'!C25&amp;IF('ISO · Alumnos'!D25&lt;&gt;"",", "&amp;'ISO · Alumnos'!D25,""),"")</f>
        <v/>
      </c>
      <c r="D26" s="184" t="str">
        <f>IFERROR(INDEX('ISO · Evaluación 1'!H:H,10+9),"")</f>
        <v/>
      </c>
      <c r="E26" s="185" t="str">
        <f>IFERROR(INDEX('ISO · Evaluación 2'!J:J,10+9),"")</f>
        <v/>
      </c>
      <c r="F26" s="194" t="str">
        <f>IFERROR(INDEX('ISO · Evaluación 3'!J:J,10+9),"")</f>
        <v/>
      </c>
      <c r="G26" s="251" t="str">
        <f>IFERROR(INDEX('ISO · 1ªORD'!L:L,10+9),"")</f>
        <v/>
      </c>
      <c r="H26" s="281" t="str">
        <f t="shared" si="0"/>
        <v>–</v>
      </c>
      <c r="I26" s="51" t="str">
        <f t="shared" si="1"/>
        <v>0%</v>
      </c>
    </row>
    <row r="27" spans="2:9" ht="18" customHeight="1" x14ac:dyDescent="0.2">
      <c r="B27" s="154">
        <v>10</v>
      </c>
      <c r="C27" s="174" t="str">
        <f>IFERROR('ISO · Alumnos'!C26&amp;IF('ISO · Alumnos'!D26&lt;&gt;"",", "&amp;'ISO · Alumnos'!D26,""),"")</f>
        <v/>
      </c>
      <c r="D27" s="184" t="str">
        <f>IFERROR(INDEX('ISO · Evaluación 1'!H:H,10+10),"")</f>
        <v/>
      </c>
      <c r="E27" s="185" t="str">
        <f>IFERROR(INDEX('ISO · Evaluación 2'!J:J,10+10),"")</f>
        <v/>
      </c>
      <c r="F27" s="194" t="str">
        <f>IFERROR(INDEX('ISO · Evaluación 3'!J:J,10+10),"")</f>
        <v/>
      </c>
      <c r="G27" s="215" t="str">
        <f>IFERROR(INDEX('ISO · 1ªORD'!L:L,10+10),"")</f>
        <v/>
      </c>
      <c r="H27" s="282" t="str">
        <f t="shared" si="0"/>
        <v>–</v>
      </c>
      <c r="I27" s="57" t="str">
        <f t="shared" si="1"/>
        <v>0%</v>
      </c>
    </row>
    <row r="28" spans="2:9" ht="18" customHeight="1" x14ac:dyDescent="0.2">
      <c r="B28" s="154">
        <v>11</v>
      </c>
      <c r="C28" s="174" t="str">
        <f>IFERROR('ISO · Alumnos'!C27&amp;IF('ISO · Alumnos'!D27&lt;&gt;"",", "&amp;'ISO · Alumnos'!D27,""),"")</f>
        <v/>
      </c>
      <c r="D28" s="184" t="str">
        <f>IFERROR(INDEX('ISO · Evaluación 1'!H:H,10+11),"")</f>
        <v/>
      </c>
      <c r="E28" s="185" t="str">
        <f>IFERROR(INDEX('ISO · Evaluación 2'!J:J,10+11),"")</f>
        <v/>
      </c>
      <c r="F28" s="194" t="str">
        <f>IFERROR(INDEX('ISO · Evaluación 3'!J:J,10+11),"")</f>
        <v/>
      </c>
      <c r="G28" s="251" t="str">
        <f>IFERROR(INDEX('ISO · 1ªORD'!L:L,10+11),"")</f>
        <v/>
      </c>
      <c r="H28" s="281" t="str">
        <f t="shared" si="0"/>
        <v>–</v>
      </c>
      <c r="I28" s="51" t="str">
        <f t="shared" si="1"/>
        <v>0%</v>
      </c>
    </row>
    <row r="29" spans="2:9" ht="18" customHeight="1" x14ac:dyDescent="0.2">
      <c r="B29" s="154">
        <v>12</v>
      </c>
      <c r="C29" s="174" t="str">
        <f>IFERROR('ISO · Alumnos'!C28&amp;IF('ISO · Alumnos'!D28&lt;&gt;"",", "&amp;'ISO · Alumnos'!D28,""),"")</f>
        <v/>
      </c>
      <c r="D29" s="184" t="str">
        <f>IFERROR(INDEX('ISO · Evaluación 1'!H:H,10+12),"")</f>
        <v/>
      </c>
      <c r="E29" s="185" t="str">
        <f>IFERROR(INDEX('ISO · Evaluación 2'!J:J,10+12),"")</f>
        <v/>
      </c>
      <c r="F29" s="194" t="str">
        <f>IFERROR(INDEX('ISO · Evaluación 3'!J:J,10+12),"")</f>
        <v/>
      </c>
      <c r="G29" s="215" t="str">
        <f>IFERROR(INDEX('ISO · 1ªORD'!L:L,10+12),"")</f>
        <v/>
      </c>
      <c r="H29" s="282" t="str">
        <f t="shared" si="0"/>
        <v>–</v>
      </c>
      <c r="I29" s="57" t="str">
        <f t="shared" si="1"/>
        <v>0%</v>
      </c>
    </row>
    <row r="30" spans="2:9" ht="18" customHeight="1" x14ac:dyDescent="0.2">
      <c r="B30" s="154">
        <v>13</v>
      </c>
      <c r="C30" s="174" t="str">
        <f>IFERROR('ISO · Alumnos'!C29&amp;IF('ISO · Alumnos'!D29&lt;&gt;"",", "&amp;'ISO · Alumnos'!D29,""),"")</f>
        <v/>
      </c>
      <c r="D30" s="184" t="str">
        <f>IFERROR(INDEX('ISO · Evaluación 1'!H:H,10+13),"")</f>
        <v/>
      </c>
      <c r="E30" s="185" t="str">
        <f>IFERROR(INDEX('ISO · Evaluación 2'!J:J,10+13),"")</f>
        <v/>
      </c>
      <c r="F30" s="194" t="str">
        <f>IFERROR(INDEX('ISO · Evaluación 3'!J:J,10+13),"")</f>
        <v/>
      </c>
      <c r="G30" s="251" t="str">
        <f>IFERROR(INDEX('ISO · 1ªORD'!L:L,10+13),"")</f>
        <v/>
      </c>
      <c r="H30" s="281" t="str">
        <f t="shared" si="0"/>
        <v>–</v>
      </c>
      <c r="I30" s="51" t="str">
        <f t="shared" si="1"/>
        <v>0%</v>
      </c>
    </row>
    <row r="31" spans="2:9" ht="18" customHeight="1" x14ac:dyDescent="0.2">
      <c r="B31" s="154">
        <v>14</v>
      </c>
      <c r="C31" s="174" t="str">
        <f>IFERROR('ISO · Alumnos'!C30&amp;IF('ISO · Alumnos'!D30&lt;&gt;"",", "&amp;'ISO · Alumnos'!D30,""),"")</f>
        <v/>
      </c>
      <c r="D31" s="184" t="str">
        <f>IFERROR(INDEX('ISO · Evaluación 1'!H:H,10+14),"")</f>
        <v/>
      </c>
      <c r="E31" s="185" t="str">
        <f>IFERROR(INDEX('ISO · Evaluación 2'!J:J,10+14),"")</f>
        <v/>
      </c>
      <c r="F31" s="194" t="str">
        <f>IFERROR(INDEX('ISO · Evaluación 3'!J:J,10+14),"")</f>
        <v/>
      </c>
      <c r="G31" s="215" t="str">
        <f>IFERROR(INDEX('ISO · 1ªORD'!L:L,10+14),"")</f>
        <v/>
      </c>
      <c r="H31" s="282" t="str">
        <f t="shared" si="0"/>
        <v>–</v>
      </c>
      <c r="I31" s="57" t="str">
        <f t="shared" si="1"/>
        <v>0%</v>
      </c>
    </row>
    <row r="32" spans="2:9" ht="18" customHeight="1" x14ac:dyDescent="0.2">
      <c r="B32" s="154">
        <v>15</v>
      </c>
      <c r="C32" s="174" t="str">
        <f>IFERROR('ISO · Alumnos'!C31&amp;IF('ISO · Alumnos'!D31&lt;&gt;"",", "&amp;'ISO · Alumnos'!D31,""),"")</f>
        <v/>
      </c>
      <c r="D32" s="184" t="str">
        <f>IFERROR(INDEX('ISO · Evaluación 1'!H:H,10+15),"")</f>
        <v/>
      </c>
      <c r="E32" s="185" t="str">
        <f>IFERROR(INDEX('ISO · Evaluación 2'!J:J,10+15),"")</f>
        <v/>
      </c>
      <c r="F32" s="194" t="str">
        <f>IFERROR(INDEX('ISO · Evaluación 3'!J:J,10+15),"")</f>
        <v/>
      </c>
      <c r="G32" s="251" t="str">
        <f>IFERROR(INDEX('ISO · 1ªORD'!L:L,10+15),"")</f>
        <v/>
      </c>
      <c r="H32" s="281" t="str">
        <f t="shared" si="0"/>
        <v>–</v>
      </c>
      <c r="I32" s="51" t="str">
        <f t="shared" si="1"/>
        <v>0%</v>
      </c>
    </row>
    <row r="33" spans="2:9" ht="18" customHeight="1" x14ac:dyDescent="0.2">
      <c r="B33" s="154">
        <v>16</v>
      </c>
      <c r="C33" s="174" t="str">
        <f>IFERROR('ISO · Alumnos'!C32&amp;IF('ISO · Alumnos'!D32&lt;&gt;"",", "&amp;'ISO · Alumnos'!D32,""),"")</f>
        <v/>
      </c>
      <c r="D33" s="184" t="str">
        <f>IFERROR(INDEX('ISO · Evaluación 1'!H:H,10+16),"")</f>
        <v/>
      </c>
      <c r="E33" s="185" t="str">
        <f>IFERROR(INDEX('ISO · Evaluación 2'!J:J,10+16),"")</f>
        <v/>
      </c>
      <c r="F33" s="194" t="str">
        <f>IFERROR(INDEX('ISO · Evaluación 3'!J:J,10+16),"")</f>
        <v/>
      </c>
      <c r="G33" s="215" t="str">
        <f>IFERROR(INDEX('ISO · 1ªORD'!L:L,10+16),"")</f>
        <v/>
      </c>
      <c r="H33" s="282" t="str">
        <f t="shared" si="0"/>
        <v>–</v>
      </c>
      <c r="I33" s="57" t="str">
        <f t="shared" si="1"/>
        <v>0%</v>
      </c>
    </row>
    <row r="34" spans="2:9" ht="18" customHeight="1" x14ac:dyDescent="0.2">
      <c r="B34" s="154">
        <v>17</v>
      </c>
      <c r="C34" s="174" t="str">
        <f>IFERROR('ISO · Alumnos'!C33&amp;IF('ISO · Alumnos'!D33&lt;&gt;"",", "&amp;'ISO · Alumnos'!D33,""),"")</f>
        <v/>
      </c>
      <c r="D34" s="184" t="str">
        <f>IFERROR(INDEX('ISO · Evaluación 1'!H:H,10+17),"")</f>
        <v/>
      </c>
      <c r="E34" s="185" t="str">
        <f>IFERROR(INDEX('ISO · Evaluación 2'!J:J,10+17),"")</f>
        <v/>
      </c>
      <c r="F34" s="194" t="str">
        <f>IFERROR(INDEX('ISO · Evaluación 3'!J:J,10+17),"")</f>
        <v/>
      </c>
      <c r="G34" s="251" t="str">
        <f>IFERROR(INDEX('ISO · 1ªORD'!L:L,10+17),"")</f>
        <v/>
      </c>
      <c r="H34" s="281" t="str">
        <f t="shared" si="0"/>
        <v>–</v>
      </c>
      <c r="I34" s="51" t="str">
        <f t="shared" si="1"/>
        <v>0%</v>
      </c>
    </row>
    <row r="35" spans="2:9" ht="18" customHeight="1" x14ac:dyDescent="0.2">
      <c r="B35" s="154">
        <v>18</v>
      </c>
      <c r="C35" s="174" t="str">
        <f>IFERROR('ISO · Alumnos'!C34&amp;IF('ISO · Alumnos'!D34&lt;&gt;"",", "&amp;'ISO · Alumnos'!D34,""),"")</f>
        <v/>
      </c>
      <c r="D35" s="184" t="str">
        <f>IFERROR(INDEX('ISO · Evaluación 1'!H:H,10+18),"")</f>
        <v/>
      </c>
      <c r="E35" s="185" t="str">
        <f>IFERROR(INDEX('ISO · Evaluación 2'!J:J,10+18),"")</f>
        <v/>
      </c>
      <c r="F35" s="194" t="str">
        <f>IFERROR(INDEX('ISO · Evaluación 3'!J:J,10+18),"")</f>
        <v/>
      </c>
      <c r="G35" s="215" t="str">
        <f>IFERROR(INDEX('ISO · 1ªORD'!L:L,10+18),"")</f>
        <v/>
      </c>
      <c r="H35" s="282" t="str">
        <f t="shared" si="0"/>
        <v>–</v>
      </c>
      <c r="I35" s="57" t="str">
        <f t="shared" si="1"/>
        <v>0%</v>
      </c>
    </row>
    <row r="36" spans="2:9" ht="18" customHeight="1" x14ac:dyDescent="0.2">
      <c r="B36" s="154">
        <v>19</v>
      </c>
      <c r="C36" s="174" t="str">
        <f>IFERROR('ISO · Alumnos'!C35&amp;IF('ISO · Alumnos'!D35&lt;&gt;"",", "&amp;'ISO · Alumnos'!D35,""),"")</f>
        <v/>
      </c>
      <c r="D36" s="184" t="str">
        <f>IFERROR(INDEX('ISO · Evaluación 1'!H:H,10+19),"")</f>
        <v/>
      </c>
      <c r="E36" s="185" t="str">
        <f>IFERROR(INDEX('ISO · Evaluación 2'!J:J,10+19),"")</f>
        <v/>
      </c>
      <c r="F36" s="194" t="str">
        <f>IFERROR(INDEX('ISO · Evaluación 3'!J:J,10+19),"")</f>
        <v/>
      </c>
      <c r="G36" s="251" t="str">
        <f>IFERROR(INDEX('ISO · 1ªORD'!L:L,10+19),"")</f>
        <v/>
      </c>
      <c r="H36" s="281" t="str">
        <f t="shared" si="0"/>
        <v>–</v>
      </c>
      <c r="I36" s="51" t="str">
        <f t="shared" si="1"/>
        <v>0%</v>
      </c>
    </row>
    <row r="37" spans="2:9" ht="18" customHeight="1" x14ac:dyDescent="0.2">
      <c r="B37" s="154">
        <v>20</v>
      </c>
      <c r="C37" s="174" t="str">
        <f>IFERROR('ISO · Alumnos'!C36&amp;IF('ISO · Alumnos'!D36&lt;&gt;"",", "&amp;'ISO · Alumnos'!D36,""),"")</f>
        <v/>
      </c>
      <c r="D37" s="184" t="str">
        <f>IFERROR(INDEX('ISO · Evaluación 1'!H:H,10+20),"")</f>
        <v/>
      </c>
      <c r="E37" s="185" t="str">
        <f>IFERROR(INDEX('ISO · Evaluación 2'!J:J,10+20),"")</f>
        <v/>
      </c>
      <c r="F37" s="194" t="str">
        <f>IFERROR(INDEX('ISO · Evaluación 3'!J:J,10+20),"")</f>
        <v/>
      </c>
      <c r="G37" s="215" t="str">
        <f>IFERROR(INDEX('ISO · 1ªORD'!L:L,10+20),"")</f>
        <v/>
      </c>
      <c r="H37" s="282" t="str">
        <f t="shared" si="0"/>
        <v>–</v>
      </c>
      <c r="I37" s="57" t="str">
        <f t="shared" si="1"/>
        <v>0%</v>
      </c>
    </row>
    <row r="38" spans="2:9" ht="18" customHeight="1" x14ac:dyDescent="0.2">
      <c r="B38" s="154">
        <v>21</v>
      </c>
      <c r="C38" s="174" t="str">
        <f>IFERROR('ISO · Alumnos'!C37&amp;IF('ISO · Alumnos'!D37&lt;&gt;"",", "&amp;'ISO · Alumnos'!D37,""),"")</f>
        <v/>
      </c>
      <c r="D38" s="184" t="str">
        <f>IFERROR(INDEX('ISO · Evaluación 1'!H:H,10+21),"")</f>
        <v/>
      </c>
      <c r="E38" s="185" t="str">
        <f>IFERROR(INDEX('ISO · Evaluación 2'!J:J,10+21),"")</f>
        <v/>
      </c>
      <c r="F38" s="194" t="str">
        <f>IFERROR(INDEX('ISO · Evaluación 3'!J:J,10+21),"")</f>
        <v/>
      </c>
      <c r="G38" s="251" t="str">
        <f>IFERROR(INDEX('ISO · 1ªORD'!L:L,10+21),"")</f>
        <v/>
      </c>
      <c r="H38" s="281" t="str">
        <f t="shared" si="0"/>
        <v>–</v>
      </c>
      <c r="I38" s="51" t="str">
        <f t="shared" si="1"/>
        <v>0%</v>
      </c>
    </row>
    <row r="39" spans="2:9" ht="18" customHeight="1" x14ac:dyDescent="0.2">
      <c r="B39" s="154">
        <v>22</v>
      </c>
      <c r="C39" s="174" t="str">
        <f>IFERROR('ISO · Alumnos'!C38&amp;IF('ISO · Alumnos'!D38&lt;&gt;"",", "&amp;'ISO · Alumnos'!D38,""),"")</f>
        <v/>
      </c>
      <c r="D39" s="184" t="str">
        <f>IFERROR(INDEX('ISO · Evaluación 1'!H:H,10+22),"")</f>
        <v/>
      </c>
      <c r="E39" s="185" t="str">
        <f>IFERROR(INDEX('ISO · Evaluación 2'!J:J,10+22),"")</f>
        <v/>
      </c>
      <c r="F39" s="194" t="str">
        <f>IFERROR(INDEX('ISO · Evaluación 3'!J:J,10+22),"")</f>
        <v/>
      </c>
      <c r="G39" s="215" t="str">
        <f>IFERROR(INDEX('ISO · 1ªORD'!L:L,10+22),"")</f>
        <v/>
      </c>
      <c r="H39" s="282" t="str">
        <f t="shared" si="0"/>
        <v>–</v>
      </c>
      <c r="I39" s="57" t="str">
        <f t="shared" si="1"/>
        <v>0%</v>
      </c>
    </row>
    <row r="40" spans="2:9" ht="18" customHeight="1" x14ac:dyDescent="0.2">
      <c r="B40" s="154">
        <v>23</v>
      </c>
      <c r="C40" s="174" t="str">
        <f>IFERROR('ISO · Alumnos'!C39&amp;IF('ISO · Alumnos'!D39&lt;&gt;"",", "&amp;'ISO · Alumnos'!D39,""),"")</f>
        <v/>
      </c>
      <c r="D40" s="184" t="str">
        <f>IFERROR(INDEX('ISO · Evaluación 1'!H:H,10+23),"")</f>
        <v/>
      </c>
      <c r="E40" s="185" t="str">
        <f>IFERROR(INDEX('ISO · Evaluación 2'!J:J,10+23),"")</f>
        <v/>
      </c>
      <c r="F40" s="194" t="str">
        <f>IFERROR(INDEX('ISO · Evaluación 3'!J:J,10+23),"")</f>
        <v/>
      </c>
      <c r="G40" s="251" t="str">
        <f>IFERROR(INDEX('ISO · 1ªORD'!L:L,10+23),"")</f>
        <v/>
      </c>
      <c r="H40" s="281" t="str">
        <f t="shared" si="0"/>
        <v>–</v>
      </c>
      <c r="I40" s="51" t="str">
        <f t="shared" si="1"/>
        <v>0%</v>
      </c>
    </row>
    <row r="41" spans="2:9" ht="18" customHeight="1" x14ac:dyDescent="0.2">
      <c r="B41" s="154">
        <v>24</v>
      </c>
      <c r="C41" s="174" t="str">
        <f>IFERROR('ISO · Alumnos'!C40&amp;IF('ISO · Alumnos'!D40&lt;&gt;"",", "&amp;'ISO · Alumnos'!D40,""),"")</f>
        <v/>
      </c>
      <c r="D41" s="184" t="str">
        <f>IFERROR(INDEX('ISO · Evaluación 1'!H:H,10+24),"")</f>
        <v/>
      </c>
      <c r="E41" s="185" t="str">
        <f>IFERROR(INDEX('ISO · Evaluación 2'!J:J,10+24),"")</f>
        <v/>
      </c>
      <c r="F41" s="194" t="str">
        <f>IFERROR(INDEX('ISO · Evaluación 3'!J:J,10+24),"")</f>
        <v/>
      </c>
      <c r="G41" s="215" t="str">
        <f>IFERROR(INDEX('ISO · 1ªORD'!L:L,10+24),"")</f>
        <v/>
      </c>
      <c r="H41" s="282" t="str">
        <f t="shared" si="0"/>
        <v>–</v>
      </c>
      <c r="I41" s="57" t="str">
        <f t="shared" si="1"/>
        <v>0%</v>
      </c>
    </row>
    <row r="42" spans="2:9" ht="18" customHeight="1" x14ac:dyDescent="0.2">
      <c r="B42" s="154">
        <v>25</v>
      </c>
      <c r="C42" s="174" t="str">
        <f>IFERROR('ISO · Alumnos'!C41&amp;IF('ISO · Alumnos'!D41&lt;&gt;"",", "&amp;'ISO · Alumnos'!D41,""),"")</f>
        <v/>
      </c>
      <c r="D42" s="184" t="str">
        <f>IFERROR(INDEX('ISO · Evaluación 1'!H:H,10+25),"")</f>
        <v/>
      </c>
      <c r="E42" s="185" t="str">
        <f>IFERROR(INDEX('ISO · Evaluación 2'!J:J,10+25),"")</f>
        <v/>
      </c>
      <c r="F42" s="194" t="str">
        <f>IFERROR(INDEX('ISO · Evaluación 3'!J:J,10+25),"")</f>
        <v/>
      </c>
      <c r="G42" s="251" t="str">
        <f>IFERROR(INDEX('ISO · 1ªORD'!L:L,10+25),"")</f>
        <v/>
      </c>
      <c r="H42" s="281" t="str">
        <f t="shared" si="0"/>
        <v>–</v>
      </c>
      <c r="I42" s="51" t="str">
        <f t="shared" si="1"/>
        <v>0%</v>
      </c>
    </row>
    <row r="43" spans="2:9" ht="18" customHeight="1" x14ac:dyDescent="0.2">
      <c r="B43" s="154">
        <v>26</v>
      </c>
      <c r="C43" s="174" t="str">
        <f>IFERROR('ISO · Alumnos'!C42&amp;IF('ISO · Alumnos'!D42&lt;&gt;"",", "&amp;'ISO · Alumnos'!D42,""),"")</f>
        <v/>
      </c>
      <c r="D43" s="184" t="str">
        <f>IFERROR(INDEX('ISO · Evaluación 1'!H:H,10+26),"")</f>
        <v/>
      </c>
      <c r="E43" s="185" t="str">
        <f>IFERROR(INDEX('ISO · Evaluación 2'!J:J,10+26),"")</f>
        <v/>
      </c>
      <c r="F43" s="194" t="str">
        <f>IFERROR(INDEX('ISO · Evaluación 3'!J:J,10+26),"")</f>
        <v/>
      </c>
      <c r="G43" s="215" t="str">
        <f>IFERROR(INDEX('ISO · 1ªORD'!L:L,10+26),"")</f>
        <v/>
      </c>
      <c r="H43" s="282" t="str">
        <f t="shared" si="0"/>
        <v>–</v>
      </c>
      <c r="I43" s="57" t="str">
        <f t="shared" si="1"/>
        <v>0%</v>
      </c>
    </row>
    <row r="44" spans="2:9" ht="18" customHeight="1" x14ac:dyDescent="0.2">
      <c r="B44" s="154">
        <v>27</v>
      </c>
      <c r="C44" s="174" t="str">
        <f>IFERROR('ISO · Alumnos'!C43&amp;IF('ISO · Alumnos'!D43&lt;&gt;"",", "&amp;'ISO · Alumnos'!D43,""),"")</f>
        <v/>
      </c>
      <c r="D44" s="184" t="str">
        <f>IFERROR(INDEX('ISO · Evaluación 1'!H:H,10+27),"")</f>
        <v/>
      </c>
      <c r="E44" s="185" t="str">
        <f>IFERROR(INDEX('ISO · Evaluación 2'!J:J,10+27),"")</f>
        <v/>
      </c>
      <c r="F44" s="194" t="str">
        <f>IFERROR(INDEX('ISO · Evaluación 3'!J:J,10+27),"")</f>
        <v/>
      </c>
      <c r="G44" s="251" t="str">
        <f>IFERROR(INDEX('ISO · 1ªORD'!L:L,10+27),"")</f>
        <v/>
      </c>
      <c r="H44" s="281" t="str">
        <f t="shared" si="0"/>
        <v>–</v>
      </c>
      <c r="I44" s="51" t="str">
        <f t="shared" si="1"/>
        <v>0%</v>
      </c>
    </row>
    <row r="45" spans="2:9" ht="18" customHeight="1" x14ac:dyDescent="0.2">
      <c r="B45" s="154">
        <v>28</v>
      </c>
      <c r="C45" s="174" t="str">
        <f>IFERROR('ISO · Alumnos'!C44&amp;IF('ISO · Alumnos'!D44&lt;&gt;"",", "&amp;'ISO · Alumnos'!D44,""),"")</f>
        <v/>
      </c>
      <c r="D45" s="184" t="str">
        <f>IFERROR(INDEX('ISO · Evaluación 1'!H:H,10+28),"")</f>
        <v/>
      </c>
      <c r="E45" s="185" t="str">
        <f>IFERROR(INDEX('ISO · Evaluación 2'!J:J,10+28),"")</f>
        <v/>
      </c>
      <c r="F45" s="194" t="str">
        <f>IFERROR(INDEX('ISO · Evaluación 3'!J:J,10+28),"")</f>
        <v/>
      </c>
      <c r="G45" s="215" t="str">
        <f>IFERROR(INDEX('ISO · 1ªORD'!L:L,10+28),"")</f>
        <v/>
      </c>
      <c r="H45" s="282" t="str">
        <f t="shared" si="0"/>
        <v>–</v>
      </c>
      <c r="I45" s="57" t="str">
        <f t="shared" si="1"/>
        <v>0%</v>
      </c>
    </row>
    <row r="46" spans="2:9" ht="18" customHeight="1" x14ac:dyDescent="0.2">
      <c r="B46" s="154">
        <v>29</v>
      </c>
      <c r="C46" s="174" t="str">
        <f>IFERROR('ISO · Alumnos'!C45&amp;IF('ISO · Alumnos'!D45&lt;&gt;"",", "&amp;'ISO · Alumnos'!D45,""),"")</f>
        <v/>
      </c>
      <c r="D46" s="184" t="str">
        <f>IFERROR(INDEX('ISO · Evaluación 1'!H:H,10+29),"")</f>
        <v/>
      </c>
      <c r="E46" s="185" t="str">
        <f>IFERROR(INDEX('ISO · Evaluación 2'!J:J,10+29),"")</f>
        <v/>
      </c>
      <c r="F46" s="194" t="str">
        <f>IFERROR(INDEX('ISO · Evaluación 3'!J:J,10+29),"")</f>
        <v/>
      </c>
      <c r="G46" s="251" t="str">
        <f>IFERROR(INDEX('ISO · 1ªORD'!L:L,10+29),"")</f>
        <v/>
      </c>
      <c r="H46" s="281" t="str">
        <f t="shared" si="0"/>
        <v>–</v>
      </c>
      <c r="I46" s="51" t="str">
        <f t="shared" si="1"/>
        <v>0%</v>
      </c>
    </row>
    <row r="47" spans="2:9" ht="18" customHeight="1" x14ac:dyDescent="0.2">
      <c r="B47" s="154">
        <v>30</v>
      </c>
      <c r="C47" s="174" t="str">
        <f>IFERROR('ISO · Alumnos'!C46&amp;IF('ISO · Alumnos'!D46&lt;&gt;"",", "&amp;'ISO · Alumnos'!D46,""),"")</f>
        <v/>
      </c>
      <c r="D47" s="184" t="str">
        <f>IFERROR(INDEX('ISO · Evaluación 1'!H:H,10+30),"")</f>
        <v/>
      </c>
      <c r="E47" s="185" t="str">
        <f>IFERROR(INDEX('ISO · Evaluación 2'!J:J,10+30),"")</f>
        <v/>
      </c>
      <c r="F47" s="194" t="str">
        <f>IFERROR(INDEX('ISO · Evaluación 3'!J:J,10+30),"")</f>
        <v/>
      </c>
      <c r="G47" s="215" t="str">
        <f>IFERROR(INDEX('ISO · 1ªORD'!L:L,10+30),"")</f>
        <v/>
      </c>
      <c r="H47" s="282" t="str">
        <f t="shared" si="0"/>
        <v>–</v>
      </c>
      <c r="I47" s="57" t="str">
        <f t="shared" si="1"/>
        <v>0%</v>
      </c>
    </row>
    <row r="48" spans="2:9" ht="5" customHeight="1" x14ac:dyDescent="0.2">
      <c r="B48" s="1"/>
      <c r="C48" s="1"/>
      <c r="D48" s="1"/>
      <c r="E48" s="1"/>
      <c r="F48" s="1"/>
      <c r="G48" s="1"/>
      <c r="H48" s="1"/>
      <c r="I48" s="1"/>
    </row>
    <row r="49" spans="2:9" ht="14" customHeight="1" x14ac:dyDescent="0.2">
      <c r="B49" s="295" t="s">
        <v>710</v>
      </c>
      <c r="C49" s="292"/>
      <c r="D49" s="292"/>
      <c r="E49" s="292"/>
      <c r="F49" s="292"/>
      <c r="G49" s="292"/>
      <c r="H49" s="292"/>
      <c r="I49" s="292"/>
    </row>
    <row r="50" spans="2:9" ht="26" customHeight="1" x14ac:dyDescent="0.2">
      <c r="B50" s="264" t="s">
        <v>711</v>
      </c>
      <c r="C50" s="265" t="s">
        <v>712</v>
      </c>
      <c r="D50" s="266" t="s">
        <v>713</v>
      </c>
      <c r="E50" s="267" t="s">
        <v>714</v>
      </c>
      <c r="F50" s="268" t="s">
        <v>715</v>
      </c>
      <c r="G50" s="269" t="s">
        <v>716</v>
      </c>
      <c r="H50" s="270" t="s">
        <v>717</v>
      </c>
      <c r="I50" s="271" t="s">
        <v>718</v>
      </c>
    </row>
    <row r="51" spans="2:9" ht="24" customHeight="1" x14ac:dyDescent="0.2">
      <c r="B51" s="283" t="str">
        <f>IFERROR(ROUND(AVERAGE('ISO · Reg. Notas'!P11:P40),2),"–")</f>
        <v>–</v>
      </c>
      <c r="C51" s="284" t="str">
        <f>IFERROR(ROUND(AVERAGE('ISO · Reg. Notas'!Q11:Q40),2),"–")</f>
        <v>–</v>
      </c>
      <c r="D51" s="285" t="str">
        <f>IFERROR(ROUND(AVERAGE('ISO · Reg. Notas'!R11:R40),2),"–")</f>
        <v>–</v>
      </c>
      <c r="E51" s="286" t="str">
        <f>IFERROR(ROUND(AVERAGE('ISO · Reg. Notas'!S11:S40),2),"–")</f>
        <v>–</v>
      </c>
      <c r="F51" s="287" t="str">
        <f>IFERROR(ROUND(AVERAGE('ISO · Reg. Notas'!T11:T40),2),"–")</f>
        <v>–</v>
      </c>
      <c r="G51" s="288" t="str">
        <f>IFERROR(ROUND(AVERAGE('ISO · Reg. Notas'!U11:U40),2),"–")</f>
        <v>–</v>
      </c>
      <c r="H51" s="285" t="str">
        <f>IFERROR(ROUND(AVERAGE('ISO · Reg. Notas'!V11:V40),2),"–")</f>
        <v>–</v>
      </c>
      <c r="I51" s="289" t="str">
        <f>IFERROR(ROUND(AVERAGE('ISO · Reg. Notas'!W11:W40),2),"–")</f>
        <v>–</v>
      </c>
    </row>
    <row r="53" spans="2:9" ht="14" customHeight="1" x14ac:dyDescent="0.2">
      <c r="B53" s="294" t="s">
        <v>719</v>
      </c>
      <c r="C53" s="292"/>
      <c r="D53" s="292"/>
      <c r="E53" s="292"/>
      <c r="F53" s="292"/>
      <c r="G53" s="292"/>
      <c r="H53" s="292"/>
      <c r="I53" s="292"/>
    </row>
  </sheetData>
  <mergeCells count="18">
    <mergeCell ref="B2:K2"/>
    <mergeCell ref="B9:C9"/>
    <mergeCell ref="D9:E9"/>
    <mergeCell ref="B8:I8"/>
    <mergeCell ref="B49:I49"/>
    <mergeCell ref="B3:K3"/>
    <mergeCell ref="D12:E12"/>
    <mergeCell ref="B12:C12"/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9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720</v>
      </c>
      <c r="B1" s="290" t="s">
        <v>721</v>
      </c>
      <c r="C1" s="290" t="s">
        <v>722</v>
      </c>
      <c r="D1" s="290" t="s">
        <v>723</v>
      </c>
      <c r="E1" s="290" t="s">
        <v>724</v>
      </c>
      <c r="F1" s="290" t="s">
        <v>725</v>
      </c>
    </row>
    <row r="2" spans="1:6" x14ac:dyDescent="0.2">
      <c r="A2" t="s">
        <v>66</v>
      </c>
      <c r="B2" t="s">
        <v>67</v>
      </c>
      <c r="C2">
        <v>30</v>
      </c>
      <c r="D2">
        <v>1</v>
      </c>
      <c r="E2">
        <v>16.13</v>
      </c>
      <c r="F2" t="s">
        <v>165</v>
      </c>
    </row>
    <row r="3" spans="1:6" x14ac:dyDescent="0.2">
      <c r="A3" t="s">
        <v>71</v>
      </c>
      <c r="B3" t="s">
        <v>72</v>
      </c>
      <c r="C3">
        <v>25</v>
      </c>
      <c r="D3">
        <v>1</v>
      </c>
      <c r="E3">
        <v>13.44</v>
      </c>
      <c r="F3" t="s">
        <v>171</v>
      </c>
    </row>
    <row r="4" spans="1:6" x14ac:dyDescent="0.2">
      <c r="A4" t="s">
        <v>75</v>
      </c>
      <c r="B4" t="s">
        <v>76</v>
      </c>
      <c r="C4">
        <v>22</v>
      </c>
      <c r="D4">
        <v>2</v>
      </c>
      <c r="E4">
        <v>11.83</v>
      </c>
      <c r="F4" t="s">
        <v>174</v>
      </c>
    </row>
    <row r="5" spans="1:6" x14ac:dyDescent="0.2">
      <c r="A5" t="s">
        <v>80</v>
      </c>
      <c r="B5" t="s">
        <v>81</v>
      </c>
      <c r="C5">
        <v>30</v>
      </c>
      <c r="D5">
        <v>2</v>
      </c>
      <c r="E5">
        <v>16.13</v>
      </c>
      <c r="F5" t="s">
        <v>178</v>
      </c>
    </row>
    <row r="6" spans="1:6" x14ac:dyDescent="0.2">
      <c r="A6" t="s">
        <v>82</v>
      </c>
      <c r="B6" t="s">
        <v>83</v>
      </c>
      <c r="C6">
        <v>25</v>
      </c>
      <c r="D6">
        <v>2</v>
      </c>
      <c r="E6">
        <v>13.44</v>
      </c>
      <c r="F6" t="s">
        <v>181</v>
      </c>
    </row>
    <row r="7" spans="1:6" x14ac:dyDescent="0.2">
      <c r="A7" t="s">
        <v>84</v>
      </c>
      <c r="B7" t="s">
        <v>85</v>
      </c>
      <c r="C7">
        <v>22</v>
      </c>
      <c r="D7">
        <v>3</v>
      </c>
      <c r="E7">
        <v>11.83</v>
      </c>
      <c r="F7" t="s">
        <v>184</v>
      </c>
    </row>
    <row r="8" spans="1:6" x14ac:dyDescent="0.2">
      <c r="A8" t="s">
        <v>87</v>
      </c>
      <c r="B8" t="s">
        <v>88</v>
      </c>
      <c r="C8">
        <v>22</v>
      </c>
      <c r="D8">
        <v>3</v>
      </c>
      <c r="E8">
        <v>11.83</v>
      </c>
      <c r="F8" t="s">
        <v>188</v>
      </c>
    </row>
    <row r="9" spans="1:6" x14ac:dyDescent="0.2">
      <c r="A9" t="s">
        <v>89</v>
      </c>
      <c r="B9" t="s">
        <v>90</v>
      </c>
      <c r="C9">
        <v>10</v>
      </c>
      <c r="D9">
        <v>3</v>
      </c>
      <c r="E9">
        <v>5.38</v>
      </c>
      <c r="F9" t="s">
        <v>191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9"/>
  <sheetViews>
    <sheetView workbookViewId="0"/>
  </sheetViews>
  <sheetFormatPr baseColWidth="10" defaultColWidth="8.83203125" defaultRowHeight="15" x14ac:dyDescent="0.2"/>
  <sheetData>
    <row r="1" spans="1:5" x14ac:dyDescent="0.2">
      <c r="A1" s="290" t="s">
        <v>720</v>
      </c>
      <c r="B1" s="290" t="s">
        <v>721</v>
      </c>
      <c r="C1" s="290" t="s">
        <v>724</v>
      </c>
      <c r="D1" s="290" t="s">
        <v>726</v>
      </c>
      <c r="E1" s="290" t="s">
        <v>727</v>
      </c>
    </row>
    <row r="2" spans="1:5" x14ac:dyDescent="0.2">
      <c r="A2" t="s">
        <v>26</v>
      </c>
      <c r="B2" t="s">
        <v>335</v>
      </c>
      <c r="C2">
        <v>13</v>
      </c>
      <c r="D2">
        <v>8</v>
      </c>
      <c r="E2">
        <v>24</v>
      </c>
    </row>
    <row r="3" spans="1:5" x14ac:dyDescent="0.2">
      <c r="A3" t="s">
        <v>31</v>
      </c>
      <c r="B3" t="s">
        <v>32</v>
      </c>
      <c r="C3">
        <v>19</v>
      </c>
      <c r="D3">
        <v>19</v>
      </c>
      <c r="E3">
        <v>35.33</v>
      </c>
    </row>
    <row r="4" spans="1:5" x14ac:dyDescent="0.2">
      <c r="A4" t="s">
        <v>36</v>
      </c>
      <c r="B4" t="s">
        <v>336</v>
      </c>
      <c r="C4">
        <v>9</v>
      </c>
      <c r="D4">
        <v>8</v>
      </c>
      <c r="E4">
        <v>16</v>
      </c>
    </row>
    <row r="5" spans="1:5" x14ac:dyDescent="0.2">
      <c r="A5" t="s">
        <v>40</v>
      </c>
      <c r="B5" t="s">
        <v>337</v>
      </c>
      <c r="C5">
        <v>16</v>
      </c>
      <c r="D5">
        <v>8</v>
      </c>
      <c r="E5">
        <v>30</v>
      </c>
    </row>
    <row r="6" spans="1:5" x14ac:dyDescent="0.2">
      <c r="A6" t="s">
        <v>44</v>
      </c>
      <c r="B6" t="s">
        <v>338</v>
      </c>
      <c r="C6">
        <v>13</v>
      </c>
      <c r="D6">
        <v>8</v>
      </c>
      <c r="E6">
        <v>24.07</v>
      </c>
    </row>
    <row r="7" spans="1:5" x14ac:dyDescent="0.2">
      <c r="A7" t="s">
        <v>47</v>
      </c>
      <c r="B7" t="s">
        <v>339</v>
      </c>
      <c r="C7">
        <v>12</v>
      </c>
      <c r="D7">
        <v>10</v>
      </c>
      <c r="E7">
        <v>22</v>
      </c>
    </row>
    <row r="8" spans="1:5" x14ac:dyDescent="0.2">
      <c r="A8" t="s">
        <v>52</v>
      </c>
      <c r="B8" t="s">
        <v>340</v>
      </c>
      <c r="C8">
        <v>13</v>
      </c>
      <c r="D8">
        <v>9</v>
      </c>
      <c r="E8">
        <v>24.59</v>
      </c>
    </row>
    <row r="9" spans="1:5" x14ac:dyDescent="0.2">
      <c r="A9" t="s">
        <v>56</v>
      </c>
      <c r="B9" t="s">
        <v>341</v>
      </c>
      <c r="C9">
        <v>5</v>
      </c>
      <c r="D9">
        <v>9</v>
      </c>
      <c r="E9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80"/>
  <sheetViews>
    <sheetView workbookViewId="0"/>
  </sheetViews>
  <sheetFormatPr baseColWidth="10" defaultColWidth="8.83203125" defaultRowHeight="15" x14ac:dyDescent="0.2"/>
  <sheetData>
    <row r="1" spans="1:3" x14ac:dyDescent="0.2">
      <c r="A1" s="290" t="s">
        <v>728</v>
      </c>
      <c r="B1" s="290" t="s">
        <v>729</v>
      </c>
      <c r="C1" s="290" t="s">
        <v>730</v>
      </c>
    </row>
    <row r="2" spans="1:3" x14ac:dyDescent="0.2">
      <c r="A2" t="s">
        <v>26</v>
      </c>
      <c r="B2" t="s">
        <v>316</v>
      </c>
      <c r="C2">
        <v>1</v>
      </c>
    </row>
    <row r="3" spans="1:3" x14ac:dyDescent="0.2">
      <c r="A3" t="s">
        <v>26</v>
      </c>
      <c r="B3" t="s">
        <v>481</v>
      </c>
      <c r="C3">
        <v>2</v>
      </c>
    </row>
    <row r="4" spans="1:3" x14ac:dyDescent="0.2">
      <c r="A4" t="s">
        <v>26</v>
      </c>
      <c r="B4" t="s">
        <v>486</v>
      </c>
      <c r="C4">
        <v>3</v>
      </c>
    </row>
    <row r="5" spans="1:3" x14ac:dyDescent="0.2">
      <c r="A5" t="s">
        <v>26</v>
      </c>
      <c r="B5" t="s">
        <v>491</v>
      </c>
      <c r="C5">
        <v>4</v>
      </c>
    </row>
    <row r="6" spans="1:3" x14ac:dyDescent="0.2">
      <c r="A6" t="s">
        <v>26</v>
      </c>
      <c r="B6" t="s">
        <v>496</v>
      </c>
      <c r="C6">
        <v>5</v>
      </c>
    </row>
    <row r="7" spans="1:3" x14ac:dyDescent="0.2">
      <c r="A7" t="s">
        <v>26</v>
      </c>
      <c r="B7" t="s">
        <v>501</v>
      </c>
      <c r="C7">
        <v>6</v>
      </c>
    </row>
    <row r="8" spans="1:3" x14ac:dyDescent="0.2">
      <c r="A8" t="s">
        <v>26</v>
      </c>
      <c r="B8" t="s">
        <v>506</v>
      </c>
      <c r="C8">
        <v>7</v>
      </c>
    </row>
    <row r="9" spans="1:3" x14ac:dyDescent="0.2">
      <c r="A9" t="s">
        <v>26</v>
      </c>
      <c r="B9" t="s">
        <v>328</v>
      </c>
      <c r="C9">
        <v>8</v>
      </c>
    </row>
    <row r="10" spans="1:3" x14ac:dyDescent="0.2">
      <c r="A10" t="s">
        <v>31</v>
      </c>
      <c r="B10" t="s">
        <v>316</v>
      </c>
      <c r="C10">
        <v>1</v>
      </c>
    </row>
    <row r="11" spans="1:3" x14ac:dyDescent="0.2">
      <c r="A11" t="s">
        <v>31</v>
      </c>
      <c r="B11" t="s">
        <v>481</v>
      </c>
      <c r="C11">
        <v>2</v>
      </c>
    </row>
    <row r="12" spans="1:3" x14ac:dyDescent="0.2">
      <c r="A12" t="s">
        <v>31</v>
      </c>
      <c r="B12" t="s">
        <v>486</v>
      </c>
      <c r="C12">
        <v>3</v>
      </c>
    </row>
    <row r="13" spans="1:3" x14ac:dyDescent="0.2">
      <c r="A13" t="s">
        <v>31</v>
      </c>
      <c r="B13" t="s">
        <v>491</v>
      </c>
      <c r="C13">
        <v>4</v>
      </c>
    </row>
    <row r="14" spans="1:3" x14ac:dyDescent="0.2">
      <c r="A14" t="s">
        <v>31</v>
      </c>
      <c r="B14" t="s">
        <v>496</v>
      </c>
      <c r="C14">
        <v>5</v>
      </c>
    </row>
    <row r="15" spans="1:3" x14ac:dyDescent="0.2">
      <c r="A15" t="s">
        <v>31</v>
      </c>
      <c r="B15" t="s">
        <v>501</v>
      </c>
      <c r="C15">
        <v>6</v>
      </c>
    </row>
    <row r="16" spans="1:3" x14ac:dyDescent="0.2">
      <c r="A16" t="s">
        <v>31</v>
      </c>
      <c r="B16" t="s">
        <v>506</v>
      </c>
      <c r="C16">
        <v>7</v>
      </c>
    </row>
    <row r="17" spans="1:3" x14ac:dyDescent="0.2">
      <c r="A17" t="s">
        <v>31</v>
      </c>
      <c r="B17" t="s">
        <v>328</v>
      </c>
      <c r="C17">
        <v>8</v>
      </c>
    </row>
    <row r="18" spans="1:3" x14ac:dyDescent="0.2">
      <c r="A18" t="s">
        <v>31</v>
      </c>
      <c r="B18" t="s">
        <v>526</v>
      </c>
      <c r="C18">
        <v>9</v>
      </c>
    </row>
    <row r="19" spans="1:3" x14ac:dyDescent="0.2">
      <c r="A19" t="s">
        <v>31</v>
      </c>
      <c r="B19" t="s">
        <v>531</v>
      </c>
      <c r="C19">
        <v>10</v>
      </c>
    </row>
    <row r="20" spans="1:3" x14ac:dyDescent="0.2">
      <c r="A20" t="s">
        <v>31</v>
      </c>
      <c r="B20" t="s">
        <v>536</v>
      </c>
      <c r="C20">
        <v>11</v>
      </c>
    </row>
    <row r="21" spans="1:3" x14ac:dyDescent="0.2">
      <c r="A21" t="s">
        <v>31</v>
      </c>
      <c r="B21" t="s">
        <v>541</v>
      </c>
      <c r="C21">
        <v>12</v>
      </c>
    </row>
    <row r="22" spans="1:3" x14ac:dyDescent="0.2">
      <c r="A22" t="s">
        <v>31</v>
      </c>
      <c r="B22" t="s">
        <v>546</v>
      </c>
      <c r="C22">
        <v>13</v>
      </c>
    </row>
    <row r="23" spans="1:3" x14ac:dyDescent="0.2">
      <c r="A23" t="s">
        <v>31</v>
      </c>
      <c r="B23" t="s">
        <v>551</v>
      </c>
      <c r="C23">
        <v>14</v>
      </c>
    </row>
    <row r="24" spans="1:3" x14ac:dyDescent="0.2">
      <c r="A24" t="s">
        <v>31</v>
      </c>
      <c r="B24" t="s">
        <v>556</v>
      </c>
      <c r="C24">
        <v>15</v>
      </c>
    </row>
    <row r="25" spans="1:3" x14ac:dyDescent="0.2">
      <c r="A25" t="s">
        <v>31</v>
      </c>
      <c r="B25" t="s">
        <v>561</v>
      </c>
      <c r="C25">
        <v>16</v>
      </c>
    </row>
    <row r="26" spans="1:3" x14ac:dyDescent="0.2">
      <c r="A26" t="s">
        <v>31</v>
      </c>
      <c r="B26" t="s">
        <v>566</v>
      </c>
      <c r="C26">
        <v>17</v>
      </c>
    </row>
    <row r="27" spans="1:3" x14ac:dyDescent="0.2">
      <c r="A27" t="s">
        <v>31</v>
      </c>
      <c r="B27" t="s">
        <v>571</v>
      </c>
      <c r="C27">
        <v>18</v>
      </c>
    </row>
    <row r="28" spans="1:3" x14ac:dyDescent="0.2">
      <c r="A28" t="s">
        <v>31</v>
      </c>
      <c r="B28" t="s">
        <v>576</v>
      </c>
      <c r="C28">
        <v>19</v>
      </c>
    </row>
    <row r="29" spans="1:3" x14ac:dyDescent="0.2">
      <c r="A29" t="s">
        <v>36</v>
      </c>
      <c r="B29" t="s">
        <v>316</v>
      </c>
      <c r="C29">
        <v>1</v>
      </c>
    </row>
    <row r="30" spans="1:3" x14ac:dyDescent="0.2">
      <c r="A30" t="s">
        <v>36</v>
      </c>
      <c r="B30" t="s">
        <v>481</v>
      </c>
      <c r="C30">
        <v>2</v>
      </c>
    </row>
    <row r="31" spans="1:3" x14ac:dyDescent="0.2">
      <c r="A31" t="s">
        <v>36</v>
      </c>
      <c r="B31" t="s">
        <v>486</v>
      </c>
      <c r="C31">
        <v>3</v>
      </c>
    </row>
    <row r="32" spans="1:3" x14ac:dyDescent="0.2">
      <c r="A32" t="s">
        <v>36</v>
      </c>
      <c r="B32" t="s">
        <v>491</v>
      </c>
      <c r="C32">
        <v>4</v>
      </c>
    </row>
    <row r="33" spans="1:3" x14ac:dyDescent="0.2">
      <c r="A33" t="s">
        <v>36</v>
      </c>
      <c r="B33" t="s">
        <v>496</v>
      </c>
      <c r="C33">
        <v>5</v>
      </c>
    </row>
    <row r="34" spans="1:3" x14ac:dyDescent="0.2">
      <c r="A34" t="s">
        <v>36</v>
      </c>
      <c r="B34" t="s">
        <v>501</v>
      </c>
      <c r="C34">
        <v>6</v>
      </c>
    </row>
    <row r="35" spans="1:3" x14ac:dyDescent="0.2">
      <c r="A35" t="s">
        <v>36</v>
      </c>
      <c r="B35" t="s">
        <v>506</v>
      </c>
      <c r="C35">
        <v>7</v>
      </c>
    </row>
    <row r="36" spans="1:3" x14ac:dyDescent="0.2">
      <c r="A36" t="s">
        <v>36</v>
      </c>
      <c r="B36" t="s">
        <v>328</v>
      </c>
      <c r="C36">
        <v>8</v>
      </c>
    </row>
    <row r="37" spans="1:3" x14ac:dyDescent="0.2">
      <c r="A37" t="s">
        <v>40</v>
      </c>
      <c r="B37" t="s">
        <v>316</v>
      </c>
      <c r="C37">
        <v>1</v>
      </c>
    </row>
    <row r="38" spans="1:3" x14ac:dyDescent="0.2">
      <c r="A38" t="s">
        <v>40</v>
      </c>
      <c r="B38" t="s">
        <v>481</v>
      </c>
      <c r="C38">
        <v>2</v>
      </c>
    </row>
    <row r="39" spans="1:3" x14ac:dyDescent="0.2">
      <c r="A39" t="s">
        <v>40</v>
      </c>
      <c r="B39" t="s">
        <v>486</v>
      </c>
      <c r="C39">
        <v>3</v>
      </c>
    </row>
    <row r="40" spans="1:3" x14ac:dyDescent="0.2">
      <c r="A40" t="s">
        <v>40</v>
      </c>
      <c r="B40" t="s">
        <v>491</v>
      </c>
      <c r="C40">
        <v>4</v>
      </c>
    </row>
    <row r="41" spans="1:3" x14ac:dyDescent="0.2">
      <c r="A41" t="s">
        <v>40</v>
      </c>
      <c r="B41" t="s">
        <v>496</v>
      </c>
      <c r="C41">
        <v>5</v>
      </c>
    </row>
    <row r="42" spans="1:3" x14ac:dyDescent="0.2">
      <c r="A42" t="s">
        <v>40</v>
      </c>
      <c r="B42" t="s">
        <v>501</v>
      </c>
      <c r="C42">
        <v>6</v>
      </c>
    </row>
    <row r="43" spans="1:3" x14ac:dyDescent="0.2">
      <c r="A43" t="s">
        <v>40</v>
      </c>
      <c r="B43" t="s">
        <v>506</v>
      </c>
      <c r="C43">
        <v>7</v>
      </c>
    </row>
    <row r="44" spans="1:3" x14ac:dyDescent="0.2">
      <c r="A44" t="s">
        <v>40</v>
      </c>
      <c r="B44" t="s">
        <v>328</v>
      </c>
      <c r="C44">
        <v>8</v>
      </c>
    </row>
    <row r="45" spans="1:3" x14ac:dyDescent="0.2">
      <c r="A45" t="s">
        <v>44</v>
      </c>
      <c r="B45" t="s">
        <v>316</v>
      </c>
      <c r="C45">
        <v>1</v>
      </c>
    </row>
    <row r="46" spans="1:3" x14ac:dyDescent="0.2">
      <c r="A46" t="s">
        <v>44</v>
      </c>
      <c r="B46" t="s">
        <v>481</v>
      </c>
      <c r="C46">
        <v>2</v>
      </c>
    </row>
    <row r="47" spans="1:3" x14ac:dyDescent="0.2">
      <c r="A47" t="s">
        <v>44</v>
      </c>
      <c r="B47" t="s">
        <v>486</v>
      </c>
      <c r="C47">
        <v>3</v>
      </c>
    </row>
    <row r="48" spans="1:3" x14ac:dyDescent="0.2">
      <c r="A48" t="s">
        <v>44</v>
      </c>
      <c r="B48" t="s">
        <v>491</v>
      </c>
      <c r="C48">
        <v>4</v>
      </c>
    </row>
    <row r="49" spans="1:3" x14ac:dyDescent="0.2">
      <c r="A49" t="s">
        <v>44</v>
      </c>
      <c r="B49" t="s">
        <v>496</v>
      </c>
      <c r="C49">
        <v>5</v>
      </c>
    </row>
    <row r="50" spans="1:3" x14ac:dyDescent="0.2">
      <c r="A50" t="s">
        <v>44</v>
      </c>
      <c r="B50" t="s">
        <v>501</v>
      </c>
      <c r="C50">
        <v>6</v>
      </c>
    </row>
    <row r="51" spans="1:3" x14ac:dyDescent="0.2">
      <c r="A51" t="s">
        <v>44</v>
      </c>
      <c r="B51" t="s">
        <v>506</v>
      </c>
      <c r="C51">
        <v>7</v>
      </c>
    </row>
    <row r="52" spans="1:3" x14ac:dyDescent="0.2">
      <c r="A52" t="s">
        <v>44</v>
      </c>
      <c r="B52" t="s">
        <v>328</v>
      </c>
      <c r="C52">
        <v>8</v>
      </c>
    </row>
    <row r="53" spans="1:3" x14ac:dyDescent="0.2">
      <c r="A53" t="s">
        <v>47</v>
      </c>
      <c r="B53" t="s">
        <v>316</v>
      </c>
      <c r="C53">
        <v>1</v>
      </c>
    </row>
    <row r="54" spans="1:3" x14ac:dyDescent="0.2">
      <c r="A54" t="s">
        <v>47</v>
      </c>
      <c r="B54" t="s">
        <v>481</v>
      </c>
      <c r="C54">
        <v>2</v>
      </c>
    </row>
    <row r="55" spans="1:3" x14ac:dyDescent="0.2">
      <c r="A55" t="s">
        <v>47</v>
      </c>
      <c r="B55" t="s">
        <v>486</v>
      </c>
      <c r="C55">
        <v>3</v>
      </c>
    </row>
    <row r="56" spans="1:3" x14ac:dyDescent="0.2">
      <c r="A56" t="s">
        <v>47</v>
      </c>
      <c r="B56" t="s">
        <v>491</v>
      </c>
      <c r="C56">
        <v>4</v>
      </c>
    </row>
    <row r="57" spans="1:3" x14ac:dyDescent="0.2">
      <c r="A57" t="s">
        <v>47</v>
      </c>
      <c r="B57" t="s">
        <v>496</v>
      </c>
      <c r="C57">
        <v>5</v>
      </c>
    </row>
    <row r="58" spans="1:3" x14ac:dyDescent="0.2">
      <c r="A58" t="s">
        <v>47</v>
      </c>
      <c r="B58" t="s">
        <v>501</v>
      </c>
      <c r="C58">
        <v>6</v>
      </c>
    </row>
    <row r="59" spans="1:3" x14ac:dyDescent="0.2">
      <c r="A59" t="s">
        <v>47</v>
      </c>
      <c r="B59" t="s">
        <v>506</v>
      </c>
      <c r="C59">
        <v>7</v>
      </c>
    </row>
    <row r="60" spans="1:3" x14ac:dyDescent="0.2">
      <c r="A60" t="s">
        <v>47</v>
      </c>
      <c r="B60" t="s">
        <v>328</v>
      </c>
      <c r="C60">
        <v>8</v>
      </c>
    </row>
    <row r="61" spans="1:3" x14ac:dyDescent="0.2">
      <c r="A61" t="s">
        <v>47</v>
      </c>
      <c r="B61" t="s">
        <v>526</v>
      </c>
      <c r="C61">
        <v>9</v>
      </c>
    </row>
    <row r="62" spans="1:3" x14ac:dyDescent="0.2">
      <c r="A62" t="s">
        <v>47</v>
      </c>
      <c r="B62" t="s">
        <v>531</v>
      </c>
      <c r="C62">
        <v>10</v>
      </c>
    </row>
    <row r="63" spans="1:3" x14ac:dyDescent="0.2">
      <c r="A63" t="s">
        <v>52</v>
      </c>
      <c r="B63" t="s">
        <v>316</v>
      </c>
      <c r="C63">
        <v>1</v>
      </c>
    </row>
    <row r="64" spans="1:3" x14ac:dyDescent="0.2">
      <c r="A64" t="s">
        <v>52</v>
      </c>
      <c r="B64" t="s">
        <v>481</v>
      </c>
      <c r="C64">
        <v>2</v>
      </c>
    </row>
    <row r="65" spans="1:3" x14ac:dyDescent="0.2">
      <c r="A65" t="s">
        <v>52</v>
      </c>
      <c r="B65" t="s">
        <v>486</v>
      </c>
      <c r="C65">
        <v>3</v>
      </c>
    </row>
    <row r="66" spans="1:3" x14ac:dyDescent="0.2">
      <c r="A66" t="s">
        <v>52</v>
      </c>
      <c r="B66" t="s">
        <v>491</v>
      </c>
      <c r="C66">
        <v>4</v>
      </c>
    </row>
    <row r="67" spans="1:3" x14ac:dyDescent="0.2">
      <c r="A67" t="s">
        <v>52</v>
      </c>
      <c r="B67" t="s">
        <v>496</v>
      </c>
      <c r="C67">
        <v>5</v>
      </c>
    </row>
    <row r="68" spans="1:3" x14ac:dyDescent="0.2">
      <c r="A68" t="s">
        <v>52</v>
      </c>
      <c r="B68" t="s">
        <v>501</v>
      </c>
      <c r="C68">
        <v>6</v>
      </c>
    </row>
    <row r="69" spans="1:3" x14ac:dyDescent="0.2">
      <c r="A69" t="s">
        <v>52</v>
      </c>
      <c r="B69" t="s">
        <v>506</v>
      </c>
      <c r="C69">
        <v>7</v>
      </c>
    </row>
    <row r="70" spans="1:3" x14ac:dyDescent="0.2">
      <c r="A70" t="s">
        <v>52</v>
      </c>
      <c r="B70" t="s">
        <v>328</v>
      </c>
      <c r="C70">
        <v>8</v>
      </c>
    </row>
    <row r="71" spans="1:3" x14ac:dyDescent="0.2">
      <c r="A71" t="s">
        <v>52</v>
      </c>
      <c r="B71" t="s">
        <v>526</v>
      </c>
      <c r="C71">
        <v>9</v>
      </c>
    </row>
    <row r="72" spans="1:3" x14ac:dyDescent="0.2">
      <c r="A72" t="s">
        <v>56</v>
      </c>
      <c r="B72" t="s">
        <v>316</v>
      </c>
      <c r="C72">
        <v>1</v>
      </c>
    </row>
    <row r="73" spans="1:3" x14ac:dyDescent="0.2">
      <c r="A73" t="s">
        <v>56</v>
      </c>
      <c r="B73" t="s">
        <v>481</v>
      </c>
      <c r="C73">
        <v>2</v>
      </c>
    </row>
    <row r="74" spans="1:3" x14ac:dyDescent="0.2">
      <c r="A74" t="s">
        <v>56</v>
      </c>
      <c r="B74" t="s">
        <v>486</v>
      </c>
      <c r="C74">
        <v>3</v>
      </c>
    </row>
    <row r="75" spans="1:3" x14ac:dyDescent="0.2">
      <c r="A75" t="s">
        <v>56</v>
      </c>
      <c r="B75" t="s">
        <v>491</v>
      </c>
      <c r="C75">
        <v>4</v>
      </c>
    </row>
    <row r="76" spans="1:3" x14ac:dyDescent="0.2">
      <c r="A76" t="s">
        <v>56</v>
      </c>
      <c r="B76" t="s">
        <v>496</v>
      </c>
      <c r="C76">
        <v>5</v>
      </c>
    </row>
    <row r="77" spans="1:3" x14ac:dyDescent="0.2">
      <c r="A77" t="s">
        <v>56</v>
      </c>
      <c r="B77" t="s">
        <v>501</v>
      </c>
      <c r="C77">
        <v>6</v>
      </c>
    </row>
    <row r="78" spans="1:3" x14ac:dyDescent="0.2">
      <c r="A78" t="s">
        <v>56</v>
      </c>
      <c r="B78" t="s">
        <v>506</v>
      </c>
      <c r="C78">
        <v>7</v>
      </c>
    </row>
    <row r="79" spans="1:3" x14ac:dyDescent="0.2">
      <c r="A79" t="s">
        <v>56</v>
      </c>
      <c r="B79" t="s">
        <v>328</v>
      </c>
      <c r="C79">
        <v>8</v>
      </c>
    </row>
    <row r="80" spans="1:3" x14ac:dyDescent="0.2">
      <c r="A80" t="s">
        <v>56</v>
      </c>
      <c r="B80" t="s">
        <v>526</v>
      </c>
      <c r="C80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4"/>
  <sheetViews>
    <sheetView workbookViewId="0"/>
  </sheetViews>
  <sheetFormatPr baseColWidth="10" defaultColWidth="8.83203125" defaultRowHeight="15" x14ac:dyDescent="0.2"/>
  <sheetData>
    <row r="1" spans="1:7" x14ac:dyDescent="0.2">
      <c r="A1" s="290" t="s">
        <v>731</v>
      </c>
      <c r="B1" s="290" t="s">
        <v>728</v>
      </c>
      <c r="C1" s="290" t="s">
        <v>732</v>
      </c>
      <c r="D1" s="290" t="s">
        <v>733</v>
      </c>
      <c r="E1" s="290" t="s">
        <v>734</v>
      </c>
      <c r="F1" s="290" t="s">
        <v>735</v>
      </c>
      <c r="G1" s="290" t="s">
        <v>736</v>
      </c>
    </row>
    <row r="2" spans="1:7" x14ac:dyDescent="0.2">
      <c r="A2" t="s">
        <v>66</v>
      </c>
      <c r="B2" t="s">
        <v>26</v>
      </c>
      <c r="C2" t="s">
        <v>737</v>
      </c>
      <c r="D2">
        <v>8</v>
      </c>
      <c r="E2">
        <v>30</v>
      </c>
      <c r="F2">
        <v>16.13</v>
      </c>
      <c r="G2">
        <v>24</v>
      </c>
    </row>
    <row r="3" spans="1:7" x14ac:dyDescent="0.2">
      <c r="A3" t="s">
        <v>66</v>
      </c>
      <c r="B3" t="s">
        <v>31</v>
      </c>
      <c r="C3" t="s">
        <v>738</v>
      </c>
      <c r="D3">
        <v>2</v>
      </c>
      <c r="E3">
        <v>30</v>
      </c>
      <c r="F3">
        <v>16.13</v>
      </c>
      <c r="G3">
        <v>6</v>
      </c>
    </row>
    <row r="4" spans="1:7" x14ac:dyDescent="0.2">
      <c r="A4" t="s">
        <v>71</v>
      </c>
      <c r="B4" t="s">
        <v>31</v>
      </c>
      <c r="C4" t="s">
        <v>739</v>
      </c>
      <c r="D4">
        <v>14</v>
      </c>
      <c r="E4">
        <v>25</v>
      </c>
      <c r="F4">
        <v>13.44</v>
      </c>
      <c r="G4">
        <v>23.33</v>
      </c>
    </row>
    <row r="5" spans="1:7" x14ac:dyDescent="0.2">
      <c r="A5" t="s">
        <v>71</v>
      </c>
      <c r="B5" t="s">
        <v>52</v>
      </c>
      <c r="C5" t="s">
        <v>316</v>
      </c>
      <c r="D5">
        <v>1</v>
      </c>
      <c r="E5">
        <v>25</v>
      </c>
      <c r="F5">
        <v>13.44</v>
      </c>
      <c r="G5">
        <v>1.67</v>
      </c>
    </row>
    <row r="6" spans="1:7" x14ac:dyDescent="0.2">
      <c r="A6" t="s">
        <v>75</v>
      </c>
      <c r="B6" t="s">
        <v>36</v>
      </c>
      <c r="C6" t="s">
        <v>737</v>
      </c>
      <c r="D6">
        <v>8</v>
      </c>
      <c r="E6">
        <v>22</v>
      </c>
      <c r="F6">
        <v>11.83</v>
      </c>
      <c r="G6">
        <v>16</v>
      </c>
    </row>
    <row r="7" spans="1:7" x14ac:dyDescent="0.2">
      <c r="A7" t="s">
        <v>75</v>
      </c>
      <c r="B7" t="s">
        <v>31</v>
      </c>
      <c r="C7" t="s">
        <v>740</v>
      </c>
      <c r="D7">
        <v>3</v>
      </c>
      <c r="E7">
        <v>22</v>
      </c>
      <c r="F7">
        <v>11.83</v>
      </c>
      <c r="G7">
        <v>6</v>
      </c>
    </row>
    <row r="8" spans="1:7" x14ac:dyDescent="0.2">
      <c r="A8" t="s">
        <v>80</v>
      </c>
      <c r="B8" t="s">
        <v>40</v>
      </c>
      <c r="C8" t="s">
        <v>737</v>
      </c>
      <c r="D8">
        <v>8</v>
      </c>
      <c r="E8">
        <v>30</v>
      </c>
      <c r="F8">
        <v>16.13</v>
      </c>
      <c r="G8">
        <v>30</v>
      </c>
    </row>
    <row r="9" spans="1:7" x14ac:dyDescent="0.2">
      <c r="A9" t="s">
        <v>82</v>
      </c>
      <c r="B9" t="s">
        <v>44</v>
      </c>
      <c r="C9" t="s">
        <v>741</v>
      </c>
      <c r="D9">
        <v>7</v>
      </c>
      <c r="E9">
        <v>25</v>
      </c>
      <c r="F9">
        <v>13.44</v>
      </c>
      <c r="G9">
        <v>21.88</v>
      </c>
    </row>
    <row r="10" spans="1:7" x14ac:dyDescent="0.2">
      <c r="A10" t="s">
        <v>82</v>
      </c>
      <c r="B10" t="s">
        <v>52</v>
      </c>
      <c r="C10" t="s">
        <v>316</v>
      </c>
      <c r="D10">
        <v>1</v>
      </c>
      <c r="E10">
        <v>25</v>
      </c>
      <c r="F10">
        <v>13.44</v>
      </c>
      <c r="G10">
        <v>3.12</v>
      </c>
    </row>
    <row r="11" spans="1:7" x14ac:dyDescent="0.2">
      <c r="A11" t="s">
        <v>84</v>
      </c>
      <c r="B11" t="s">
        <v>47</v>
      </c>
      <c r="C11" t="s">
        <v>742</v>
      </c>
      <c r="D11">
        <v>10</v>
      </c>
      <c r="E11">
        <v>22</v>
      </c>
      <c r="F11">
        <v>11.83</v>
      </c>
      <c r="G11">
        <v>22</v>
      </c>
    </row>
    <row r="12" spans="1:7" x14ac:dyDescent="0.2">
      <c r="A12" t="s">
        <v>87</v>
      </c>
      <c r="B12" t="s">
        <v>52</v>
      </c>
      <c r="C12" t="s">
        <v>743</v>
      </c>
      <c r="D12">
        <v>9</v>
      </c>
      <c r="E12">
        <v>22</v>
      </c>
      <c r="F12">
        <v>11.83</v>
      </c>
      <c r="G12">
        <v>19.8</v>
      </c>
    </row>
    <row r="13" spans="1:7" x14ac:dyDescent="0.2">
      <c r="A13" t="s">
        <v>87</v>
      </c>
      <c r="B13" t="s">
        <v>44</v>
      </c>
      <c r="C13" t="s">
        <v>328</v>
      </c>
      <c r="D13">
        <v>1</v>
      </c>
      <c r="E13">
        <v>22</v>
      </c>
      <c r="F13">
        <v>11.83</v>
      </c>
      <c r="G13">
        <v>2.2000000000000002</v>
      </c>
    </row>
    <row r="14" spans="1:7" x14ac:dyDescent="0.2">
      <c r="A14" t="s">
        <v>89</v>
      </c>
      <c r="B14" t="s">
        <v>56</v>
      </c>
      <c r="C14" t="s">
        <v>743</v>
      </c>
      <c r="D14">
        <v>9</v>
      </c>
      <c r="E14">
        <v>10</v>
      </c>
      <c r="F14">
        <v>5.38</v>
      </c>
      <c r="G14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3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744</v>
      </c>
      <c r="B1" s="290" t="s">
        <v>731</v>
      </c>
      <c r="C1" s="290" t="s">
        <v>728</v>
      </c>
      <c r="D1" s="290" t="s">
        <v>723</v>
      </c>
      <c r="E1" s="290" t="s">
        <v>733</v>
      </c>
      <c r="F1" s="290" t="s">
        <v>732</v>
      </c>
      <c r="G1" s="290" t="s">
        <v>745</v>
      </c>
      <c r="H1" s="290" t="s">
        <v>746</v>
      </c>
    </row>
    <row r="2" spans="1:8" x14ac:dyDescent="0.2">
      <c r="A2" t="s">
        <v>162</v>
      </c>
      <c r="B2" t="s">
        <v>66</v>
      </c>
      <c r="C2" t="s">
        <v>26</v>
      </c>
      <c r="D2">
        <v>1</v>
      </c>
      <c r="E2">
        <v>8</v>
      </c>
      <c r="F2" t="s">
        <v>737</v>
      </c>
      <c r="G2" t="s">
        <v>163</v>
      </c>
      <c r="H2" t="s">
        <v>747</v>
      </c>
    </row>
    <row r="3" spans="1:8" x14ac:dyDescent="0.2">
      <c r="A3" t="s">
        <v>167</v>
      </c>
      <c r="B3" t="s">
        <v>66</v>
      </c>
      <c r="C3" t="s">
        <v>31</v>
      </c>
      <c r="D3">
        <v>1</v>
      </c>
      <c r="E3">
        <v>2</v>
      </c>
      <c r="F3" t="s">
        <v>738</v>
      </c>
      <c r="G3" t="s">
        <v>168</v>
      </c>
      <c r="H3" t="s">
        <v>747</v>
      </c>
    </row>
    <row r="4" spans="1:8" x14ac:dyDescent="0.2">
      <c r="A4" t="s">
        <v>169</v>
      </c>
      <c r="B4" t="s">
        <v>71</v>
      </c>
      <c r="C4" t="s">
        <v>31</v>
      </c>
      <c r="D4">
        <v>1</v>
      </c>
      <c r="E4">
        <v>14</v>
      </c>
      <c r="F4" t="s">
        <v>739</v>
      </c>
      <c r="G4" t="s">
        <v>170</v>
      </c>
      <c r="H4" t="s">
        <v>747</v>
      </c>
    </row>
    <row r="5" spans="1:8" x14ac:dyDescent="0.2">
      <c r="A5" t="s">
        <v>172</v>
      </c>
      <c r="B5" t="s">
        <v>75</v>
      </c>
      <c r="C5" t="s">
        <v>36</v>
      </c>
      <c r="D5">
        <v>2</v>
      </c>
      <c r="E5">
        <v>8</v>
      </c>
      <c r="F5" t="s">
        <v>737</v>
      </c>
      <c r="G5" t="s">
        <v>173</v>
      </c>
      <c r="H5" t="s">
        <v>747</v>
      </c>
    </row>
    <row r="6" spans="1:8" x14ac:dyDescent="0.2">
      <c r="A6" t="s">
        <v>176</v>
      </c>
      <c r="B6" t="s">
        <v>80</v>
      </c>
      <c r="C6" t="s">
        <v>40</v>
      </c>
      <c r="D6">
        <v>2</v>
      </c>
      <c r="E6">
        <v>8</v>
      </c>
      <c r="F6" t="s">
        <v>737</v>
      </c>
      <c r="G6" t="s">
        <v>177</v>
      </c>
      <c r="H6" t="s">
        <v>747</v>
      </c>
    </row>
    <row r="7" spans="1:8" x14ac:dyDescent="0.2">
      <c r="A7" t="s">
        <v>179</v>
      </c>
      <c r="B7" t="s">
        <v>82</v>
      </c>
      <c r="C7" t="s">
        <v>44</v>
      </c>
      <c r="D7">
        <v>2</v>
      </c>
      <c r="E7">
        <v>7</v>
      </c>
      <c r="F7" t="s">
        <v>741</v>
      </c>
      <c r="G7" t="s">
        <v>180</v>
      </c>
      <c r="H7" t="s">
        <v>747</v>
      </c>
    </row>
    <row r="8" spans="1:8" x14ac:dyDescent="0.2">
      <c r="A8" t="s">
        <v>182</v>
      </c>
      <c r="B8" t="s">
        <v>84</v>
      </c>
      <c r="C8" t="s">
        <v>47</v>
      </c>
      <c r="D8">
        <v>3</v>
      </c>
      <c r="E8">
        <v>10</v>
      </c>
      <c r="F8" t="s">
        <v>742</v>
      </c>
      <c r="G8" t="s">
        <v>183</v>
      </c>
      <c r="H8" t="s">
        <v>747</v>
      </c>
    </row>
    <row r="9" spans="1:8" x14ac:dyDescent="0.2">
      <c r="A9" t="s">
        <v>186</v>
      </c>
      <c r="B9" t="s">
        <v>87</v>
      </c>
      <c r="C9" t="s">
        <v>52</v>
      </c>
      <c r="D9">
        <v>3</v>
      </c>
      <c r="E9">
        <v>9</v>
      </c>
      <c r="F9" t="s">
        <v>743</v>
      </c>
      <c r="G9" t="s">
        <v>187</v>
      </c>
      <c r="H9" t="s">
        <v>747</v>
      </c>
    </row>
    <row r="10" spans="1:8" x14ac:dyDescent="0.2">
      <c r="A10" t="s">
        <v>189</v>
      </c>
      <c r="B10" t="s">
        <v>89</v>
      </c>
      <c r="C10" t="s">
        <v>56</v>
      </c>
      <c r="D10">
        <v>3</v>
      </c>
      <c r="E10">
        <v>9</v>
      </c>
      <c r="F10" t="s">
        <v>743</v>
      </c>
      <c r="G10" t="s">
        <v>190</v>
      </c>
      <c r="H10" t="s">
        <v>747</v>
      </c>
    </row>
    <row r="11" spans="1:8" x14ac:dyDescent="0.2">
      <c r="A11" t="s">
        <v>192</v>
      </c>
      <c r="D11">
        <v>1</v>
      </c>
      <c r="E11">
        <v>0</v>
      </c>
      <c r="G11" t="s">
        <v>194</v>
      </c>
      <c r="H11" t="s">
        <v>748</v>
      </c>
    </row>
    <row r="12" spans="1:8" x14ac:dyDescent="0.2">
      <c r="A12" t="s">
        <v>198</v>
      </c>
      <c r="D12">
        <v>2</v>
      </c>
      <c r="E12">
        <v>0</v>
      </c>
      <c r="G12" t="s">
        <v>200</v>
      </c>
      <c r="H12" t="s">
        <v>748</v>
      </c>
    </row>
    <row r="13" spans="1:8" x14ac:dyDescent="0.2">
      <c r="A13" t="s">
        <v>201</v>
      </c>
      <c r="D13">
        <v>3</v>
      </c>
      <c r="E13">
        <v>0</v>
      </c>
      <c r="G13" t="s">
        <v>203</v>
      </c>
      <c r="H13" t="s">
        <v>748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749</v>
      </c>
      <c r="B1" s="290" t="s">
        <v>750</v>
      </c>
      <c r="C1" s="290" t="s">
        <v>721</v>
      </c>
      <c r="D1" s="290" t="s">
        <v>751</v>
      </c>
      <c r="E1" s="290" t="s">
        <v>752</v>
      </c>
      <c r="F1" s="290" t="s">
        <v>753</v>
      </c>
      <c r="G1" s="290" t="s">
        <v>754</v>
      </c>
      <c r="H1" s="290" t="s">
        <v>755</v>
      </c>
      <c r="I1" s="290" t="s">
        <v>756</v>
      </c>
    </row>
    <row r="2" spans="1:9" x14ac:dyDescent="0.2">
      <c r="A2">
        <v>1</v>
      </c>
      <c r="B2">
        <f>IFERROR('ISO · Alumnos'!C10,"")</f>
        <v>0</v>
      </c>
      <c r="C2">
        <f>IFERROR('ISO · Alumnos'!D10,"")</f>
        <v>0</v>
      </c>
      <c r="D2">
        <f>IFERROR('ISO · Alumnos'!E10,"")</f>
        <v>0</v>
      </c>
      <c r="E2">
        <f>IFERROR('ISO · Alumnos'!F10,"")</f>
        <v>0</v>
      </c>
      <c r="F2">
        <f>IFERROR('ISO · Alumnos'!G10,"")</f>
        <v>0</v>
      </c>
      <c r="G2">
        <f>IFERROR('ISO · Alumnos'!H10,"")</f>
        <v>0</v>
      </c>
      <c r="H2">
        <f>IFERROR('ISO · Alumnos'!I10,"")</f>
        <v>0</v>
      </c>
      <c r="I2" t="str">
        <f>IFERROR('ISO · Alumnos'!J10,"")</f>
        <v>Activo</v>
      </c>
    </row>
    <row r="3" spans="1:9" x14ac:dyDescent="0.2">
      <c r="A3">
        <v>2</v>
      </c>
      <c r="B3">
        <f>IFERROR('ISO · Alumnos'!C11,"")</f>
        <v>0</v>
      </c>
      <c r="C3">
        <f>IFERROR('ISO · Alumnos'!D11,"")</f>
        <v>0</v>
      </c>
      <c r="D3">
        <f>IFERROR('ISO · Alumnos'!E11,"")</f>
        <v>0</v>
      </c>
      <c r="E3">
        <f>IFERROR('ISO · Alumnos'!F11,"")</f>
        <v>0</v>
      </c>
      <c r="F3">
        <f>IFERROR('ISO · Alumnos'!G11,"")</f>
        <v>0</v>
      </c>
      <c r="G3">
        <f>IFERROR('ISO · Alumnos'!H11,"")</f>
        <v>0</v>
      </c>
      <c r="H3">
        <f>IFERROR('ISO · Alumnos'!I11,"")</f>
        <v>0</v>
      </c>
      <c r="I3" t="str">
        <f>IFERROR('ISO · Alumnos'!J11,"")</f>
        <v>Activo</v>
      </c>
    </row>
    <row r="4" spans="1:9" x14ac:dyDescent="0.2">
      <c r="A4">
        <v>3</v>
      </c>
      <c r="B4">
        <f>IFERROR('ISO · Alumnos'!C12,"")</f>
        <v>0</v>
      </c>
      <c r="C4">
        <f>IFERROR('ISO · Alumnos'!D12,"")</f>
        <v>0</v>
      </c>
      <c r="D4">
        <f>IFERROR('ISO · Alumnos'!E12,"")</f>
        <v>0</v>
      </c>
      <c r="E4">
        <f>IFERROR('ISO · Alumnos'!F12,"")</f>
        <v>0</v>
      </c>
      <c r="F4">
        <f>IFERROR('ISO · Alumnos'!G12,"")</f>
        <v>0</v>
      </c>
      <c r="G4">
        <f>IFERROR('ISO · Alumnos'!H12,"")</f>
        <v>0</v>
      </c>
      <c r="H4">
        <f>IFERROR('ISO · Alumnos'!I12,"")</f>
        <v>0</v>
      </c>
      <c r="I4" t="str">
        <f>IFERROR('ISO · Alumnos'!J12,"")</f>
        <v>Activo</v>
      </c>
    </row>
    <row r="5" spans="1:9" x14ac:dyDescent="0.2">
      <c r="A5">
        <v>4</v>
      </c>
      <c r="B5">
        <f>IFERROR('ISO · Alumnos'!C13,"")</f>
        <v>0</v>
      </c>
      <c r="C5">
        <f>IFERROR('ISO · Alumnos'!D13,"")</f>
        <v>0</v>
      </c>
      <c r="D5">
        <f>IFERROR('ISO · Alumnos'!E13,"")</f>
        <v>0</v>
      </c>
      <c r="E5">
        <f>IFERROR('ISO · Alumnos'!F13,"")</f>
        <v>0</v>
      </c>
      <c r="F5">
        <f>IFERROR('ISO · Alumnos'!G13,"")</f>
        <v>0</v>
      </c>
      <c r="G5">
        <f>IFERROR('ISO · Alumnos'!H13,"")</f>
        <v>0</v>
      </c>
      <c r="H5">
        <f>IFERROR('ISO · Alumnos'!I13,"")</f>
        <v>0</v>
      </c>
      <c r="I5" t="str">
        <f>IFERROR('ISO · Alumnos'!J13,"")</f>
        <v>Activo</v>
      </c>
    </row>
    <row r="6" spans="1:9" x14ac:dyDescent="0.2">
      <c r="A6">
        <v>5</v>
      </c>
      <c r="B6">
        <f>IFERROR('ISO · Alumnos'!C14,"")</f>
        <v>0</v>
      </c>
      <c r="C6">
        <f>IFERROR('ISO · Alumnos'!D14,"")</f>
        <v>0</v>
      </c>
      <c r="D6">
        <f>IFERROR('ISO · Alumnos'!E14,"")</f>
        <v>0</v>
      </c>
      <c r="E6">
        <f>IFERROR('ISO · Alumnos'!F14,"")</f>
        <v>0</v>
      </c>
      <c r="F6">
        <f>IFERROR('ISO · Alumnos'!G14,"")</f>
        <v>0</v>
      </c>
      <c r="G6">
        <f>IFERROR('ISO · Alumnos'!H14,"")</f>
        <v>0</v>
      </c>
      <c r="H6">
        <f>IFERROR('ISO · Alumnos'!I14,"")</f>
        <v>0</v>
      </c>
      <c r="I6" t="str">
        <f>IFERROR('ISO · Alumnos'!J14,"")</f>
        <v>Activo</v>
      </c>
    </row>
    <row r="7" spans="1:9" x14ac:dyDescent="0.2">
      <c r="A7">
        <v>6</v>
      </c>
      <c r="B7">
        <f>IFERROR('ISO · Alumnos'!C15,"")</f>
        <v>0</v>
      </c>
      <c r="C7">
        <f>IFERROR('ISO · Alumnos'!D15,"")</f>
        <v>0</v>
      </c>
      <c r="D7">
        <f>IFERROR('ISO · Alumnos'!E15,"")</f>
        <v>0</v>
      </c>
      <c r="E7">
        <f>IFERROR('ISO · Alumnos'!F15,"")</f>
        <v>0</v>
      </c>
      <c r="F7">
        <f>IFERROR('ISO · Alumnos'!G15,"")</f>
        <v>0</v>
      </c>
      <c r="G7">
        <f>IFERROR('ISO · Alumnos'!H15,"")</f>
        <v>0</v>
      </c>
      <c r="H7">
        <f>IFERROR('ISO · Alumnos'!I15,"")</f>
        <v>0</v>
      </c>
      <c r="I7" t="str">
        <f>IFERROR('ISO · Alumnos'!J15,"")</f>
        <v>Activo</v>
      </c>
    </row>
    <row r="8" spans="1:9" x14ac:dyDescent="0.2">
      <c r="A8">
        <v>7</v>
      </c>
      <c r="B8">
        <f>IFERROR('ISO · Alumnos'!C16,"")</f>
        <v>0</v>
      </c>
      <c r="C8">
        <f>IFERROR('ISO · Alumnos'!D16,"")</f>
        <v>0</v>
      </c>
      <c r="D8">
        <f>IFERROR('ISO · Alumnos'!E16,"")</f>
        <v>0</v>
      </c>
      <c r="E8">
        <f>IFERROR('ISO · Alumnos'!F16,"")</f>
        <v>0</v>
      </c>
      <c r="F8">
        <f>IFERROR('ISO · Alumnos'!G16,"")</f>
        <v>0</v>
      </c>
      <c r="G8">
        <f>IFERROR('ISO · Alumnos'!H16,"")</f>
        <v>0</v>
      </c>
      <c r="H8">
        <f>IFERROR('ISO · Alumnos'!I16,"")</f>
        <v>0</v>
      </c>
      <c r="I8" t="str">
        <f>IFERROR('ISO · Alumnos'!J16,"")</f>
        <v>Activo</v>
      </c>
    </row>
    <row r="9" spans="1:9" x14ac:dyDescent="0.2">
      <c r="A9">
        <v>8</v>
      </c>
      <c r="B9">
        <f>IFERROR('ISO · Alumnos'!C17,"")</f>
        <v>0</v>
      </c>
      <c r="C9">
        <f>IFERROR('ISO · Alumnos'!D17,"")</f>
        <v>0</v>
      </c>
      <c r="D9">
        <f>IFERROR('ISO · Alumnos'!E17,"")</f>
        <v>0</v>
      </c>
      <c r="E9">
        <f>IFERROR('ISO · Alumnos'!F17,"")</f>
        <v>0</v>
      </c>
      <c r="F9">
        <f>IFERROR('ISO · Alumnos'!G17,"")</f>
        <v>0</v>
      </c>
      <c r="G9">
        <f>IFERROR('ISO · Alumnos'!H17,"")</f>
        <v>0</v>
      </c>
      <c r="H9">
        <f>IFERROR('ISO · Alumnos'!I17,"")</f>
        <v>0</v>
      </c>
      <c r="I9" t="str">
        <f>IFERROR('ISO · Alumnos'!J17,"")</f>
        <v>Activo</v>
      </c>
    </row>
    <row r="10" spans="1:9" x14ac:dyDescent="0.2">
      <c r="A10">
        <v>9</v>
      </c>
      <c r="B10">
        <f>IFERROR('ISO · Alumnos'!C18,"")</f>
        <v>0</v>
      </c>
      <c r="C10">
        <f>IFERROR('ISO · Alumnos'!D18,"")</f>
        <v>0</v>
      </c>
      <c r="D10">
        <f>IFERROR('ISO · Alumnos'!E18,"")</f>
        <v>0</v>
      </c>
      <c r="E10">
        <f>IFERROR('ISO · Alumnos'!F18,"")</f>
        <v>0</v>
      </c>
      <c r="F10">
        <f>IFERROR('ISO · Alumnos'!G18,"")</f>
        <v>0</v>
      </c>
      <c r="G10">
        <f>IFERROR('ISO · Alumnos'!H18,"")</f>
        <v>0</v>
      </c>
      <c r="H10">
        <f>IFERROR('ISO · Alumnos'!I18,"")</f>
        <v>0</v>
      </c>
      <c r="I10" t="str">
        <f>IFERROR('ISO · Alumnos'!J18,"")</f>
        <v>Activo</v>
      </c>
    </row>
    <row r="11" spans="1:9" x14ac:dyDescent="0.2">
      <c r="A11">
        <v>10</v>
      </c>
      <c r="B11">
        <f>IFERROR('ISO · Alumnos'!C19,"")</f>
        <v>0</v>
      </c>
      <c r="C11">
        <f>IFERROR('ISO · Alumnos'!D19,"")</f>
        <v>0</v>
      </c>
      <c r="D11">
        <f>IFERROR('ISO · Alumnos'!E19,"")</f>
        <v>0</v>
      </c>
      <c r="E11">
        <f>IFERROR('ISO · Alumnos'!F19,"")</f>
        <v>0</v>
      </c>
      <c r="F11">
        <f>IFERROR('ISO · Alumnos'!G19,"")</f>
        <v>0</v>
      </c>
      <c r="G11">
        <f>IFERROR('ISO · Alumnos'!H19,"")</f>
        <v>0</v>
      </c>
      <c r="H11">
        <f>IFERROR('ISO · Alumnos'!I19,"")</f>
        <v>0</v>
      </c>
      <c r="I11" t="str">
        <f>IFERROR('ISO · Alumnos'!J19,"")</f>
        <v>Activo</v>
      </c>
    </row>
    <row r="12" spans="1:9" x14ac:dyDescent="0.2">
      <c r="A12">
        <v>11</v>
      </c>
      <c r="B12">
        <f>IFERROR('ISO · Alumnos'!C20,"")</f>
        <v>0</v>
      </c>
      <c r="C12">
        <f>IFERROR('ISO · Alumnos'!D20,"")</f>
        <v>0</v>
      </c>
      <c r="D12">
        <f>IFERROR('ISO · Alumnos'!E20,"")</f>
        <v>0</v>
      </c>
      <c r="E12">
        <f>IFERROR('ISO · Alumnos'!F20,"")</f>
        <v>0</v>
      </c>
      <c r="F12">
        <f>IFERROR('ISO · Alumnos'!G20,"")</f>
        <v>0</v>
      </c>
      <c r="G12">
        <f>IFERROR('ISO · Alumnos'!H20,"")</f>
        <v>0</v>
      </c>
      <c r="H12">
        <f>IFERROR('ISO · Alumnos'!I20,"")</f>
        <v>0</v>
      </c>
      <c r="I12" t="str">
        <f>IFERROR('ISO · Alumnos'!J20,"")</f>
        <v>Activo</v>
      </c>
    </row>
    <row r="13" spans="1:9" x14ac:dyDescent="0.2">
      <c r="A13">
        <v>12</v>
      </c>
      <c r="B13">
        <f>IFERROR('ISO · Alumnos'!C21,"")</f>
        <v>0</v>
      </c>
      <c r="C13">
        <f>IFERROR('ISO · Alumnos'!D21,"")</f>
        <v>0</v>
      </c>
      <c r="D13">
        <f>IFERROR('ISO · Alumnos'!E21,"")</f>
        <v>0</v>
      </c>
      <c r="E13">
        <f>IFERROR('ISO · Alumnos'!F21,"")</f>
        <v>0</v>
      </c>
      <c r="F13">
        <f>IFERROR('ISO · Alumnos'!G21,"")</f>
        <v>0</v>
      </c>
      <c r="G13">
        <f>IFERROR('ISO · Alumnos'!H21,"")</f>
        <v>0</v>
      </c>
      <c r="H13">
        <f>IFERROR('ISO · Alumnos'!I21,"")</f>
        <v>0</v>
      </c>
      <c r="I13" t="str">
        <f>IFERROR('ISO · Alumnos'!J21,"")</f>
        <v>Activo</v>
      </c>
    </row>
    <row r="14" spans="1:9" x14ac:dyDescent="0.2">
      <c r="A14">
        <v>13</v>
      </c>
      <c r="B14">
        <f>IFERROR('ISO · Alumnos'!C22,"")</f>
        <v>0</v>
      </c>
      <c r="C14">
        <f>IFERROR('ISO · Alumnos'!D22,"")</f>
        <v>0</v>
      </c>
      <c r="D14">
        <f>IFERROR('ISO · Alumnos'!E22,"")</f>
        <v>0</v>
      </c>
      <c r="E14">
        <f>IFERROR('ISO · Alumnos'!F22,"")</f>
        <v>0</v>
      </c>
      <c r="F14">
        <f>IFERROR('ISO · Alumnos'!G22,"")</f>
        <v>0</v>
      </c>
      <c r="G14">
        <f>IFERROR('ISO · Alumnos'!H22,"")</f>
        <v>0</v>
      </c>
      <c r="H14">
        <f>IFERROR('ISO · Alumnos'!I22,"")</f>
        <v>0</v>
      </c>
      <c r="I14" t="str">
        <f>IFERROR('ISO · Alumnos'!J22,"")</f>
        <v>Activo</v>
      </c>
    </row>
    <row r="15" spans="1:9" x14ac:dyDescent="0.2">
      <c r="A15">
        <v>14</v>
      </c>
      <c r="B15">
        <f>IFERROR('ISO · Alumnos'!C23,"")</f>
        <v>0</v>
      </c>
      <c r="C15">
        <f>IFERROR('ISO · Alumnos'!D23,"")</f>
        <v>0</v>
      </c>
      <c r="D15">
        <f>IFERROR('ISO · Alumnos'!E23,"")</f>
        <v>0</v>
      </c>
      <c r="E15">
        <f>IFERROR('ISO · Alumnos'!F23,"")</f>
        <v>0</v>
      </c>
      <c r="F15">
        <f>IFERROR('ISO · Alumnos'!G23,"")</f>
        <v>0</v>
      </c>
      <c r="G15">
        <f>IFERROR('ISO · Alumnos'!H23,"")</f>
        <v>0</v>
      </c>
      <c r="H15">
        <f>IFERROR('ISO · Alumnos'!I23,"")</f>
        <v>0</v>
      </c>
      <c r="I15" t="str">
        <f>IFERROR('ISO · Alumnos'!J23,"")</f>
        <v>Activo</v>
      </c>
    </row>
    <row r="16" spans="1:9" x14ac:dyDescent="0.2">
      <c r="A16">
        <v>15</v>
      </c>
      <c r="B16">
        <f>IFERROR('ISO · Alumnos'!C24,"")</f>
        <v>0</v>
      </c>
      <c r="C16">
        <f>IFERROR('ISO · Alumnos'!D24,"")</f>
        <v>0</v>
      </c>
      <c r="D16">
        <f>IFERROR('ISO · Alumnos'!E24,"")</f>
        <v>0</v>
      </c>
      <c r="E16">
        <f>IFERROR('ISO · Alumnos'!F24,"")</f>
        <v>0</v>
      </c>
      <c r="F16">
        <f>IFERROR('ISO · Alumnos'!G24,"")</f>
        <v>0</v>
      </c>
      <c r="G16">
        <f>IFERROR('ISO · Alumnos'!H24,"")</f>
        <v>0</v>
      </c>
      <c r="H16">
        <f>IFERROR('ISO · Alumnos'!I24,"")</f>
        <v>0</v>
      </c>
      <c r="I16" t="str">
        <f>IFERROR('ISO · Alumnos'!J24,"")</f>
        <v>Activo</v>
      </c>
    </row>
    <row r="17" spans="1:9" x14ac:dyDescent="0.2">
      <c r="A17">
        <v>16</v>
      </c>
      <c r="B17">
        <f>IFERROR('ISO · Alumnos'!C25,"")</f>
        <v>0</v>
      </c>
      <c r="C17">
        <f>IFERROR('ISO · Alumnos'!D25,"")</f>
        <v>0</v>
      </c>
      <c r="D17">
        <f>IFERROR('ISO · Alumnos'!E25,"")</f>
        <v>0</v>
      </c>
      <c r="E17">
        <f>IFERROR('ISO · Alumnos'!F25,"")</f>
        <v>0</v>
      </c>
      <c r="F17">
        <f>IFERROR('ISO · Alumnos'!G25,"")</f>
        <v>0</v>
      </c>
      <c r="G17">
        <f>IFERROR('ISO · Alumnos'!H25,"")</f>
        <v>0</v>
      </c>
      <c r="H17">
        <f>IFERROR('ISO · Alumnos'!I25,"")</f>
        <v>0</v>
      </c>
      <c r="I17" t="str">
        <f>IFERROR('ISO · Alumnos'!J25,"")</f>
        <v>Activo</v>
      </c>
    </row>
    <row r="18" spans="1:9" x14ac:dyDescent="0.2">
      <c r="A18">
        <v>17</v>
      </c>
      <c r="B18">
        <f>IFERROR('ISO · Alumnos'!C26,"")</f>
        <v>0</v>
      </c>
      <c r="C18">
        <f>IFERROR('ISO · Alumnos'!D26,"")</f>
        <v>0</v>
      </c>
      <c r="D18">
        <f>IFERROR('ISO · Alumnos'!E26,"")</f>
        <v>0</v>
      </c>
      <c r="E18">
        <f>IFERROR('ISO · Alumnos'!F26,"")</f>
        <v>0</v>
      </c>
      <c r="F18">
        <f>IFERROR('ISO · Alumnos'!G26,"")</f>
        <v>0</v>
      </c>
      <c r="G18">
        <f>IFERROR('ISO · Alumnos'!H26,"")</f>
        <v>0</v>
      </c>
      <c r="H18">
        <f>IFERROR('ISO · Alumnos'!I26,"")</f>
        <v>0</v>
      </c>
      <c r="I18" t="str">
        <f>IFERROR('ISO · Alumnos'!J26,"")</f>
        <v>Activo</v>
      </c>
    </row>
    <row r="19" spans="1:9" x14ac:dyDescent="0.2">
      <c r="A19">
        <v>18</v>
      </c>
      <c r="B19">
        <f>IFERROR('ISO · Alumnos'!C27,"")</f>
        <v>0</v>
      </c>
      <c r="C19">
        <f>IFERROR('ISO · Alumnos'!D27,"")</f>
        <v>0</v>
      </c>
      <c r="D19">
        <f>IFERROR('ISO · Alumnos'!E27,"")</f>
        <v>0</v>
      </c>
      <c r="E19">
        <f>IFERROR('ISO · Alumnos'!F27,"")</f>
        <v>0</v>
      </c>
      <c r="F19">
        <f>IFERROR('ISO · Alumnos'!G27,"")</f>
        <v>0</v>
      </c>
      <c r="G19">
        <f>IFERROR('ISO · Alumnos'!H27,"")</f>
        <v>0</v>
      </c>
      <c r="H19">
        <f>IFERROR('ISO · Alumnos'!I27,"")</f>
        <v>0</v>
      </c>
      <c r="I19" t="str">
        <f>IFERROR('ISO · Alumnos'!J27,"")</f>
        <v>Activo</v>
      </c>
    </row>
    <row r="20" spans="1:9" x14ac:dyDescent="0.2">
      <c r="A20">
        <v>19</v>
      </c>
      <c r="B20">
        <f>IFERROR('ISO · Alumnos'!C28,"")</f>
        <v>0</v>
      </c>
      <c r="C20">
        <f>IFERROR('ISO · Alumnos'!D28,"")</f>
        <v>0</v>
      </c>
      <c r="D20">
        <f>IFERROR('ISO · Alumnos'!E28,"")</f>
        <v>0</v>
      </c>
      <c r="E20">
        <f>IFERROR('ISO · Alumnos'!F28,"")</f>
        <v>0</v>
      </c>
      <c r="F20">
        <f>IFERROR('ISO · Alumnos'!G28,"")</f>
        <v>0</v>
      </c>
      <c r="G20">
        <f>IFERROR('ISO · Alumnos'!H28,"")</f>
        <v>0</v>
      </c>
      <c r="H20">
        <f>IFERROR('ISO · Alumnos'!I28,"")</f>
        <v>0</v>
      </c>
      <c r="I20" t="str">
        <f>IFERROR('ISO · Alumnos'!J28,"")</f>
        <v>Activo</v>
      </c>
    </row>
    <row r="21" spans="1:9" x14ac:dyDescent="0.2">
      <c r="A21">
        <v>20</v>
      </c>
      <c r="B21">
        <f>IFERROR('ISO · Alumnos'!C29,"")</f>
        <v>0</v>
      </c>
      <c r="C21">
        <f>IFERROR('ISO · Alumnos'!D29,"")</f>
        <v>0</v>
      </c>
      <c r="D21">
        <f>IFERROR('ISO · Alumnos'!E29,"")</f>
        <v>0</v>
      </c>
      <c r="E21">
        <f>IFERROR('ISO · Alumnos'!F29,"")</f>
        <v>0</v>
      </c>
      <c r="F21">
        <f>IFERROR('ISO · Alumnos'!G29,"")</f>
        <v>0</v>
      </c>
      <c r="G21">
        <f>IFERROR('ISO · Alumnos'!H29,"")</f>
        <v>0</v>
      </c>
      <c r="H21">
        <f>IFERROR('ISO · Alumnos'!I29,"")</f>
        <v>0</v>
      </c>
      <c r="I21" t="str">
        <f>IFERROR('ISO · Alumnos'!J29,"")</f>
        <v>Activo</v>
      </c>
    </row>
    <row r="22" spans="1:9" x14ac:dyDescent="0.2">
      <c r="A22">
        <v>21</v>
      </c>
      <c r="B22">
        <f>IFERROR('ISO · Alumnos'!C30,"")</f>
        <v>0</v>
      </c>
      <c r="C22">
        <f>IFERROR('ISO · Alumnos'!D30,"")</f>
        <v>0</v>
      </c>
      <c r="D22">
        <f>IFERROR('ISO · Alumnos'!E30,"")</f>
        <v>0</v>
      </c>
      <c r="E22">
        <f>IFERROR('ISO · Alumnos'!F30,"")</f>
        <v>0</v>
      </c>
      <c r="F22">
        <f>IFERROR('ISO · Alumnos'!G30,"")</f>
        <v>0</v>
      </c>
      <c r="G22">
        <f>IFERROR('ISO · Alumnos'!H30,"")</f>
        <v>0</v>
      </c>
      <c r="H22">
        <f>IFERROR('ISO · Alumnos'!I30,"")</f>
        <v>0</v>
      </c>
      <c r="I22" t="str">
        <f>IFERROR('ISO · Alumnos'!J30,"")</f>
        <v>Activo</v>
      </c>
    </row>
    <row r="23" spans="1:9" x14ac:dyDescent="0.2">
      <c r="A23">
        <v>22</v>
      </c>
      <c r="B23">
        <f>IFERROR('ISO · Alumnos'!C31,"")</f>
        <v>0</v>
      </c>
      <c r="C23">
        <f>IFERROR('ISO · Alumnos'!D31,"")</f>
        <v>0</v>
      </c>
      <c r="D23">
        <f>IFERROR('ISO · Alumnos'!E31,"")</f>
        <v>0</v>
      </c>
      <c r="E23">
        <f>IFERROR('ISO · Alumnos'!F31,"")</f>
        <v>0</v>
      </c>
      <c r="F23">
        <f>IFERROR('ISO · Alumnos'!G31,"")</f>
        <v>0</v>
      </c>
      <c r="G23">
        <f>IFERROR('ISO · Alumnos'!H31,"")</f>
        <v>0</v>
      </c>
      <c r="H23">
        <f>IFERROR('ISO · Alumnos'!I31,"")</f>
        <v>0</v>
      </c>
      <c r="I23" t="str">
        <f>IFERROR('ISO · Alumnos'!J31,"")</f>
        <v>Activo</v>
      </c>
    </row>
    <row r="24" spans="1:9" x14ac:dyDescent="0.2">
      <c r="A24">
        <v>23</v>
      </c>
      <c r="B24">
        <f>IFERROR('ISO · Alumnos'!C32,"")</f>
        <v>0</v>
      </c>
      <c r="C24">
        <f>IFERROR('ISO · Alumnos'!D32,"")</f>
        <v>0</v>
      </c>
      <c r="D24">
        <f>IFERROR('ISO · Alumnos'!E32,"")</f>
        <v>0</v>
      </c>
      <c r="E24">
        <f>IFERROR('ISO · Alumnos'!F32,"")</f>
        <v>0</v>
      </c>
      <c r="F24">
        <f>IFERROR('ISO · Alumnos'!G32,"")</f>
        <v>0</v>
      </c>
      <c r="G24">
        <f>IFERROR('ISO · Alumnos'!H32,"")</f>
        <v>0</v>
      </c>
      <c r="H24">
        <f>IFERROR('ISO · Alumnos'!I32,"")</f>
        <v>0</v>
      </c>
      <c r="I24" t="str">
        <f>IFERROR('ISO · Alumnos'!J32,"")</f>
        <v>Activo</v>
      </c>
    </row>
    <row r="25" spans="1:9" x14ac:dyDescent="0.2">
      <c r="A25">
        <v>24</v>
      </c>
      <c r="B25">
        <f>IFERROR('ISO · Alumnos'!C33,"")</f>
        <v>0</v>
      </c>
      <c r="C25">
        <f>IFERROR('ISO · Alumnos'!D33,"")</f>
        <v>0</v>
      </c>
      <c r="D25">
        <f>IFERROR('ISO · Alumnos'!E33,"")</f>
        <v>0</v>
      </c>
      <c r="E25">
        <f>IFERROR('ISO · Alumnos'!F33,"")</f>
        <v>0</v>
      </c>
      <c r="F25">
        <f>IFERROR('ISO · Alumnos'!G33,"")</f>
        <v>0</v>
      </c>
      <c r="G25">
        <f>IFERROR('ISO · Alumnos'!H33,"")</f>
        <v>0</v>
      </c>
      <c r="H25">
        <f>IFERROR('ISO · Alumnos'!I33,"")</f>
        <v>0</v>
      </c>
      <c r="I25" t="str">
        <f>IFERROR('ISO · Alumnos'!J33,"")</f>
        <v>Activo</v>
      </c>
    </row>
    <row r="26" spans="1:9" x14ac:dyDescent="0.2">
      <c r="A26">
        <v>25</v>
      </c>
      <c r="B26">
        <f>IFERROR('ISO · Alumnos'!C34,"")</f>
        <v>0</v>
      </c>
      <c r="C26">
        <f>IFERROR('ISO · Alumnos'!D34,"")</f>
        <v>0</v>
      </c>
      <c r="D26">
        <f>IFERROR('ISO · Alumnos'!E34,"")</f>
        <v>0</v>
      </c>
      <c r="E26">
        <f>IFERROR('ISO · Alumnos'!F34,"")</f>
        <v>0</v>
      </c>
      <c r="F26">
        <f>IFERROR('ISO · Alumnos'!G34,"")</f>
        <v>0</v>
      </c>
      <c r="G26">
        <f>IFERROR('ISO · Alumnos'!H34,"")</f>
        <v>0</v>
      </c>
      <c r="H26">
        <f>IFERROR('ISO · Alumnos'!I34,"")</f>
        <v>0</v>
      </c>
      <c r="I26" t="str">
        <f>IFERROR('ISO · Alumnos'!J34,"")</f>
        <v>Activo</v>
      </c>
    </row>
    <row r="27" spans="1:9" x14ac:dyDescent="0.2">
      <c r="A27">
        <v>26</v>
      </c>
      <c r="B27">
        <f>IFERROR('ISO · Alumnos'!C35,"")</f>
        <v>0</v>
      </c>
      <c r="C27">
        <f>IFERROR('ISO · Alumnos'!D35,"")</f>
        <v>0</v>
      </c>
      <c r="D27">
        <f>IFERROR('ISO · Alumnos'!E35,"")</f>
        <v>0</v>
      </c>
      <c r="E27">
        <f>IFERROR('ISO · Alumnos'!F35,"")</f>
        <v>0</v>
      </c>
      <c r="F27">
        <f>IFERROR('ISO · Alumnos'!G35,"")</f>
        <v>0</v>
      </c>
      <c r="G27">
        <f>IFERROR('ISO · Alumnos'!H35,"")</f>
        <v>0</v>
      </c>
      <c r="H27">
        <f>IFERROR('ISO · Alumnos'!I35,"")</f>
        <v>0</v>
      </c>
      <c r="I27" t="str">
        <f>IFERROR('ISO · Alumnos'!J35,"")</f>
        <v>Activo</v>
      </c>
    </row>
    <row r="28" spans="1:9" x14ac:dyDescent="0.2">
      <c r="A28">
        <v>27</v>
      </c>
      <c r="B28">
        <f>IFERROR('ISO · Alumnos'!C36,"")</f>
        <v>0</v>
      </c>
      <c r="C28">
        <f>IFERROR('ISO · Alumnos'!D36,"")</f>
        <v>0</v>
      </c>
      <c r="D28">
        <f>IFERROR('ISO · Alumnos'!E36,"")</f>
        <v>0</v>
      </c>
      <c r="E28">
        <f>IFERROR('ISO · Alumnos'!F36,"")</f>
        <v>0</v>
      </c>
      <c r="F28">
        <f>IFERROR('ISO · Alumnos'!G36,"")</f>
        <v>0</v>
      </c>
      <c r="G28">
        <f>IFERROR('ISO · Alumnos'!H36,"")</f>
        <v>0</v>
      </c>
      <c r="H28">
        <f>IFERROR('ISO · Alumnos'!I36,"")</f>
        <v>0</v>
      </c>
      <c r="I28" t="str">
        <f>IFERROR('ISO · Alumnos'!J36,"")</f>
        <v>Activo</v>
      </c>
    </row>
    <row r="29" spans="1:9" x14ac:dyDescent="0.2">
      <c r="A29">
        <v>28</v>
      </c>
      <c r="B29">
        <f>IFERROR('ISO · Alumnos'!C37,"")</f>
        <v>0</v>
      </c>
      <c r="C29">
        <f>IFERROR('ISO · Alumnos'!D37,"")</f>
        <v>0</v>
      </c>
      <c r="D29">
        <f>IFERROR('ISO · Alumnos'!E37,"")</f>
        <v>0</v>
      </c>
      <c r="E29">
        <f>IFERROR('ISO · Alumnos'!F37,"")</f>
        <v>0</v>
      </c>
      <c r="F29">
        <f>IFERROR('ISO · Alumnos'!G37,"")</f>
        <v>0</v>
      </c>
      <c r="G29">
        <f>IFERROR('ISO · Alumnos'!H37,"")</f>
        <v>0</v>
      </c>
      <c r="H29">
        <f>IFERROR('ISO · Alumnos'!I37,"")</f>
        <v>0</v>
      </c>
      <c r="I29" t="str">
        <f>IFERROR('ISO · Alumnos'!J37,"")</f>
        <v>Activo</v>
      </c>
    </row>
    <row r="30" spans="1:9" x14ac:dyDescent="0.2">
      <c r="A30">
        <v>29</v>
      </c>
      <c r="B30">
        <f>IFERROR('ISO · Alumnos'!C38,"")</f>
        <v>0</v>
      </c>
      <c r="C30">
        <f>IFERROR('ISO · Alumnos'!D38,"")</f>
        <v>0</v>
      </c>
      <c r="D30">
        <f>IFERROR('ISO · Alumnos'!E38,"")</f>
        <v>0</v>
      </c>
      <c r="E30">
        <f>IFERROR('ISO · Alumnos'!F38,"")</f>
        <v>0</v>
      </c>
      <c r="F30">
        <f>IFERROR('ISO · Alumnos'!G38,"")</f>
        <v>0</v>
      </c>
      <c r="G30">
        <f>IFERROR('ISO · Alumnos'!H38,"")</f>
        <v>0</v>
      </c>
      <c r="H30">
        <f>IFERROR('ISO · Alumnos'!I38,"")</f>
        <v>0</v>
      </c>
      <c r="I30" t="str">
        <f>IFERROR('ISO · Alumnos'!J38,"")</f>
        <v>Activo</v>
      </c>
    </row>
    <row r="31" spans="1:9" x14ac:dyDescent="0.2">
      <c r="A31">
        <v>30</v>
      </c>
      <c r="B31">
        <f>IFERROR('ISO · Alumnos'!C39,"")</f>
        <v>0</v>
      </c>
      <c r="C31">
        <f>IFERROR('ISO · Alumnos'!D39,"")</f>
        <v>0</v>
      </c>
      <c r="D31">
        <f>IFERROR('ISO · Alumnos'!E39,"")</f>
        <v>0</v>
      </c>
      <c r="E31">
        <f>IFERROR('ISO · Alumnos'!F39,"")</f>
        <v>0</v>
      </c>
      <c r="F31">
        <f>IFERROR('ISO · Alumnos'!G39,"")</f>
        <v>0</v>
      </c>
      <c r="G31">
        <f>IFERROR('ISO · Alumnos'!H39,"")</f>
        <v>0</v>
      </c>
      <c r="H31">
        <f>IFERROR('ISO · Alumnos'!I39,"")</f>
        <v>0</v>
      </c>
      <c r="I31" t="str">
        <f>IFERROR('ISO · Alumnos'!J39,"")</f>
        <v>Activo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757</v>
      </c>
      <c r="B1" s="290" t="s">
        <v>758</v>
      </c>
      <c r="C1" s="290" t="s">
        <v>759</v>
      </c>
      <c r="D1" s="290" t="s">
        <v>760</v>
      </c>
      <c r="E1" s="290" t="s">
        <v>761</v>
      </c>
      <c r="F1" s="290" t="s">
        <v>762</v>
      </c>
      <c r="G1" s="290" t="s">
        <v>763</v>
      </c>
      <c r="H1" s="290" t="s">
        <v>764</v>
      </c>
      <c r="I1" s="290" t="s">
        <v>765</v>
      </c>
    </row>
    <row r="2" spans="1:9" x14ac:dyDescent="0.2">
      <c r="A2" t="s">
        <v>766</v>
      </c>
      <c r="B2" t="s">
        <v>767</v>
      </c>
      <c r="C2" t="s">
        <v>7</v>
      </c>
      <c r="D2" t="s">
        <v>107</v>
      </c>
      <c r="E2" t="s">
        <v>13</v>
      </c>
      <c r="F2">
        <v>6</v>
      </c>
      <c r="G2">
        <v>186</v>
      </c>
      <c r="H2" t="str">
        <f>IFERROR(Configuración!C11,"")</f>
        <v>Administración de Sistemas Informáticos en Red (ASIR)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749</v>
      </c>
      <c r="B1" s="290" t="s">
        <v>744</v>
      </c>
      <c r="C1" s="290" t="s">
        <v>731</v>
      </c>
      <c r="D1" s="290" t="s">
        <v>728</v>
      </c>
      <c r="E1" s="290" t="s">
        <v>768</v>
      </c>
      <c r="F1" s="290" t="s">
        <v>769</v>
      </c>
      <c r="G1" s="290" t="s">
        <v>770</v>
      </c>
      <c r="H1" s="290" t="s">
        <v>755</v>
      </c>
    </row>
    <row r="2" spans="1:8" x14ac:dyDescent="0.2">
      <c r="A2" t="s">
        <v>771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749</v>
      </c>
      <c r="B1" s="290" t="s">
        <v>723</v>
      </c>
      <c r="C1" s="290" t="s">
        <v>772</v>
      </c>
      <c r="D1" s="290" t="s">
        <v>773</v>
      </c>
      <c r="E1" s="290" t="s">
        <v>774</v>
      </c>
      <c r="F1" s="290" t="s">
        <v>755</v>
      </c>
    </row>
    <row r="2" spans="1:6" x14ac:dyDescent="0.2">
      <c r="A2">
        <v>1</v>
      </c>
      <c r="B2">
        <v>1</v>
      </c>
      <c r="C2" t="str">
        <f>IFERROR('ISO · Evaluación 1'!H11,"")</f>
        <v/>
      </c>
      <c r="D2" t="str">
        <f>IFERROR('ISO · Evaluación 1'!I11,"")</f>
        <v/>
      </c>
    </row>
    <row r="3" spans="1:6" x14ac:dyDescent="0.2">
      <c r="A3">
        <v>1</v>
      </c>
      <c r="B3">
        <v>2</v>
      </c>
      <c r="C3" t="str">
        <f>IFERROR('ISO · Evaluación 2'!J11,"")</f>
        <v/>
      </c>
      <c r="D3" t="str">
        <f>IFERROR('ISO · Evaluación 2'!K11,"")</f>
        <v/>
      </c>
    </row>
    <row r="4" spans="1:6" x14ac:dyDescent="0.2">
      <c r="A4">
        <v>1</v>
      </c>
      <c r="B4">
        <v>3</v>
      </c>
      <c r="C4" t="str">
        <f>IFERROR('ISO · Evaluación 3'!J11,"")</f>
        <v/>
      </c>
      <c r="D4" t="str">
        <f>IFERROR('ISO · Evaluación 3'!K11,"")</f>
        <v/>
      </c>
    </row>
    <row r="5" spans="1:6" x14ac:dyDescent="0.2">
      <c r="A5">
        <v>2</v>
      </c>
      <c r="B5">
        <v>1</v>
      </c>
      <c r="C5" t="str">
        <f>IFERROR('ISO · Evaluación 1'!H12,"")</f>
        <v/>
      </c>
      <c r="D5" t="str">
        <f>IFERROR('ISO · Evaluación 1'!I12,"")</f>
        <v/>
      </c>
    </row>
    <row r="6" spans="1:6" x14ac:dyDescent="0.2">
      <c r="A6">
        <v>2</v>
      </c>
      <c r="B6">
        <v>2</v>
      </c>
      <c r="C6" t="str">
        <f>IFERROR('ISO · Evaluación 2'!J12,"")</f>
        <v/>
      </c>
      <c r="D6" t="str">
        <f>IFERROR('ISO · Evaluación 2'!K12,"")</f>
        <v/>
      </c>
    </row>
    <row r="7" spans="1:6" x14ac:dyDescent="0.2">
      <c r="A7">
        <v>2</v>
      </c>
      <c r="B7">
        <v>3</v>
      </c>
      <c r="C7" t="str">
        <f>IFERROR('ISO · Evaluación 3'!J12,"")</f>
        <v/>
      </c>
      <c r="D7" t="str">
        <f>IFERROR('ISO · Evaluación 3'!K12,"")</f>
        <v/>
      </c>
    </row>
    <row r="8" spans="1:6" x14ac:dyDescent="0.2">
      <c r="A8">
        <v>3</v>
      </c>
      <c r="B8">
        <v>1</v>
      </c>
      <c r="C8" t="str">
        <f>IFERROR('ISO · Evaluación 1'!H13,"")</f>
        <v/>
      </c>
      <c r="D8" t="str">
        <f>IFERROR('ISO · Evaluación 1'!I13,"")</f>
        <v/>
      </c>
    </row>
    <row r="9" spans="1:6" x14ac:dyDescent="0.2">
      <c r="A9">
        <v>3</v>
      </c>
      <c r="B9">
        <v>2</v>
      </c>
      <c r="C9" t="str">
        <f>IFERROR('ISO · Evaluación 2'!J13,"")</f>
        <v/>
      </c>
      <c r="D9" t="str">
        <f>IFERROR('ISO · Evaluación 2'!K13,"")</f>
        <v/>
      </c>
    </row>
    <row r="10" spans="1:6" x14ac:dyDescent="0.2">
      <c r="A10">
        <v>3</v>
      </c>
      <c r="B10">
        <v>3</v>
      </c>
      <c r="C10" t="str">
        <f>IFERROR('ISO · Evaluación 3'!J13,"")</f>
        <v/>
      </c>
      <c r="D10" t="str">
        <f>IFERROR('ISO · Evaluación 3'!K13,"")</f>
        <v/>
      </c>
    </row>
    <row r="11" spans="1:6" x14ac:dyDescent="0.2">
      <c r="A11">
        <v>4</v>
      </c>
      <c r="B11">
        <v>1</v>
      </c>
      <c r="C11" t="str">
        <f>IFERROR('ISO · Evaluación 1'!H14,"")</f>
        <v/>
      </c>
      <c r="D11" t="str">
        <f>IFERROR('ISO · Evaluación 1'!I14,"")</f>
        <v/>
      </c>
    </row>
    <row r="12" spans="1:6" x14ac:dyDescent="0.2">
      <c r="A12">
        <v>4</v>
      </c>
      <c r="B12">
        <v>2</v>
      </c>
      <c r="C12" t="str">
        <f>IFERROR('ISO · Evaluación 2'!J14,"")</f>
        <v/>
      </c>
      <c r="D12" t="str">
        <f>IFERROR('ISO · Evaluación 2'!K14,"")</f>
        <v/>
      </c>
    </row>
    <row r="13" spans="1:6" x14ac:dyDescent="0.2">
      <c r="A13">
        <v>4</v>
      </c>
      <c r="B13">
        <v>3</v>
      </c>
      <c r="C13" t="str">
        <f>IFERROR('ISO · Evaluación 3'!J14,"")</f>
        <v/>
      </c>
      <c r="D13" t="str">
        <f>IFERROR('ISO · Evaluación 3'!K14,"")</f>
        <v/>
      </c>
    </row>
    <row r="14" spans="1:6" x14ac:dyDescent="0.2">
      <c r="A14">
        <v>5</v>
      </c>
      <c r="B14">
        <v>1</v>
      </c>
      <c r="C14" t="str">
        <f>IFERROR('ISO · Evaluación 1'!H15,"")</f>
        <v/>
      </c>
      <c r="D14" t="str">
        <f>IFERROR('ISO · Evaluación 1'!I15,"")</f>
        <v/>
      </c>
    </row>
    <row r="15" spans="1:6" x14ac:dyDescent="0.2">
      <c r="A15">
        <v>5</v>
      </c>
      <c r="B15">
        <v>2</v>
      </c>
      <c r="C15" t="str">
        <f>IFERROR('ISO · Evaluación 2'!J15,"")</f>
        <v/>
      </c>
      <c r="D15" t="str">
        <f>IFERROR('ISO · Evaluación 2'!K15,"")</f>
        <v/>
      </c>
    </row>
    <row r="16" spans="1:6" x14ac:dyDescent="0.2">
      <c r="A16">
        <v>5</v>
      </c>
      <c r="B16">
        <v>3</v>
      </c>
      <c r="C16" t="str">
        <f>IFERROR('ISO · Evaluación 3'!J15,"")</f>
        <v/>
      </c>
      <c r="D16" t="str">
        <f>IFERROR('ISO · Evaluación 3'!K15,"")</f>
        <v/>
      </c>
    </row>
    <row r="17" spans="1:4" x14ac:dyDescent="0.2">
      <c r="A17">
        <v>6</v>
      </c>
      <c r="B17">
        <v>1</v>
      </c>
      <c r="C17" t="str">
        <f>IFERROR('ISO · Evaluación 1'!H16,"")</f>
        <v/>
      </c>
      <c r="D17" t="str">
        <f>IFERROR('ISO · Evaluación 1'!I16,"")</f>
        <v/>
      </c>
    </row>
    <row r="18" spans="1:4" x14ac:dyDescent="0.2">
      <c r="A18">
        <v>6</v>
      </c>
      <c r="B18">
        <v>2</v>
      </c>
      <c r="C18" t="str">
        <f>IFERROR('ISO · Evaluación 2'!J16,"")</f>
        <v/>
      </c>
      <c r="D18" t="str">
        <f>IFERROR('ISO · Evaluación 2'!K16,"")</f>
        <v/>
      </c>
    </row>
    <row r="19" spans="1:4" x14ac:dyDescent="0.2">
      <c r="A19">
        <v>6</v>
      </c>
      <c r="B19">
        <v>3</v>
      </c>
      <c r="C19" t="str">
        <f>IFERROR('ISO · Evaluación 3'!J16,"")</f>
        <v/>
      </c>
      <c r="D19" t="str">
        <f>IFERROR('ISO · Evaluación 3'!K16,"")</f>
        <v/>
      </c>
    </row>
    <row r="20" spans="1:4" x14ac:dyDescent="0.2">
      <c r="A20">
        <v>7</v>
      </c>
      <c r="B20">
        <v>1</v>
      </c>
      <c r="C20" t="str">
        <f>IFERROR('ISO · Evaluación 1'!H17,"")</f>
        <v/>
      </c>
      <c r="D20" t="str">
        <f>IFERROR('ISO · Evaluación 1'!I17,"")</f>
        <v/>
      </c>
    </row>
    <row r="21" spans="1:4" x14ac:dyDescent="0.2">
      <c r="A21">
        <v>7</v>
      </c>
      <c r="B21">
        <v>2</v>
      </c>
      <c r="C21" t="str">
        <f>IFERROR('ISO · Evaluación 2'!J17,"")</f>
        <v/>
      </c>
      <c r="D21" t="str">
        <f>IFERROR('ISO · Evaluación 2'!K17,"")</f>
        <v/>
      </c>
    </row>
    <row r="22" spans="1:4" x14ac:dyDescent="0.2">
      <c r="A22">
        <v>7</v>
      </c>
      <c r="B22">
        <v>3</v>
      </c>
      <c r="C22" t="str">
        <f>IFERROR('ISO · Evaluación 3'!J17,"")</f>
        <v/>
      </c>
      <c r="D22" t="str">
        <f>IFERROR('ISO · Evaluación 3'!K17,"")</f>
        <v/>
      </c>
    </row>
    <row r="23" spans="1:4" x14ac:dyDescent="0.2">
      <c r="A23">
        <v>8</v>
      </c>
      <c r="B23">
        <v>1</v>
      </c>
      <c r="C23" t="str">
        <f>IFERROR('ISO · Evaluación 1'!H18,"")</f>
        <v/>
      </c>
      <c r="D23" t="str">
        <f>IFERROR('ISO · Evaluación 1'!I18,"")</f>
        <v/>
      </c>
    </row>
    <row r="24" spans="1:4" x14ac:dyDescent="0.2">
      <c r="A24">
        <v>8</v>
      </c>
      <c r="B24">
        <v>2</v>
      </c>
      <c r="C24" t="str">
        <f>IFERROR('ISO · Evaluación 2'!J18,"")</f>
        <v/>
      </c>
      <c r="D24" t="str">
        <f>IFERROR('ISO · Evaluación 2'!K18,"")</f>
        <v/>
      </c>
    </row>
    <row r="25" spans="1:4" x14ac:dyDescent="0.2">
      <c r="A25">
        <v>8</v>
      </c>
      <c r="B25">
        <v>3</v>
      </c>
      <c r="C25" t="str">
        <f>IFERROR('ISO · Evaluación 3'!J18,"")</f>
        <v/>
      </c>
      <c r="D25" t="str">
        <f>IFERROR('ISO · Evaluación 3'!K18,"")</f>
        <v/>
      </c>
    </row>
    <row r="26" spans="1:4" x14ac:dyDescent="0.2">
      <c r="A26">
        <v>9</v>
      </c>
      <c r="B26">
        <v>1</v>
      </c>
      <c r="C26" t="str">
        <f>IFERROR('ISO · Evaluación 1'!H19,"")</f>
        <v/>
      </c>
      <c r="D26" t="str">
        <f>IFERROR('ISO · Evaluación 1'!I19,"")</f>
        <v/>
      </c>
    </row>
    <row r="27" spans="1:4" x14ac:dyDescent="0.2">
      <c r="A27">
        <v>9</v>
      </c>
      <c r="B27">
        <v>2</v>
      </c>
      <c r="C27" t="str">
        <f>IFERROR('ISO · Evaluación 2'!J19,"")</f>
        <v/>
      </c>
      <c r="D27" t="str">
        <f>IFERROR('ISO · Evaluación 2'!K19,"")</f>
        <v/>
      </c>
    </row>
    <row r="28" spans="1:4" x14ac:dyDescent="0.2">
      <c r="A28">
        <v>9</v>
      </c>
      <c r="B28">
        <v>3</v>
      </c>
      <c r="C28" t="str">
        <f>IFERROR('ISO · Evaluación 3'!J19,"")</f>
        <v/>
      </c>
      <c r="D28" t="str">
        <f>IFERROR('ISO · Evaluación 3'!K19,"")</f>
        <v/>
      </c>
    </row>
    <row r="29" spans="1:4" x14ac:dyDescent="0.2">
      <c r="A29">
        <v>10</v>
      </c>
      <c r="B29">
        <v>1</v>
      </c>
      <c r="C29" t="str">
        <f>IFERROR('ISO · Evaluación 1'!H20,"")</f>
        <v/>
      </c>
      <c r="D29" t="str">
        <f>IFERROR('ISO · Evaluación 1'!I20,"")</f>
        <v/>
      </c>
    </row>
    <row r="30" spans="1:4" x14ac:dyDescent="0.2">
      <c r="A30">
        <v>10</v>
      </c>
      <c r="B30">
        <v>2</v>
      </c>
      <c r="C30" t="str">
        <f>IFERROR('ISO · Evaluación 2'!J20,"")</f>
        <v/>
      </c>
      <c r="D30" t="str">
        <f>IFERROR('ISO · Evaluación 2'!K20,"")</f>
        <v/>
      </c>
    </row>
    <row r="31" spans="1:4" x14ac:dyDescent="0.2">
      <c r="A31">
        <v>10</v>
      </c>
      <c r="B31">
        <v>3</v>
      </c>
      <c r="C31" t="str">
        <f>IFERROR('ISO · Evaluación 3'!J20,"")</f>
        <v/>
      </c>
      <c r="D31" t="str">
        <f>IFERROR('ISO · Evaluación 3'!K20,"")</f>
        <v/>
      </c>
    </row>
    <row r="32" spans="1:4" x14ac:dyDescent="0.2">
      <c r="A32">
        <v>11</v>
      </c>
      <c r="B32">
        <v>1</v>
      </c>
      <c r="C32" t="str">
        <f>IFERROR('ISO · Evaluación 1'!H21,"")</f>
        <v/>
      </c>
      <c r="D32" t="str">
        <f>IFERROR('ISO · Evaluación 1'!I21,"")</f>
        <v/>
      </c>
    </row>
    <row r="33" spans="1:4" x14ac:dyDescent="0.2">
      <c r="A33">
        <v>11</v>
      </c>
      <c r="B33">
        <v>2</v>
      </c>
      <c r="C33" t="str">
        <f>IFERROR('ISO · Evaluación 2'!J21,"")</f>
        <v/>
      </c>
      <c r="D33" t="str">
        <f>IFERROR('ISO · Evaluación 2'!K21,"")</f>
        <v/>
      </c>
    </row>
    <row r="34" spans="1:4" x14ac:dyDescent="0.2">
      <c r="A34">
        <v>11</v>
      </c>
      <c r="B34">
        <v>3</v>
      </c>
      <c r="C34" t="str">
        <f>IFERROR('ISO · Evaluación 3'!J21,"")</f>
        <v/>
      </c>
      <c r="D34" t="str">
        <f>IFERROR('ISO · Evaluación 3'!K21,"")</f>
        <v/>
      </c>
    </row>
    <row r="35" spans="1:4" x14ac:dyDescent="0.2">
      <c r="A35">
        <v>12</v>
      </c>
      <c r="B35">
        <v>1</v>
      </c>
      <c r="C35" t="str">
        <f>IFERROR('ISO · Evaluación 1'!H22,"")</f>
        <v/>
      </c>
      <c r="D35" t="str">
        <f>IFERROR('ISO · Evaluación 1'!I22,"")</f>
        <v/>
      </c>
    </row>
    <row r="36" spans="1:4" x14ac:dyDescent="0.2">
      <c r="A36">
        <v>12</v>
      </c>
      <c r="B36">
        <v>2</v>
      </c>
      <c r="C36" t="str">
        <f>IFERROR('ISO · Evaluación 2'!J22,"")</f>
        <v/>
      </c>
      <c r="D36" t="str">
        <f>IFERROR('ISO · Evaluación 2'!K22,"")</f>
        <v/>
      </c>
    </row>
    <row r="37" spans="1:4" x14ac:dyDescent="0.2">
      <c r="A37">
        <v>12</v>
      </c>
      <c r="B37">
        <v>3</v>
      </c>
      <c r="C37" t="str">
        <f>IFERROR('ISO · Evaluación 3'!J22,"")</f>
        <v/>
      </c>
      <c r="D37" t="str">
        <f>IFERROR('ISO · Evaluación 3'!K22,"")</f>
        <v/>
      </c>
    </row>
    <row r="38" spans="1:4" x14ac:dyDescent="0.2">
      <c r="A38">
        <v>13</v>
      </c>
      <c r="B38">
        <v>1</v>
      </c>
      <c r="C38" t="str">
        <f>IFERROR('ISO · Evaluación 1'!H23,"")</f>
        <v/>
      </c>
      <c r="D38" t="str">
        <f>IFERROR('ISO · Evaluación 1'!I23,"")</f>
        <v/>
      </c>
    </row>
    <row r="39" spans="1:4" x14ac:dyDescent="0.2">
      <c r="A39">
        <v>13</v>
      </c>
      <c r="B39">
        <v>2</v>
      </c>
      <c r="C39" t="str">
        <f>IFERROR('ISO · Evaluación 2'!J23,"")</f>
        <v/>
      </c>
      <c r="D39" t="str">
        <f>IFERROR('ISO · Evaluación 2'!K23,"")</f>
        <v/>
      </c>
    </row>
    <row r="40" spans="1:4" x14ac:dyDescent="0.2">
      <c r="A40">
        <v>13</v>
      </c>
      <c r="B40">
        <v>3</v>
      </c>
      <c r="C40" t="str">
        <f>IFERROR('ISO · Evaluación 3'!J23,"")</f>
        <v/>
      </c>
      <c r="D40" t="str">
        <f>IFERROR('ISO · Evaluación 3'!K23,"")</f>
        <v/>
      </c>
    </row>
    <row r="41" spans="1:4" x14ac:dyDescent="0.2">
      <c r="A41">
        <v>14</v>
      </c>
      <c r="B41">
        <v>1</v>
      </c>
      <c r="C41" t="str">
        <f>IFERROR('ISO · Evaluación 1'!H24,"")</f>
        <v/>
      </c>
      <c r="D41" t="str">
        <f>IFERROR('ISO · Evaluación 1'!I24,"")</f>
        <v/>
      </c>
    </row>
    <row r="42" spans="1:4" x14ac:dyDescent="0.2">
      <c r="A42">
        <v>14</v>
      </c>
      <c r="B42">
        <v>2</v>
      </c>
      <c r="C42" t="str">
        <f>IFERROR('ISO · Evaluación 2'!J24,"")</f>
        <v/>
      </c>
      <c r="D42" t="str">
        <f>IFERROR('ISO · Evaluación 2'!K24,"")</f>
        <v/>
      </c>
    </row>
    <row r="43" spans="1:4" x14ac:dyDescent="0.2">
      <c r="A43">
        <v>14</v>
      </c>
      <c r="B43">
        <v>3</v>
      </c>
      <c r="C43" t="str">
        <f>IFERROR('ISO · Evaluación 3'!J24,"")</f>
        <v/>
      </c>
      <c r="D43" t="str">
        <f>IFERROR('ISO · Evaluación 3'!K24,"")</f>
        <v/>
      </c>
    </row>
    <row r="44" spans="1:4" x14ac:dyDescent="0.2">
      <c r="A44">
        <v>15</v>
      </c>
      <c r="B44">
        <v>1</v>
      </c>
      <c r="C44" t="str">
        <f>IFERROR('ISO · Evaluación 1'!H25,"")</f>
        <v/>
      </c>
      <c r="D44" t="str">
        <f>IFERROR('ISO · Evaluación 1'!I25,"")</f>
        <v/>
      </c>
    </row>
    <row r="45" spans="1:4" x14ac:dyDescent="0.2">
      <c r="A45">
        <v>15</v>
      </c>
      <c r="B45">
        <v>2</v>
      </c>
      <c r="C45" t="str">
        <f>IFERROR('ISO · Evaluación 2'!J25,"")</f>
        <v/>
      </c>
      <c r="D45" t="str">
        <f>IFERROR('ISO · Evaluación 2'!K25,"")</f>
        <v/>
      </c>
    </row>
    <row r="46" spans="1:4" x14ac:dyDescent="0.2">
      <c r="A46">
        <v>15</v>
      </c>
      <c r="B46">
        <v>3</v>
      </c>
      <c r="C46" t="str">
        <f>IFERROR('ISO · Evaluación 3'!J25,"")</f>
        <v/>
      </c>
      <c r="D46" t="str">
        <f>IFERROR('ISO · Evaluación 3'!K25,"")</f>
        <v/>
      </c>
    </row>
    <row r="47" spans="1:4" x14ac:dyDescent="0.2">
      <c r="A47">
        <v>16</v>
      </c>
      <c r="B47">
        <v>1</v>
      </c>
      <c r="C47" t="str">
        <f>IFERROR('ISO · Evaluación 1'!H26,"")</f>
        <v/>
      </c>
      <c r="D47" t="str">
        <f>IFERROR('ISO · Evaluación 1'!I26,"")</f>
        <v/>
      </c>
    </row>
    <row r="48" spans="1:4" x14ac:dyDescent="0.2">
      <c r="A48">
        <v>16</v>
      </c>
      <c r="B48">
        <v>2</v>
      </c>
      <c r="C48" t="str">
        <f>IFERROR('ISO · Evaluación 2'!J26,"")</f>
        <v/>
      </c>
      <c r="D48" t="str">
        <f>IFERROR('ISO · Evaluación 2'!K26,"")</f>
        <v/>
      </c>
    </row>
    <row r="49" spans="1:4" x14ac:dyDescent="0.2">
      <c r="A49">
        <v>16</v>
      </c>
      <c r="B49">
        <v>3</v>
      </c>
      <c r="C49" t="str">
        <f>IFERROR('ISO · Evaluación 3'!J26,"")</f>
        <v/>
      </c>
      <c r="D49" t="str">
        <f>IFERROR('ISO · Evaluación 3'!K26,"")</f>
        <v/>
      </c>
    </row>
    <row r="50" spans="1:4" x14ac:dyDescent="0.2">
      <c r="A50">
        <v>17</v>
      </c>
      <c r="B50">
        <v>1</v>
      </c>
      <c r="C50" t="str">
        <f>IFERROR('ISO · Evaluación 1'!H27,"")</f>
        <v/>
      </c>
      <c r="D50" t="str">
        <f>IFERROR('ISO · Evaluación 1'!I27,"")</f>
        <v/>
      </c>
    </row>
    <row r="51" spans="1:4" x14ac:dyDescent="0.2">
      <c r="A51">
        <v>17</v>
      </c>
      <c r="B51">
        <v>2</v>
      </c>
      <c r="C51" t="str">
        <f>IFERROR('ISO · Evaluación 2'!J27,"")</f>
        <v/>
      </c>
      <c r="D51" t="str">
        <f>IFERROR('ISO · Evaluación 2'!K27,"")</f>
        <v/>
      </c>
    </row>
    <row r="52" spans="1:4" x14ac:dyDescent="0.2">
      <c r="A52">
        <v>17</v>
      </c>
      <c r="B52">
        <v>3</v>
      </c>
      <c r="C52" t="str">
        <f>IFERROR('ISO · Evaluación 3'!J27,"")</f>
        <v/>
      </c>
      <c r="D52" t="str">
        <f>IFERROR('ISO · Evaluación 3'!K27,"")</f>
        <v/>
      </c>
    </row>
    <row r="53" spans="1:4" x14ac:dyDescent="0.2">
      <c r="A53">
        <v>18</v>
      </c>
      <c r="B53">
        <v>1</v>
      </c>
      <c r="C53" t="str">
        <f>IFERROR('ISO · Evaluación 1'!H28,"")</f>
        <v/>
      </c>
      <c r="D53" t="str">
        <f>IFERROR('ISO · Evaluación 1'!I28,"")</f>
        <v/>
      </c>
    </row>
    <row r="54" spans="1:4" x14ac:dyDescent="0.2">
      <c r="A54">
        <v>18</v>
      </c>
      <c r="B54">
        <v>2</v>
      </c>
      <c r="C54" t="str">
        <f>IFERROR('ISO · Evaluación 2'!J28,"")</f>
        <v/>
      </c>
      <c r="D54" t="str">
        <f>IFERROR('ISO · Evaluación 2'!K28,"")</f>
        <v/>
      </c>
    </row>
    <row r="55" spans="1:4" x14ac:dyDescent="0.2">
      <c r="A55">
        <v>18</v>
      </c>
      <c r="B55">
        <v>3</v>
      </c>
      <c r="C55" t="str">
        <f>IFERROR('ISO · Evaluación 3'!J28,"")</f>
        <v/>
      </c>
      <c r="D55" t="str">
        <f>IFERROR('ISO · Evaluación 3'!K28,"")</f>
        <v/>
      </c>
    </row>
    <row r="56" spans="1:4" x14ac:dyDescent="0.2">
      <c r="A56">
        <v>19</v>
      </c>
      <c r="B56">
        <v>1</v>
      </c>
      <c r="C56" t="str">
        <f>IFERROR('ISO · Evaluación 1'!H29,"")</f>
        <v/>
      </c>
      <c r="D56" t="str">
        <f>IFERROR('ISO · Evaluación 1'!I29,"")</f>
        <v/>
      </c>
    </row>
    <row r="57" spans="1:4" x14ac:dyDescent="0.2">
      <c r="A57">
        <v>19</v>
      </c>
      <c r="B57">
        <v>2</v>
      </c>
      <c r="C57" t="str">
        <f>IFERROR('ISO · Evaluación 2'!J29,"")</f>
        <v/>
      </c>
      <c r="D57" t="str">
        <f>IFERROR('ISO · Evaluación 2'!K29,"")</f>
        <v/>
      </c>
    </row>
    <row r="58" spans="1:4" x14ac:dyDescent="0.2">
      <c r="A58">
        <v>19</v>
      </c>
      <c r="B58">
        <v>3</v>
      </c>
      <c r="C58" t="str">
        <f>IFERROR('ISO · Evaluación 3'!J29,"")</f>
        <v/>
      </c>
      <c r="D58" t="str">
        <f>IFERROR('ISO · Evaluación 3'!K29,"")</f>
        <v/>
      </c>
    </row>
    <row r="59" spans="1:4" x14ac:dyDescent="0.2">
      <c r="A59">
        <v>20</v>
      </c>
      <c r="B59">
        <v>1</v>
      </c>
      <c r="C59" t="str">
        <f>IFERROR('ISO · Evaluación 1'!H30,"")</f>
        <v/>
      </c>
      <c r="D59" t="str">
        <f>IFERROR('ISO · Evaluación 1'!I30,"")</f>
        <v/>
      </c>
    </row>
    <row r="60" spans="1:4" x14ac:dyDescent="0.2">
      <c r="A60">
        <v>20</v>
      </c>
      <c r="B60">
        <v>2</v>
      </c>
      <c r="C60" t="str">
        <f>IFERROR('ISO · Evaluación 2'!J30,"")</f>
        <v/>
      </c>
      <c r="D60" t="str">
        <f>IFERROR('ISO · Evaluación 2'!K30,"")</f>
        <v/>
      </c>
    </row>
    <row r="61" spans="1:4" x14ac:dyDescent="0.2">
      <c r="A61">
        <v>20</v>
      </c>
      <c r="B61">
        <v>3</v>
      </c>
      <c r="C61" t="str">
        <f>IFERROR('ISO · Evaluación 3'!J30,"")</f>
        <v/>
      </c>
      <c r="D61" t="str">
        <f>IFERROR('ISO · Evaluación 3'!K30,"")</f>
        <v/>
      </c>
    </row>
    <row r="62" spans="1:4" x14ac:dyDescent="0.2">
      <c r="A62">
        <v>21</v>
      </c>
      <c r="B62">
        <v>1</v>
      </c>
      <c r="C62" t="str">
        <f>IFERROR('ISO · Evaluación 1'!H31,"")</f>
        <v/>
      </c>
      <c r="D62" t="str">
        <f>IFERROR('ISO · Evaluación 1'!I31,"")</f>
        <v/>
      </c>
    </row>
    <row r="63" spans="1:4" x14ac:dyDescent="0.2">
      <c r="A63">
        <v>21</v>
      </c>
      <c r="B63">
        <v>2</v>
      </c>
      <c r="C63" t="str">
        <f>IFERROR('ISO · Evaluación 2'!J31,"")</f>
        <v/>
      </c>
      <c r="D63" t="str">
        <f>IFERROR('ISO · Evaluación 2'!K31,"")</f>
        <v/>
      </c>
    </row>
    <row r="64" spans="1:4" x14ac:dyDescent="0.2">
      <c r="A64">
        <v>21</v>
      </c>
      <c r="B64">
        <v>3</v>
      </c>
      <c r="C64" t="str">
        <f>IFERROR('ISO · Evaluación 3'!J31,"")</f>
        <v/>
      </c>
      <c r="D64" t="str">
        <f>IFERROR('ISO · Evaluación 3'!K31,"")</f>
        <v/>
      </c>
    </row>
    <row r="65" spans="1:4" x14ac:dyDescent="0.2">
      <c r="A65">
        <v>22</v>
      </c>
      <c r="B65">
        <v>1</v>
      </c>
      <c r="C65" t="str">
        <f>IFERROR('ISO · Evaluación 1'!H32,"")</f>
        <v/>
      </c>
      <c r="D65" t="str">
        <f>IFERROR('ISO · Evaluación 1'!I32,"")</f>
        <v/>
      </c>
    </row>
    <row r="66" spans="1:4" x14ac:dyDescent="0.2">
      <c r="A66">
        <v>22</v>
      </c>
      <c r="B66">
        <v>2</v>
      </c>
      <c r="C66" t="str">
        <f>IFERROR('ISO · Evaluación 2'!J32,"")</f>
        <v/>
      </c>
      <c r="D66" t="str">
        <f>IFERROR('ISO · Evaluación 2'!K32,"")</f>
        <v/>
      </c>
    </row>
    <row r="67" spans="1:4" x14ac:dyDescent="0.2">
      <c r="A67">
        <v>22</v>
      </c>
      <c r="B67">
        <v>3</v>
      </c>
      <c r="C67" t="str">
        <f>IFERROR('ISO · Evaluación 3'!J32,"")</f>
        <v/>
      </c>
      <c r="D67" t="str">
        <f>IFERROR('ISO · Evaluación 3'!K32,"")</f>
        <v/>
      </c>
    </row>
    <row r="68" spans="1:4" x14ac:dyDescent="0.2">
      <c r="A68">
        <v>23</v>
      </c>
      <c r="B68">
        <v>1</v>
      </c>
      <c r="C68" t="str">
        <f>IFERROR('ISO · Evaluación 1'!H33,"")</f>
        <v/>
      </c>
      <c r="D68" t="str">
        <f>IFERROR('ISO · Evaluación 1'!I33,"")</f>
        <v/>
      </c>
    </row>
    <row r="69" spans="1:4" x14ac:dyDescent="0.2">
      <c r="A69">
        <v>23</v>
      </c>
      <c r="B69">
        <v>2</v>
      </c>
      <c r="C69" t="str">
        <f>IFERROR('ISO · Evaluación 2'!J33,"")</f>
        <v/>
      </c>
      <c r="D69" t="str">
        <f>IFERROR('ISO · Evaluación 2'!K33,"")</f>
        <v/>
      </c>
    </row>
    <row r="70" spans="1:4" x14ac:dyDescent="0.2">
      <c r="A70">
        <v>23</v>
      </c>
      <c r="B70">
        <v>3</v>
      </c>
      <c r="C70" t="str">
        <f>IFERROR('ISO · Evaluación 3'!J33,"")</f>
        <v/>
      </c>
      <c r="D70" t="str">
        <f>IFERROR('ISO · Evaluación 3'!K33,"")</f>
        <v/>
      </c>
    </row>
    <row r="71" spans="1:4" x14ac:dyDescent="0.2">
      <c r="A71">
        <v>24</v>
      </c>
      <c r="B71">
        <v>1</v>
      </c>
      <c r="C71" t="str">
        <f>IFERROR('ISO · Evaluación 1'!H34,"")</f>
        <v/>
      </c>
      <c r="D71" t="str">
        <f>IFERROR('ISO · Evaluación 1'!I34,"")</f>
        <v/>
      </c>
    </row>
    <row r="72" spans="1:4" x14ac:dyDescent="0.2">
      <c r="A72">
        <v>24</v>
      </c>
      <c r="B72">
        <v>2</v>
      </c>
      <c r="C72" t="str">
        <f>IFERROR('ISO · Evaluación 2'!J34,"")</f>
        <v/>
      </c>
      <c r="D72" t="str">
        <f>IFERROR('ISO · Evaluación 2'!K34,"")</f>
        <v/>
      </c>
    </row>
    <row r="73" spans="1:4" x14ac:dyDescent="0.2">
      <c r="A73">
        <v>24</v>
      </c>
      <c r="B73">
        <v>3</v>
      </c>
      <c r="C73" t="str">
        <f>IFERROR('ISO · Evaluación 3'!J34,"")</f>
        <v/>
      </c>
      <c r="D73" t="str">
        <f>IFERROR('ISO · Evaluación 3'!K34,"")</f>
        <v/>
      </c>
    </row>
    <row r="74" spans="1:4" x14ac:dyDescent="0.2">
      <c r="A74">
        <v>25</v>
      </c>
      <c r="B74">
        <v>1</v>
      </c>
      <c r="C74" t="str">
        <f>IFERROR('ISO · Evaluación 1'!H35,"")</f>
        <v/>
      </c>
      <c r="D74" t="str">
        <f>IFERROR('ISO · Evaluación 1'!I35,"")</f>
        <v/>
      </c>
    </row>
    <row r="75" spans="1:4" x14ac:dyDescent="0.2">
      <c r="A75">
        <v>25</v>
      </c>
      <c r="B75">
        <v>2</v>
      </c>
      <c r="C75" t="str">
        <f>IFERROR('ISO · Evaluación 2'!J35,"")</f>
        <v/>
      </c>
      <c r="D75" t="str">
        <f>IFERROR('ISO · Evaluación 2'!K35,"")</f>
        <v/>
      </c>
    </row>
    <row r="76" spans="1:4" x14ac:dyDescent="0.2">
      <c r="A76">
        <v>25</v>
      </c>
      <c r="B76">
        <v>3</v>
      </c>
      <c r="C76" t="str">
        <f>IFERROR('ISO · Evaluación 3'!J35,"")</f>
        <v/>
      </c>
      <c r="D76" t="str">
        <f>IFERROR('ISO · Evaluación 3'!K35,"")</f>
        <v/>
      </c>
    </row>
    <row r="77" spans="1:4" x14ac:dyDescent="0.2">
      <c r="A77">
        <v>26</v>
      </c>
      <c r="B77">
        <v>1</v>
      </c>
      <c r="C77" t="str">
        <f>IFERROR('ISO · Evaluación 1'!H36,"")</f>
        <v/>
      </c>
      <c r="D77" t="str">
        <f>IFERROR('ISO · Evaluación 1'!I36,"")</f>
        <v/>
      </c>
    </row>
    <row r="78" spans="1:4" x14ac:dyDescent="0.2">
      <c r="A78">
        <v>26</v>
      </c>
      <c r="B78">
        <v>2</v>
      </c>
      <c r="C78" t="str">
        <f>IFERROR('ISO · Evaluación 2'!J36,"")</f>
        <v/>
      </c>
      <c r="D78" t="str">
        <f>IFERROR('ISO · Evaluación 2'!K36,"")</f>
        <v/>
      </c>
    </row>
    <row r="79" spans="1:4" x14ac:dyDescent="0.2">
      <c r="A79">
        <v>26</v>
      </c>
      <c r="B79">
        <v>3</v>
      </c>
      <c r="C79" t="str">
        <f>IFERROR('ISO · Evaluación 3'!J36,"")</f>
        <v/>
      </c>
      <c r="D79" t="str">
        <f>IFERROR('ISO · Evaluación 3'!K36,"")</f>
        <v/>
      </c>
    </row>
    <row r="80" spans="1:4" x14ac:dyDescent="0.2">
      <c r="A80">
        <v>27</v>
      </c>
      <c r="B80">
        <v>1</v>
      </c>
      <c r="C80" t="str">
        <f>IFERROR('ISO · Evaluación 1'!H37,"")</f>
        <v/>
      </c>
      <c r="D80" t="str">
        <f>IFERROR('ISO · Evaluación 1'!I37,"")</f>
        <v/>
      </c>
    </row>
    <row r="81" spans="1:4" x14ac:dyDescent="0.2">
      <c r="A81">
        <v>27</v>
      </c>
      <c r="B81">
        <v>2</v>
      </c>
      <c r="C81" t="str">
        <f>IFERROR('ISO · Evaluación 2'!J37,"")</f>
        <v/>
      </c>
      <c r="D81" t="str">
        <f>IFERROR('ISO · Evaluación 2'!K37,"")</f>
        <v/>
      </c>
    </row>
    <row r="82" spans="1:4" x14ac:dyDescent="0.2">
      <c r="A82">
        <v>27</v>
      </c>
      <c r="B82">
        <v>3</v>
      </c>
      <c r="C82" t="str">
        <f>IFERROR('ISO · Evaluación 3'!J37,"")</f>
        <v/>
      </c>
      <c r="D82" t="str">
        <f>IFERROR('ISO · Evaluación 3'!K37,"")</f>
        <v/>
      </c>
    </row>
    <row r="83" spans="1:4" x14ac:dyDescent="0.2">
      <c r="A83">
        <v>28</v>
      </c>
      <c r="B83">
        <v>1</v>
      </c>
      <c r="C83" t="str">
        <f>IFERROR('ISO · Evaluación 1'!H38,"")</f>
        <v/>
      </c>
      <c r="D83" t="str">
        <f>IFERROR('ISO · Evaluación 1'!I38,"")</f>
        <v/>
      </c>
    </row>
    <row r="84" spans="1:4" x14ac:dyDescent="0.2">
      <c r="A84">
        <v>28</v>
      </c>
      <c r="B84">
        <v>2</v>
      </c>
      <c r="C84" t="str">
        <f>IFERROR('ISO · Evaluación 2'!J38,"")</f>
        <v/>
      </c>
      <c r="D84" t="str">
        <f>IFERROR('ISO · Evaluación 2'!K38,"")</f>
        <v/>
      </c>
    </row>
    <row r="85" spans="1:4" x14ac:dyDescent="0.2">
      <c r="A85">
        <v>28</v>
      </c>
      <c r="B85">
        <v>3</v>
      </c>
      <c r="C85" t="str">
        <f>IFERROR('ISO · Evaluación 3'!J38,"")</f>
        <v/>
      </c>
      <c r="D85" t="str">
        <f>IFERROR('ISO · Evaluación 3'!K38,"")</f>
        <v/>
      </c>
    </row>
    <row r="86" spans="1:4" x14ac:dyDescent="0.2">
      <c r="A86">
        <v>29</v>
      </c>
      <c r="B86">
        <v>1</v>
      </c>
      <c r="C86" t="str">
        <f>IFERROR('ISO · Evaluación 1'!H39,"")</f>
        <v/>
      </c>
      <c r="D86" t="str">
        <f>IFERROR('ISO · Evaluación 1'!I39,"")</f>
        <v/>
      </c>
    </row>
    <row r="87" spans="1:4" x14ac:dyDescent="0.2">
      <c r="A87">
        <v>29</v>
      </c>
      <c r="B87">
        <v>2</v>
      </c>
      <c r="C87" t="str">
        <f>IFERROR('ISO · Evaluación 2'!J39,"")</f>
        <v/>
      </c>
      <c r="D87" t="str">
        <f>IFERROR('ISO · Evaluación 2'!K39,"")</f>
        <v/>
      </c>
    </row>
    <row r="88" spans="1:4" x14ac:dyDescent="0.2">
      <c r="A88">
        <v>29</v>
      </c>
      <c r="B88">
        <v>3</v>
      </c>
      <c r="C88" t="str">
        <f>IFERROR('ISO · Evaluación 3'!J39,"")</f>
        <v/>
      </c>
      <c r="D88" t="str">
        <f>IFERROR('ISO · Evaluación 3'!K39,"")</f>
        <v/>
      </c>
    </row>
    <row r="89" spans="1:4" x14ac:dyDescent="0.2">
      <c r="A89">
        <v>30</v>
      </c>
      <c r="B89">
        <v>1</v>
      </c>
      <c r="C89" t="str">
        <f>IFERROR('ISO · Evaluación 1'!H40,"")</f>
        <v/>
      </c>
      <c r="D89" t="str">
        <f>IFERROR('ISO · Evaluación 1'!I40,"")</f>
        <v/>
      </c>
    </row>
    <row r="90" spans="1:4" x14ac:dyDescent="0.2">
      <c r="A90">
        <v>30</v>
      </c>
      <c r="B90">
        <v>2</v>
      </c>
      <c r="C90" t="str">
        <f>IFERROR('ISO · Evaluación 2'!J40,"")</f>
        <v/>
      </c>
      <c r="D90" t="str">
        <f>IFERROR('ISO · Evaluación 2'!K40,"")</f>
        <v/>
      </c>
    </row>
    <row r="91" spans="1:4" x14ac:dyDescent="0.2">
      <c r="A91">
        <v>30</v>
      </c>
      <c r="B91">
        <v>3</v>
      </c>
      <c r="C91" t="str">
        <f>IFERROR('ISO · Evaluación 3'!J40,"")</f>
        <v/>
      </c>
      <c r="D91" t="str">
        <f>IFERROR('ISO · Evaluación 3'!K40,"")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C39"/>
  <sheetViews>
    <sheetView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6" customWidth="1"/>
    <col min="3" max="3" width="8" customWidth="1"/>
    <col min="4" max="4" width="35" customWidth="1"/>
    <col min="5" max="6" width="7" customWidth="1"/>
    <col min="7" max="7" width="8" customWidth="1"/>
    <col min="8" max="8" width="24" customWidth="1"/>
    <col min="9" max="9" width="7" customWidth="1"/>
    <col min="10" max="11" width="9" customWidth="1"/>
    <col min="12" max="12" width="10" customWidth="1"/>
    <col min="13" max="13" width="22" customWidth="1"/>
    <col min="14" max="14" width="16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775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776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3" t="s">
        <v>299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15" t="s">
        <v>300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</row>
    <row r="9" spans="1:29" ht="36" customHeight="1" x14ac:dyDescent="0.2">
      <c r="B9" s="109" t="s">
        <v>301</v>
      </c>
      <c r="C9" s="109" t="s">
        <v>61</v>
      </c>
      <c r="D9" s="109" t="s">
        <v>302</v>
      </c>
      <c r="E9" s="109" t="s">
        <v>63</v>
      </c>
      <c r="F9" s="109" t="s">
        <v>64</v>
      </c>
      <c r="G9" s="109" t="s">
        <v>21</v>
      </c>
      <c r="H9" s="109" t="s">
        <v>303</v>
      </c>
      <c r="I9" s="109" t="s">
        <v>304</v>
      </c>
      <c r="J9" s="109" t="s">
        <v>305</v>
      </c>
      <c r="K9" s="109" t="s">
        <v>306</v>
      </c>
      <c r="L9" s="109" t="s">
        <v>307</v>
      </c>
      <c r="M9" s="109" t="s">
        <v>308</v>
      </c>
      <c r="N9" s="109" t="s">
        <v>161</v>
      </c>
    </row>
    <row r="10" spans="1:29" ht="22" customHeight="1" x14ac:dyDescent="0.2">
      <c r="B10" s="110" t="s">
        <v>166</v>
      </c>
      <c r="C10" s="12" t="s">
        <v>66</v>
      </c>
      <c r="D10" s="111" t="s">
        <v>777</v>
      </c>
      <c r="E10" s="112">
        <v>20</v>
      </c>
      <c r="F10" s="15" t="s">
        <v>778</v>
      </c>
      <c r="G10" s="113" t="s">
        <v>26</v>
      </c>
      <c r="H10" s="114" t="s">
        <v>779</v>
      </c>
      <c r="I10" s="15">
        <v>6</v>
      </c>
      <c r="J10" s="15" t="s">
        <v>321</v>
      </c>
      <c r="K10" s="15">
        <v>20</v>
      </c>
      <c r="L10" s="115" t="s">
        <v>780</v>
      </c>
      <c r="M10" s="116" t="s">
        <v>311</v>
      </c>
      <c r="N10" s="52" t="str">
        <f>HYPERLINK("../apuntes/04-FP/PAR/1-asir/introduccion-a-las-redes-locales/index.html","📖 Ver apunte")</f>
        <v>📖 Ver apunte</v>
      </c>
    </row>
    <row r="11" spans="1:29" ht="4" customHeight="1" x14ac:dyDescent="0.2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29" ht="22" customHeight="1" x14ac:dyDescent="0.2">
      <c r="B12" s="110" t="s">
        <v>166</v>
      </c>
      <c r="C12" s="12" t="s">
        <v>71</v>
      </c>
      <c r="D12" s="123" t="s">
        <v>781</v>
      </c>
      <c r="E12" s="83">
        <v>22</v>
      </c>
      <c r="F12" s="18" t="s">
        <v>782</v>
      </c>
      <c r="G12" s="119" t="s">
        <v>31</v>
      </c>
      <c r="H12" s="120" t="s">
        <v>322</v>
      </c>
      <c r="I12" s="18">
        <v>7</v>
      </c>
      <c r="J12" s="18" t="s">
        <v>783</v>
      </c>
      <c r="K12" s="18">
        <v>17.100000000000001</v>
      </c>
      <c r="L12" s="121" t="s">
        <v>784</v>
      </c>
      <c r="M12" s="122" t="s">
        <v>311</v>
      </c>
      <c r="N12" s="52" t="str">
        <f>HYPERLINK("../apuntes/04-FP/PAR/1-asir/dispositivos-de-red-y-medios-de-transmision/index.html","📖 Ver apunte")</f>
        <v>📖 Ver apunte</v>
      </c>
    </row>
    <row r="13" spans="1:29" ht="22" customHeight="1" x14ac:dyDescent="0.2">
      <c r="B13" s="117"/>
      <c r="C13" s="12"/>
      <c r="D13" s="124"/>
      <c r="E13" s="18"/>
      <c r="F13" s="18"/>
      <c r="G13" s="113" t="s">
        <v>26</v>
      </c>
      <c r="H13" s="114" t="s">
        <v>312</v>
      </c>
      <c r="I13" s="18">
        <v>2</v>
      </c>
      <c r="J13" s="18" t="s">
        <v>785</v>
      </c>
      <c r="K13" s="18">
        <v>4.9000000000000004</v>
      </c>
      <c r="L13" s="115" t="s">
        <v>780</v>
      </c>
      <c r="M13" s="116" t="s">
        <v>311</v>
      </c>
      <c r="N13" s="72"/>
    </row>
    <row r="14" spans="1:29" ht="4" customHeight="1" x14ac:dyDescent="0.2"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</row>
    <row r="15" spans="1:29" ht="22" customHeight="1" x14ac:dyDescent="0.2">
      <c r="B15" s="130" t="s">
        <v>175</v>
      </c>
      <c r="C15" s="12" t="s">
        <v>75</v>
      </c>
      <c r="D15" s="111" t="s">
        <v>786</v>
      </c>
      <c r="E15" s="112">
        <v>22</v>
      </c>
      <c r="F15" s="15" t="s">
        <v>782</v>
      </c>
      <c r="G15" s="131" t="s">
        <v>36</v>
      </c>
      <c r="H15" s="126" t="s">
        <v>309</v>
      </c>
      <c r="I15" s="15">
        <v>8</v>
      </c>
      <c r="J15" s="15" t="s">
        <v>321</v>
      </c>
      <c r="K15" s="15">
        <v>22</v>
      </c>
      <c r="L15" s="127" t="s">
        <v>784</v>
      </c>
      <c r="M15" s="128" t="s">
        <v>311</v>
      </c>
      <c r="N15" s="52" t="str">
        <f>HYPERLINK("../apuntes/04-FP/PAR/1-asir/configuracion-y-administracion-de-conmutadores/index.html","📖 Ver apunte")</f>
        <v>📖 Ver apunte</v>
      </c>
    </row>
    <row r="16" spans="1:29" ht="4" customHeight="1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22" customHeight="1" x14ac:dyDescent="0.2">
      <c r="B17" s="130" t="s">
        <v>175</v>
      </c>
      <c r="C17" s="12" t="s">
        <v>80</v>
      </c>
      <c r="D17" s="123" t="s">
        <v>787</v>
      </c>
      <c r="E17" s="83">
        <v>28</v>
      </c>
      <c r="F17" s="18" t="s">
        <v>788</v>
      </c>
      <c r="G17" s="132" t="s">
        <v>40</v>
      </c>
      <c r="H17" s="133" t="s">
        <v>326</v>
      </c>
      <c r="I17" s="18">
        <v>9</v>
      </c>
      <c r="J17" s="18" t="s">
        <v>321</v>
      </c>
      <c r="K17" s="18">
        <v>28</v>
      </c>
      <c r="L17" s="134" t="s">
        <v>789</v>
      </c>
      <c r="M17" s="135" t="s">
        <v>311</v>
      </c>
      <c r="N17" s="52" t="str">
        <f>HYPERLINK("../apuntes/04-FP/PAR/1-asir/configuracion-y-administracion-de-routers/index.html","📖 Ver apunte")</f>
        <v>📖 Ver apunte</v>
      </c>
    </row>
    <row r="18" spans="2:14" ht="4" customHeight="1" x14ac:dyDescent="0.2"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</row>
    <row r="19" spans="2:14" ht="22" customHeight="1" x14ac:dyDescent="0.2">
      <c r="B19" s="130" t="s">
        <v>175</v>
      </c>
      <c r="C19" s="12" t="s">
        <v>82</v>
      </c>
      <c r="D19" s="111" t="s">
        <v>790</v>
      </c>
      <c r="E19" s="112">
        <v>20</v>
      </c>
      <c r="F19" s="15" t="s">
        <v>778</v>
      </c>
      <c r="G19" s="136" t="s">
        <v>44</v>
      </c>
      <c r="H19" s="137" t="s">
        <v>779</v>
      </c>
      <c r="I19" s="15">
        <v>6</v>
      </c>
      <c r="J19" s="15" t="s">
        <v>791</v>
      </c>
      <c r="K19" s="15">
        <v>17.100000000000001</v>
      </c>
      <c r="L19" s="138" t="s">
        <v>792</v>
      </c>
      <c r="M19" s="139" t="s">
        <v>164</v>
      </c>
      <c r="N19" s="52" t="str">
        <f>HYPERLINK("../apuntes/04-FP/PAR/1-asir/configuracion-de-redes-inalambricas/index.html","📖 Ver apunte")</f>
        <v>📖 Ver apunte</v>
      </c>
    </row>
    <row r="20" spans="2:14" ht="22" customHeight="1" x14ac:dyDescent="0.2">
      <c r="B20" s="117"/>
      <c r="C20" s="12"/>
      <c r="D20" s="118"/>
      <c r="E20" s="15"/>
      <c r="F20" s="15"/>
      <c r="G20" s="132" t="s">
        <v>40</v>
      </c>
      <c r="H20" s="133" t="s">
        <v>531</v>
      </c>
      <c r="I20" s="15">
        <v>1</v>
      </c>
      <c r="J20" s="15" t="s">
        <v>793</v>
      </c>
      <c r="K20" s="15">
        <v>2.9</v>
      </c>
      <c r="L20" s="134" t="s">
        <v>789</v>
      </c>
      <c r="M20" s="135" t="s">
        <v>311</v>
      </c>
      <c r="N20" s="71"/>
    </row>
    <row r="21" spans="2:14" ht="4" customHeight="1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22" customHeight="1" x14ac:dyDescent="0.2">
      <c r="B22" s="140" t="s">
        <v>185</v>
      </c>
      <c r="C22" s="12" t="s">
        <v>84</v>
      </c>
      <c r="D22" s="123" t="s">
        <v>794</v>
      </c>
      <c r="E22" s="83">
        <v>22</v>
      </c>
      <c r="F22" s="18" t="s">
        <v>782</v>
      </c>
      <c r="G22" s="132" t="s">
        <v>40</v>
      </c>
      <c r="H22" s="133" t="s">
        <v>795</v>
      </c>
      <c r="I22" s="18">
        <v>2</v>
      </c>
      <c r="J22" s="18" t="s">
        <v>321</v>
      </c>
      <c r="K22" s="18">
        <v>22</v>
      </c>
      <c r="L22" s="134" t="s">
        <v>789</v>
      </c>
      <c r="M22" s="135" t="s">
        <v>311</v>
      </c>
      <c r="N22" s="52" t="str">
        <f>HYPERLINK("../apuntes/04-FP/PAR/1-asir/introduccion-a-las-redes-wan-y-servicios-de-red/index.html","📖 Ver apunte")</f>
        <v>📖 Ver apunte</v>
      </c>
    </row>
    <row r="23" spans="2:14" ht="4" customHeight="1" x14ac:dyDescent="0.2"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</row>
    <row r="24" spans="2:14" ht="22" customHeight="1" x14ac:dyDescent="0.2">
      <c r="B24" s="140" t="s">
        <v>185</v>
      </c>
      <c r="C24" s="12" t="s">
        <v>87</v>
      </c>
      <c r="D24" s="111" t="s">
        <v>796</v>
      </c>
      <c r="E24" s="112">
        <v>21</v>
      </c>
      <c r="F24" s="15" t="s">
        <v>797</v>
      </c>
      <c r="G24" s="145" t="s">
        <v>798</v>
      </c>
      <c r="H24" s="142" t="s">
        <v>322</v>
      </c>
      <c r="I24" s="15">
        <v>7</v>
      </c>
      <c r="J24" s="15" t="s">
        <v>321</v>
      </c>
      <c r="K24" s="15">
        <v>21</v>
      </c>
      <c r="L24" s="143" t="s">
        <v>792</v>
      </c>
      <c r="M24" s="144" t="s">
        <v>331</v>
      </c>
      <c r="N24" s="52" t="str">
        <f>HYPERLINK("../apuntes/04-FP/PAR/1-asir/resolucion-de-incidencias-de-red/index.html","📖 Ver apunte")</f>
        <v>📖 Ver apunte</v>
      </c>
    </row>
    <row r="25" spans="2:14" ht="4" customHeight="1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7" spans="2:14" ht="20" customHeight="1" x14ac:dyDescent="0.2">
      <c r="B27" s="315" t="s">
        <v>332</v>
      </c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</row>
    <row r="28" spans="2:14" ht="22" customHeight="1" x14ac:dyDescent="0.2">
      <c r="B28" s="149" t="s">
        <v>301</v>
      </c>
      <c r="C28" s="149" t="s">
        <v>21</v>
      </c>
      <c r="D28" s="149" t="s">
        <v>22</v>
      </c>
      <c r="E28" s="149" t="s">
        <v>333</v>
      </c>
      <c r="F28" s="149" t="s">
        <v>24</v>
      </c>
      <c r="G28" s="149" t="s">
        <v>334</v>
      </c>
      <c r="H28" s="322" t="s">
        <v>308</v>
      </c>
      <c r="I28" s="323"/>
      <c r="J28" s="323"/>
      <c r="K28" s="323"/>
      <c r="L28" s="323"/>
      <c r="M28" s="323"/>
      <c r="N28" s="324"/>
    </row>
    <row r="29" spans="2:14" ht="20" customHeight="1" x14ac:dyDescent="0.2">
      <c r="B29" s="110" t="s">
        <v>166</v>
      </c>
      <c r="C29" s="113" t="s">
        <v>26</v>
      </c>
      <c r="D29" s="118" t="s">
        <v>799</v>
      </c>
      <c r="E29" s="15">
        <v>8</v>
      </c>
      <c r="F29" s="15" t="s">
        <v>800</v>
      </c>
      <c r="G29" s="115" t="s">
        <v>780</v>
      </c>
      <c r="H29" s="317" t="s">
        <v>311</v>
      </c>
      <c r="I29" s="292"/>
      <c r="J29" s="292"/>
      <c r="K29" s="292"/>
      <c r="L29" s="292"/>
      <c r="M29" s="292"/>
      <c r="N29" s="292"/>
    </row>
    <row r="30" spans="2:14" ht="20" customHeight="1" x14ac:dyDescent="0.2">
      <c r="B30" s="110" t="s">
        <v>166</v>
      </c>
      <c r="C30" s="119" t="s">
        <v>31</v>
      </c>
      <c r="D30" s="124" t="s">
        <v>801</v>
      </c>
      <c r="E30" s="18">
        <v>7</v>
      </c>
      <c r="F30" s="18" t="s">
        <v>802</v>
      </c>
      <c r="G30" s="121" t="s">
        <v>784</v>
      </c>
      <c r="H30" s="318" t="s">
        <v>311</v>
      </c>
      <c r="I30" s="292"/>
      <c r="J30" s="292"/>
      <c r="K30" s="292"/>
      <c r="L30" s="292"/>
      <c r="M30" s="292"/>
      <c r="N30" s="292"/>
    </row>
    <row r="31" spans="2:14" ht="20" customHeight="1" x14ac:dyDescent="0.2">
      <c r="B31" s="130" t="s">
        <v>175</v>
      </c>
      <c r="C31" s="131" t="s">
        <v>36</v>
      </c>
      <c r="D31" s="118" t="s">
        <v>803</v>
      </c>
      <c r="E31" s="15">
        <v>8</v>
      </c>
      <c r="F31" s="15" t="s">
        <v>50</v>
      </c>
      <c r="G31" s="127" t="s">
        <v>784</v>
      </c>
      <c r="H31" s="313" t="s">
        <v>311</v>
      </c>
      <c r="I31" s="292"/>
      <c r="J31" s="292"/>
      <c r="K31" s="292"/>
      <c r="L31" s="292"/>
      <c r="M31" s="292"/>
      <c r="N31" s="292"/>
    </row>
    <row r="32" spans="2:14" ht="20" customHeight="1" x14ac:dyDescent="0.2">
      <c r="B32" s="130" t="s">
        <v>175</v>
      </c>
      <c r="C32" s="132" t="s">
        <v>40</v>
      </c>
      <c r="D32" s="124" t="s">
        <v>804</v>
      </c>
      <c r="E32" s="18">
        <v>12</v>
      </c>
      <c r="F32" s="18" t="s">
        <v>805</v>
      </c>
      <c r="G32" s="134" t="s">
        <v>789</v>
      </c>
      <c r="H32" s="312" t="s">
        <v>311</v>
      </c>
      <c r="I32" s="292"/>
      <c r="J32" s="292"/>
      <c r="K32" s="292"/>
      <c r="L32" s="292"/>
      <c r="M32" s="292"/>
      <c r="N32" s="292"/>
    </row>
    <row r="33" spans="2:14" ht="20" customHeight="1" x14ac:dyDescent="0.2">
      <c r="B33" s="130" t="s">
        <v>175</v>
      </c>
      <c r="C33" s="136" t="s">
        <v>44</v>
      </c>
      <c r="D33" s="118" t="s">
        <v>806</v>
      </c>
      <c r="E33" s="15">
        <v>6</v>
      </c>
      <c r="F33" s="15" t="s">
        <v>802</v>
      </c>
      <c r="G33" s="138" t="s">
        <v>792</v>
      </c>
      <c r="H33" s="320" t="s">
        <v>164</v>
      </c>
      <c r="I33" s="292"/>
      <c r="J33" s="292"/>
      <c r="K33" s="292"/>
      <c r="L33" s="292"/>
      <c r="M33" s="292"/>
      <c r="N33" s="292"/>
    </row>
    <row r="34" spans="2:14" ht="20" customHeight="1" x14ac:dyDescent="0.2">
      <c r="B34" s="140" t="s">
        <v>185</v>
      </c>
      <c r="C34" s="145" t="s">
        <v>798</v>
      </c>
      <c r="D34" s="124" t="s">
        <v>807</v>
      </c>
      <c r="E34" s="18">
        <v>7</v>
      </c>
      <c r="F34" s="18" t="s">
        <v>808</v>
      </c>
      <c r="G34" s="143" t="s">
        <v>792</v>
      </c>
      <c r="H34" s="316" t="s">
        <v>331</v>
      </c>
      <c r="I34" s="292"/>
      <c r="J34" s="292"/>
      <c r="K34" s="292"/>
      <c r="L34" s="292"/>
      <c r="M34" s="292"/>
      <c r="N34" s="292"/>
    </row>
    <row r="35" spans="2:14" ht="20" customHeight="1" x14ac:dyDescent="0.2">
      <c r="B35" s="311" t="s">
        <v>809</v>
      </c>
      <c r="C35" s="292"/>
      <c r="D35" s="292"/>
      <c r="E35" s="12">
        <v>48</v>
      </c>
      <c r="F35" s="12" t="s">
        <v>112</v>
      </c>
      <c r="G35" s="12" t="s">
        <v>95</v>
      </c>
      <c r="H35" s="321"/>
      <c r="I35" s="292"/>
      <c r="J35" s="292"/>
      <c r="K35" s="292"/>
      <c r="L35" s="292"/>
      <c r="M35" s="292"/>
      <c r="N35" s="292"/>
    </row>
    <row r="37" spans="2:14" ht="14" customHeight="1" x14ac:dyDescent="0.2">
      <c r="B37" s="319" t="s">
        <v>343</v>
      </c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</row>
    <row r="38" spans="2:14" ht="80" customHeight="1" x14ac:dyDescent="0.2">
      <c r="B38" s="314" t="s">
        <v>810</v>
      </c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</row>
    <row r="39" spans="2:14" ht="16" customHeight="1" x14ac:dyDescent="0.2">
      <c r="B39" s="309" t="s">
        <v>811</v>
      </c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</row>
  </sheetData>
  <mergeCells count="16">
    <mergeCell ref="B2:K2"/>
    <mergeCell ref="H32:N32"/>
    <mergeCell ref="B38:N38"/>
    <mergeCell ref="B3:K3"/>
    <mergeCell ref="H33:N33"/>
    <mergeCell ref="B8:N8"/>
    <mergeCell ref="H30:N30"/>
    <mergeCell ref="B35:D35"/>
    <mergeCell ref="H34:N34"/>
    <mergeCell ref="H29:N29"/>
    <mergeCell ref="H35:N35"/>
    <mergeCell ref="B37:N37"/>
    <mergeCell ref="H28:N28"/>
    <mergeCell ref="H31:N31"/>
    <mergeCell ref="B27:N27"/>
    <mergeCell ref="B39:N39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C39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25" customWidth="1"/>
    <col min="4" max="4" width="20" customWidth="1"/>
    <col min="5" max="5" width="12" customWidth="1"/>
    <col min="6" max="6" width="15" customWidth="1"/>
    <col min="7" max="8" width="28" customWidth="1"/>
    <col min="9" max="9" width="15" customWidth="1"/>
    <col min="10" max="10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346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347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3" t="s">
        <v>348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8" customHeight="1" x14ac:dyDescent="0.2">
      <c r="B8" s="150" t="s">
        <v>349</v>
      </c>
      <c r="C8" s="151">
        <f>COUNTIF(J9:J38,"Activo")</f>
        <v>29</v>
      </c>
      <c r="D8" s="150" t="s">
        <v>350</v>
      </c>
      <c r="E8" s="152">
        <f>COUNTIF(J9:J38,"Baja")</f>
        <v>0</v>
      </c>
      <c r="F8" s="150" t="s">
        <v>351</v>
      </c>
      <c r="G8" s="153">
        <f>COUNTIF(J9:J38,"Pendiente")</f>
        <v>0</v>
      </c>
    </row>
    <row r="9" spans="1:29" ht="22" customHeight="1" x14ac:dyDescent="0.2">
      <c r="B9" s="12" t="s">
        <v>352</v>
      </c>
      <c r="C9" s="12" t="s">
        <v>353</v>
      </c>
      <c r="D9" s="12" t="s">
        <v>257</v>
      </c>
      <c r="E9" s="12" t="s">
        <v>354</v>
      </c>
      <c r="F9" s="12" t="s">
        <v>355</v>
      </c>
      <c r="G9" s="12" t="s">
        <v>356</v>
      </c>
      <c r="H9" s="12" t="s">
        <v>357</v>
      </c>
      <c r="I9" s="12" t="s">
        <v>358</v>
      </c>
      <c r="J9" s="12" t="s">
        <v>232</v>
      </c>
    </row>
    <row r="10" spans="1:29" ht="18" customHeight="1" x14ac:dyDescent="0.2">
      <c r="B10" s="154">
        <v>1</v>
      </c>
      <c r="C10" s="155"/>
      <c r="D10" s="155"/>
      <c r="E10" s="155"/>
      <c r="F10" s="155"/>
      <c r="G10" s="155"/>
      <c r="H10" s="155"/>
      <c r="I10" s="155"/>
      <c r="J10" s="79" t="s">
        <v>359</v>
      </c>
    </row>
    <row r="11" spans="1:29" ht="18" customHeight="1" x14ac:dyDescent="0.2">
      <c r="B11" s="154">
        <v>2</v>
      </c>
      <c r="C11" s="156"/>
      <c r="D11" s="156"/>
      <c r="E11" s="156"/>
      <c r="F11" s="156"/>
      <c r="G11" s="156"/>
      <c r="H11" s="156"/>
      <c r="I11" s="156"/>
      <c r="J11" s="79" t="s">
        <v>359</v>
      </c>
    </row>
    <row r="12" spans="1:29" ht="18" customHeight="1" x14ac:dyDescent="0.2">
      <c r="B12" s="154">
        <v>3</v>
      </c>
      <c r="C12" s="155"/>
      <c r="D12" s="155"/>
      <c r="E12" s="155"/>
      <c r="F12" s="155"/>
      <c r="G12" s="155"/>
      <c r="H12" s="155"/>
      <c r="I12" s="155"/>
      <c r="J12" s="79" t="s">
        <v>359</v>
      </c>
    </row>
    <row r="13" spans="1:29" ht="18" customHeight="1" x14ac:dyDescent="0.2">
      <c r="B13" s="154">
        <v>4</v>
      </c>
      <c r="C13" s="156"/>
      <c r="D13" s="156"/>
      <c r="E13" s="156"/>
      <c r="F13" s="156"/>
      <c r="G13" s="156"/>
      <c r="H13" s="156"/>
      <c r="I13" s="156"/>
      <c r="J13" s="79" t="s">
        <v>359</v>
      </c>
    </row>
    <row r="14" spans="1:29" ht="18" customHeight="1" x14ac:dyDescent="0.2">
      <c r="B14" s="154">
        <v>5</v>
      </c>
      <c r="C14" s="155"/>
      <c r="D14" s="155"/>
      <c r="E14" s="155"/>
      <c r="F14" s="155"/>
      <c r="G14" s="155"/>
      <c r="H14" s="155"/>
      <c r="I14" s="155"/>
      <c r="J14" s="79" t="s">
        <v>359</v>
      </c>
    </row>
    <row r="15" spans="1:29" ht="18" customHeight="1" x14ac:dyDescent="0.2">
      <c r="B15" s="154">
        <v>6</v>
      </c>
      <c r="C15" s="156"/>
      <c r="D15" s="156"/>
      <c r="E15" s="156"/>
      <c r="F15" s="156"/>
      <c r="G15" s="156"/>
      <c r="H15" s="156"/>
      <c r="I15" s="156"/>
      <c r="J15" s="79" t="s">
        <v>359</v>
      </c>
    </row>
    <row r="16" spans="1:29" ht="18" customHeight="1" x14ac:dyDescent="0.2">
      <c r="B16" s="154">
        <v>7</v>
      </c>
      <c r="C16" s="155"/>
      <c r="D16" s="155"/>
      <c r="E16" s="155"/>
      <c r="F16" s="155"/>
      <c r="G16" s="155"/>
      <c r="H16" s="155"/>
      <c r="I16" s="155"/>
      <c r="J16" s="79" t="s">
        <v>359</v>
      </c>
    </row>
    <row r="17" spans="2:10" ht="18" customHeight="1" x14ac:dyDescent="0.2">
      <c r="B17" s="154">
        <v>8</v>
      </c>
      <c r="C17" s="156"/>
      <c r="D17" s="156"/>
      <c r="E17" s="156"/>
      <c r="F17" s="156"/>
      <c r="G17" s="156"/>
      <c r="H17" s="156"/>
      <c r="I17" s="156"/>
      <c r="J17" s="79" t="s">
        <v>359</v>
      </c>
    </row>
    <row r="18" spans="2:10" ht="18" customHeight="1" x14ac:dyDescent="0.2">
      <c r="B18" s="154">
        <v>9</v>
      </c>
      <c r="C18" s="155"/>
      <c r="D18" s="155"/>
      <c r="E18" s="155"/>
      <c r="F18" s="155"/>
      <c r="G18" s="155"/>
      <c r="H18" s="155"/>
      <c r="I18" s="155"/>
      <c r="J18" s="79" t="s">
        <v>359</v>
      </c>
    </row>
    <row r="19" spans="2:10" ht="18" customHeight="1" x14ac:dyDescent="0.2">
      <c r="B19" s="154">
        <v>10</v>
      </c>
      <c r="C19" s="156"/>
      <c r="D19" s="156"/>
      <c r="E19" s="156"/>
      <c r="F19" s="156"/>
      <c r="G19" s="156"/>
      <c r="H19" s="156"/>
      <c r="I19" s="156"/>
      <c r="J19" s="79" t="s">
        <v>359</v>
      </c>
    </row>
    <row r="20" spans="2:10" ht="18" customHeight="1" x14ac:dyDescent="0.2">
      <c r="B20" s="154">
        <v>11</v>
      </c>
      <c r="C20" s="155"/>
      <c r="D20" s="155"/>
      <c r="E20" s="155"/>
      <c r="F20" s="155"/>
      <c r="G20" s="155"/>
      <c r="H20" s="155"/>
      <c r="I20" s="155"/>
      <c r="J20" s="79" t="s">
        <v>359</v>
      </c>
    </row>
    <row r="21" spans="2:10" ht="18" customHeight="1" x14ac:dyDescent="0.2">
      <c r="B21" s="154">
        <v>12</v>
      </c>
      <c r="C21" s="156"/>
      <c r="D21" s="156"/>
      <c r="E21" s="156"/>
      <c r="F21" s="156"/>
      <c r="G21" s="156"/>
      <c r="H21" s="156"/>
      <c r="I21" s="156"/>
      <c r="J21" s="79" t="s">
        <v>359</v>
      </c>
    </row>
    <row r="22" spans="2:10" ht="18" customHeight="1" x14ac:dyDescent="0.2">
      <c r="B22" s="154">
        <v>13</v>
      </c>
      <c r="C22" s="155"/>
      <c r="D22" s="155"/>
      <c r="E22" s="155"/>
      <c r="F22" s="155"/>
      <c r="G22" s="155"/>
      <c r="H22" s="155"/>
      <c r="I22" s="155"/>
      <c r="J22" s="79" t="s">
        <v>359</v>
      </c>
    </row>
    <row r="23" spans="2:10" ht="18" customHeight="1" x14ac:dyDescent="0.2">
      <c r="B23" s="154">
        <v>14</v>
      </c>
      <c r="C23" s="156"/>
      <c r="D23" s="156"/>
      <c r="E23" s="156"/>
      <c r="F23" s="156"/>
      <c r="G23" s="156"/>
      <c r="H23" s="156"/>
      <c r="I23" s="156"/>
      <c r="J23" s="79" t="s">
        <v>359</v>
      </c>
    </row>
    <row r="24" spans="2:10" ht="18" customHeight="1" x14ac:dyDescent="0.2">
      <c r="B24" s="154">
        <v>15</v>
      </c>
      <c r="C24" s="155"/>
      <c r="D24" s="155"/>
      <c r="E24" s="155"/>
      <c r="F24" s="155"/>
      <c r="G24" s="155"/>
      <c r="H24" s="155"/>
      <c r="I24" s="155"/>
      <c r="J24" s="79" t="s">
        <v>359</v>
      </c>
    </row>
    <row r="25" spans="2:10" ht="18" customHeight="1" x14ac:dyDescent="0.2">
      <c r="B25" s="154">
        <v>16</v>
      </c>
      <c r="C25" s="156"/>
      <c r="D25" s="156"/>
      <c r="E25" s="156"/>
      <c r="F25" s="156"/>
      <c r="G25" s="156"/>
      <c r="H25" s="156"/>
      <c r="I25" s="156"/>
      <c r="J25" s="79" t="s">
        <v>359</v>
      </c>
    </row>
    <row r="26" spans="2:10" ht="18" customHeight="1" x14ac:dyDescent="0.2">
      <c r="B26" s="154">
        <v>17</v>
      </c>
      <c r="C26" s="155"/>
      <c r="D26" s="155"/>
      <c r="E26" s="155"/>
      <c r="F26" s="155"/>
      <c r="G26" s="155"/>
      <c r="H26" s="155"/>
      <c r="I26" s="155"/>
      <c r="J26" s="79" t="s">
        <v>359</v>
      </c>
    </row>
    <row r="27" spans="2:10" ht="18" customHeight="1" x14ac:dyDescent="0.2">
      <c r="B27" s="154">
        <v>18</v>
      </c>
      <c r="C27" s="156"/>
      <c r="D27" s="156"/>
      <c r="E27" s="156"/>
      <c r="F27" s="156"/>
      <c r="G27" s="156"/>
      <c r="H27" s="156"/>
      <c r="I27" s="156"/>
      <c r="J27" s="79" t="s">
        <v>359</v>
      </c>
    </row>
    <row r="28" spans="2:10" ht="18" customHeight="1" x14ac:dyDescent="0.2">
      <c r="B28" s="154">
        <v>19</v>
      </c>
      <c r="C28" s="155"/>
      <c r="D28" s="155"/>
      <c r="E28" s="155"/>
      <c r="F28" s="155"/>
      <c r="G28" s="155"/>
      <c r="H28" s="155"/>
      <c r="I28" s="155"/>
      <c r="J28" s="79" t="s">
        <v>359</v>
      </c>
    </row>
    <row r="29" spans="2:10" ht="18" customHeight="1" x14ac:dyDescent="0.2">
      <c r="B29" s="154">
        <v>20</v>
      </c>
      <c r="C29" s="156"/>
      <c r="D29" s="156"/>
      <c r="E29" s="156"/>
      <c r="F29" s="156"/>
      <c r="G29" s="156"/>
      <c r="H29" s="156"/>
      <c r="I29" s="156"/>
      <c r="J29" s="79" t="s">
        <v>359</v>
      </c>
    </row>
    <row r="30" spans="2:10" ht="18" customHeight="1" x14ac:dyDescent="0.2">
      <c r="B30" s="154">
        <v>21</v>
      </c>
      <c r="C30" s="155"/>
      <c r="D30" s="155"/>
      <c r="E30" s="155"/>
      <c r="F30" s="155"/>
      <c r="G30" s="155"/>
      <c r="H30" s="155"/>
      <c r="I30" s="155"/>
      <c r="J30" s="79" t="s">
        <v>359</v>
      </c>
    </row>
    <row r="31" spans="2:10" ht="18" customHeight="1" x14ac:dyDescent="0.2">
      <c r="B31" s="154">
        <v>22</v>
      </c>
      <c r="C31" s="156"/>
      <c r="D31" s="156"/>
      <c r="E31" s="156"/>
      <c r="F31" s="156"/>
      <c r="G31" s="156"/>
      <c r="H31" s="156"/>
      <c r="I31" s="156"/>
      <c r="J31" s="79" t="s">
        <v>359</v>
      </c>
    </row>
    <row r="32" spans="2:10" ht="18" customHeight="1" x14ac:dyDescent="0.2">
      <c r="B32" s="154">
        <v>23</v>
      </c>
      <c r="C32" s="155"/>
      <c r="D32" s="155"/>
      <c r="E32" s="155"/>
      <c r="F32" s="155"/>
      <c r="G32" s="155"/>
      <c r="H32" s="155"/>
      <c r="I32" s="155"/>
      <c r="J32" s="79" t="s">
        <v>359</v>
      </c>
    </row>
    <row r="33" spans="2:10" ht="18" customHeight="1" x14ac:dyDescent="0.2">
      <c r="B33" s="154">
        <v>24</v>
      </c>
      <c r="C33" s="156"/>
      <c r="D33" s="156"/>
      <c r="E33" s="156"/>
      <c r="F33" s="156"/>
      <c r="G33" s="156"/>
      <c r="H33" s="156"/>
      <c r="I33" s="156"/>
      <c r="J33" s="79" t="s">
        <v>359</v>
      </c>
    </row>
    <row r="34" spans="2:10" ht="18" customHeight="1" x14ac:dyDescent="0.2">
      <c r="B34" s="154">
        <v>25</v>
      </c>
      <c r="C34" s="155"/>
      <c r="D34" s="155"/>
      <c r="E34" s="155"/>
      <c r="F34" s="155"/>
      <c r="G34" s="155"/>
      <c r="H34" s="155"/>
      <c r="I34" s="155"/>
      <c r="J34" s="79" t="s">
        <v>359</v>
      </c>
    </row>
    <row r="35" spans="2:10" ht="18" customHeight="1" x14ac:dyDescent="0.2">
      <c r="B35" s="154">
        <v>26</v>
      </c>
      <c r="C35" s="156"/>
      <c r="D35" s="156"/>
      <c r="E35" s="156"/>
      <c r="F35" s="156"/>
      <c r="G35" s="156"/>
      <c r="H35" s="156"/>
      <c r="I35" s="156"/>
      <c r="J35" s="79" t="s">
        <v>359</v>
      </c>
    </row>
    <row r="36" spans="2:10" ht="18" customHeight="1" x14ac:dyDescent="0.2">
      <c r="B36" s="154">
        <v>27</v>
      </c>
      <c r="C36" s="155"/>
      <c r="D36" s="155"/>
      <c r="E36" s="155"/>
      <c r="F36" s="155"/>
      <c r="G36" s="155"/>
      <c r="H36" s="155"/>
      <c r="I36" s="155"/>
      <c r="J36" s="79" t="s">
        <v>359</v>
      </c>
    </row>
    <row r="37" spans="2:10" ht="18" customHeight="1" x14ac:dyDescent="0.2">
      <c r="B37" s="154">
        <v>28</v>
      </c>
      <c r="C37" s="156"/>
      <c r="D37" s="156"/>
      <c r="E37" s="156"/>
      <c r="F37" s="156"/>
      <c r="G37" s="156"/>
      <c r="H37" s="156"/>
      <c r="I37" s="156"/>
      <c r="J37" s="79" t="s">
        <v>359</v>
      </c>
    </row>
    <row r="38" spans="2:10" ht="18" customHeight="1" x14ac:dyDescent="0.2">
      <c r="B38" s="154">
        <v>29</v>
      </c>
      <c r="C38" s="155"/>
      <c r="D38" s="155"/>
      <c r="E38" s="155"/>
      <c r="F38" s="155"/>
      <c r="G38" s="155"/>
      <c r="H38" s="155"/>
      <c r="I38" s="155"/>
      <c r="J38" s="79" t="s">
        <v>359</v>
      </c>
    </row>
    <row r="39" spans="2:10" ht="18" customHeight="1" x14ac:dyDescent="0.2">
      <c r="B39" s="154">
        <v>30</v>
      </c>
      <c r="C39" s="156"/>
      <c r="D39" s="156"/>
      <c r="E39" s="156"/>
      <c r="F39" s="156"/>
      <c r="G39" s="156"/>
      <c r="H39" s="156"/>
      <c r="I39" s="156"/>
      <c r="J39" s="79" t="s">
        <v>359</v>
      </c>
    </row>
  </sheetData>
  <mergeCells count="2">
    <mergeCell ref="B3:K3"/>
    <mergeCell ref="B2:K2"/>
  </mergeCells>
  <dataValidations count="1">
    <dataValidation type="list" errorTitle="Valor no válido" error="Usa el desplegable: Activo, Pendiente o Baja" prompt="Selecciona el estado del alumno/a" sqref="J10:J39" xr:uid="{00000000-0002-0000-2000-000000000000}">
      <formula1>"Activo,Pendiente,Baja"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C23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3" width="6" customWidth="1"/>
    <col min="4" max="5" width="7" customWidth="1"/>
    <col min="6" max="6" width="26" customWidth="1"/>
    <col min="7" max="7" width="38" customWidth="1"/>
    <col min="8" max="8" width="14" customWidth="1"/>
    <col min="9" max="9" width="12" customWidth="1"/>
    <col min="10" max="10" width="8" customWidth="1"/>
    <col min="11" max="11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812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813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3" t="s">
        <v>362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157" t="s">
        <v>363</v>
      </c>
    </row>
    <row r="9" spans="1:29" ht="34" customHeight="1" x14ac:dyDescent="0.2">
      <c r="B9" s="158" t="s">
        <v>155</v>
      </c>
      <c r="C9" s="158" t="s">
        <v>301</v>
      </c>
      <c r="D9" s="158" t="s">
        <v>61</v>
      </c>
      <c r="E9" s="158" t="s">
        <v>21</v>
      </c>
      <c r="F9" s="158" t="s">
        <v>364</v>
      </c>
      <c r="G9" s="158" t="s">
        <v>365</v>
      </c>
      <c r="H9" s="158" t="s">
        <v>157</v>
      </c>
      <c r="I9" s="158" t="s">
        <v>231</v>
      </c>
      <c r="J9" s="158" t="s">
        <v>366</v>
      </c>
      <c r="K9" s="158" t="s">
        <v>367</v>
      </c>
    </row>
    <row r="10" spans="1:29" ht="20" customHeight="1" x14ac:dyDescent="0.2">
      <c r="B10" s="159" t="s">
        <v>162</v>
      </c>
      <c r="C10" s="160" t="s">
        <v>166</v>
      </c>
      <c r="D10" s="161" t="s">
        <v>66</v>
      </c>
      <c r="E10" s="160" t="s">
        <v>26</v>
      </c>
      <c r="F10" s="114" t="s">
        <v>779</v>
      </c>
      <c r="G10" s="162" t="s">
        <v>204</v>
      </c>
      <c r="H10" s="57" t="s">
        <v>164</v>
      </c>
      <c r="I10" s="57" t="s">
        <v>368</v>
      </c>
      <c r="J10" s="51"/>
      <c r="K10" s="53">
        <v>10</v>
      </c>
    </row>
    <row r="11" spans="1:29" ht="20" customHeight="1" x14ac:dyDescent="0.2">
      <c r="B11" s="159" t="s">
        <v>167</v>
      </c>
      <c r="C11" s="160" t="s">
        <v>166</v>
      </c>
      <c r="D11" s="161" t="s">
        <v>71</v>
      </c>
      <c r="E11" s="163" t="s">
        <v>31</v>
      </c>
      <c r="F11" s="120" t="s">
        <v>322</v>
      </c>
      <c r="G11" s="162" t="s">
        <v>206</v>
      </c>
      <c r="H11" s="57" t="s">
        <v>164</v>
      </c>
      <c r="I11" s="57" t="s">
        <v>368</v>
      </c>
      <c r="J11" s="51"/>
      <c r="K11" s="53">
        <v>10</v>
      </c>
    </row>
    <row r="12" spans="1:29" ht="20" customHeight="1" x14ac:dyDescent="0.2">
      <c r="B12" s="159" t="s">
        <v>169</v>
      </c>
      <c r="C12" s="160" t="s">
        <v>166</v>
      </c>
      <c r="D12" s="161" t="s">
        <v>71</v>
      </c>
      <c r="E12" s="160" t="s">
        <v>26</v>
      </c>
      <c r="F12" s="114" t="s">
        <v>312</v>
      </c>
      <c r="G12" s="162" t="s">
        <v>208</v>
      </c>
      <c r="H12" s="57" t="s">
        <v>164</v>
      </c>
      <c r="I12" s="57" t="s">
        <v>368</v>
      </c>
      <c r="J12" s="51"/>
      <c r="K12" s="53">
        <v>10</v>
      </c>
    </row>
    <row r="13" spans="1:29" ht="20" customHeight="1" x14ac:dyDescent="0.2">
      <c r="B13" s="159" t="s">
        <v>172</v>
      </c>
      <c r="C13" s="163" t="s">
        <v>175</v>
      </c>
      <c r="D13" s="161" t="s">
        <v>75</v>
      </c>
      <c r="E13" s="164" t="s">
        <v>36</v>
      </c>
      <c r="F13" s="126" t="s">
        <v>309</v>
      </c>
      <c r="G13" s="162" t="s">
        <v>209</v>
      </c>
      <c r="H13" s="57" t="s">
        <v>164</v>
      </c>
      <c r="I13" s="57" t="s">
        <v>368</v>
      </c>
      <c r="J13" s="51"/>
      <c r="K13" s="53">
        <v>10</v>
      </c>
    </row>
    <row r="14" spans="1:29" ht="20" customHeight="1" x14ac:dyDescent="0.2">
      <c r="B14" s="159" t="s">
        <v>176</v>
      </c>
      <c r="C14" s="163" t="s">
        <v>175</v>
      </c>
      <c r="D14" s="161" t="s">
        <v>80</v>
      </c>
      <c r="E14" s="165" t="s">
        <v>40</v>
      </c>
      <c r="F14" s="133" t="s">
        <v>371</v>
      </c>
      <c r="G14" s="162" t="s">
        <v>211</v>
      </c>
      <c r="H14" s="57" t="s">
        <v>164</v>
      </c>
      <c r="I14" s="57" t="s">
        <v>368</v>
      </c>
      <c r="J14" s="51"/>
      <c r="K14" s="53">
        <v>10</v>
      </c>
    </row>
    <row r="15" spans="1:29" ht="20" customHeight="1" x14ac:dyDescent="0.2">
      <c r="B15" s="159" t="s">
        <v>179</v>
      </c>
      <c r="C15" s="163" t="s">
        <v>175</v>
      </c>
      <c r="D15" s="161" t="s">
        <v>82</v>
      </c>
      <c r="E15" s="166" t="s">
        <v>44</v>
      </c>
      <c r="F15" s="137" t="s">
        <v>779</v>
      </c>
      <c r="G15" s="162" t="s">
        <v>213</v>
      </c>
      <c r="H15" s="57" t="s">
        <v>164</v>
      </c>
      <c r="I15" s="57" t="s">
        <v>368</v>
      </c>
      <c r="J15" s="51"/>
      <c r="K15" s="53">
        <v>10</v>
      </c>
    </row>
    <row r="16" spans="1:29" ht="20" customHeight="1" x14ac:dyDescent="0.2">
      <c r="B16" s="159" t="s">
        <v>182</v>
      </c>
      <c r="C16" s="163" t="s">
        <v>175</v>
      </c>
      <c r="D16" s="161" t="s">
        <v>82</v>
      </c>
      <c r="E16" s="165" t="s">
        <v>40</v>
      </c>
      <c r="F16" s="133" t="s">
        <v>531</v>
      </c>
      <c r="G16" s="162" t="s">
        <v>215</v>
      </c>
      <c r="H16" s="57" t="s">
        <v>164</v>
      </c>
      <c r="I16" s="57" t="s">
        <v>368</v>
      </c>
      <c r="J16" s="51"/>
      <c r="K16" s="53">
        <v>10</v>
      </c>
    </row>
    <row r="17" spans="2:11" ht="20" customHeight="1" x14ac:dyDescent="0.2">
      <c r="B17" s="159" t="s">
        <v>186</v>
      </c>
      <c r="C17" s="164" t="s">
        <v>185</v>
      </c>
      <c r="D17" s="161" t="s">
        <v>87</v>
      </c>
      <c r="E17" s="167" t="s">
        <v>47</v>
      </c>
      <c r="F17" s="142" t="s">
        <v>322</v>
      </c>
      <c r="G17" s="162" t="s">
        <v>216</v>
      </c>
      <c r="H17" s="57" t="s">
        <v>164</v>
      </c>
      <c r="I17" s="57" t="s">
        <v>368</v>
      </c>
      <c r="J17" s="51"/>
      <c r="K17" s="53">
        <v>10</v>
      </c>
    </row>
    <row r="18" spans="2:11" ht="6" customHeight="1" x14ac:dyDescent="0.2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ht="20" customHeight="1" x14ac:dyDescent="0.2">
      <c r="B19" s="167" t="s">
        <v>192</v>
      </c>
      <c r="C19" s="160" t="s">
        <v>166</v>
      </c>
      <c r="D19" s="170" t="s">
        <v>372</v>
      </c>
      <c r="E19" s="64" t="s">
        <v>373</v>
      </c>
      <c r="F19" s="56" t="s">
        <v>374</v>
      </c>
      <c r="G19" s="162" t="s">
        <v>375</v>
      </c>
      <c r="H19" s="57" t="s">
        <v>195</v>
      </c>
      <c r="I19" s="57" t="s">
        <v>368</v>
      </c>
      <c r="J19" s="51"/>
      <c r="K19" s="53">
        <v>10</v>
      </c>
    </row>
    <row r="20" spans="2:11" ht="20" customHeight="1" x14ac:dyDescent="0.2">
      <c r="B20" s="167" t="s">
        <v>198</v>
      </c>
      <c r="C20" s="163" t="s">
        <v>175</v>
      </c>
      <c r="D20" s="170" t="s">
        <v>376</v>
      </c>
      <c r="E20" s="64" t="s">
        <v>377</v>
      </c>
      <c r="F20" s="56" t="s">
        <v>374</v>
      </c>
      <c r="G20" s="162" t="s">
        <v>378</v>
      </c>
      <c r="H20" s="57" t="s">
        <v>195</v>
      </c>
      <c r="I20" s="57" t="s">
        <v>368</v>
      </c>
      <c r="J20" s="51"/>
      <c r="K20" s="53">
        <v>10</v>
      </c>
    </row>
    <row r="21" spans="2:11" ht="20" customHeight="1" x14ac:dyDescent="0.2">
      <c r="B21" s="167" t="s">
        <v>201</v>
      </c>
      <c r="C21" s="164" t="s">
        <v>185</v>
      </c>
      <c r="D21" s="170" t="s">
        <v>814</v>
      </c>
      <c r="E21" s="64" t="s">
        <v>47</v>
      </c>
      <c r="F21" s="56" t="s">
        <v>374</v>
      </c>
      <c r="G21" s="162" t="s">
        <v>381</v>
      </c>
      <c r="H21" s="57" t="s">
        <v>195</v>
      </c>
      <c r="I21" s="57" t="s">
        <v>368</v>
      </c>
      <c r="J21" s="51"/>
      <c r="K21" s="53">
        <v>10</v>
      </c>
    </row>
    <row r="23" spans="2:11" ht="28" customHeight="1" x14ac:dyDescent="0.2">
      <c r="B23" s="325" t="s">
        <v>382</v>
      </c>
      <c r="C23" s="292"/>
      <c r="D23" s="292"/>
      <c r="E23" s="292"/>
      <c r="F23" s="292"/>
      <c r="G23" s="292"/>
      <c r="H23" s="292"/>
      <c r="I23" s="292"/>
      <c r="J23" s="292"/>
      <c r="K23" s="292"/>
    </row>
  </sheetData>
  <mergeCells count="3">
    <mergeCell ref="B23:K23"/>
    <mergeCell ref="B3:K3"/>
    <mergeCell ref="B2:K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4" customWidth="1"/>
    <col min="3" max="3" width="22" customWidth="1"/>
    <col min="4" max="11" width="8" customWidth="1"/>
    <col min="12" max="14" width="9" customWidth="1"/>
    <col min="15" max="20" width="8" customWidth="1"/>
    <col min="21" max="21" width="1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383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815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3" t="s">
        <v>385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6" customHeight="1" x14ac:dyDescent="0.2">
      <c r="B8" s="157" t="s">
        <v>386</v>
      </c>
    </row>
    <row r="9" spans="1:29" ht="14" customHeight="1" x14ac:dyDescent="0.2">
      <c r="D9" s="329" t="s">
        <v>387</v>
      </c>
      <c r="E9" s="292"/>
      <c r="F9" s="292"/>
      <c r="G9" s="292"/>
      <c r="H9" s="292"/>
      <c r="I9" s="292"/>
      <c r="J9" s="292"/>
      <c r="K9" s="292"/>
      <c r="L9" s="328" t="s">
        <v>388</v>
      </c>
      <c r="M9" s="292"/>
      <c r="N9" s="292"/>
      <c r="O9" s="327" t="s">
        <v>389</v>
      </c>
      <c r="P9" s="292"/>
      <c r="Q9" s="292"/>
      <c r="R9" s="292"/>
      <c r="S9" s="292"/>
      <c r="T9" s="292"/>
      <c r="U9" s="326" t="s">
        <v>390</v>
      </c>
    </row>
    <row r="10" spans="1:29" ht="18" customHeight="1" x14ac:dyDescent="0.2">
      <c r="B10" s="33" t="s">
        <v>352</v>
      </c>
      <c r="C10" s="33" t="s">
        <v>391</v>
      </c>
      <c r="D10" s="33" t="s">
        <v>162</v>
      </c>
      <c r="E10" s="33" t="s">
        <v>167</v>
      </c>
      <c r="F10" s="33" t="s">
        <v>169</v>
      </c>
      <c r="G10" s="33" t="s">
        <v>172</v>
      </c>
      <c r="H10" s="33" t="s">
        <v>176</v>
      </c>
      <c r="I10" s="33" t="s">
        <v>179</v>
      </c>
      <c r="J10" s="33" t="s">
        <v>182</v>
      </c>
      <c r="K10" s="33" t="s">
        <v>186</v>
      </c>
      <c r="L10" s="88" t="s">
        <v>192</v>
      </c>
      <c r="M10" s="88" t="s">
        <v>198</v>
      </c>
      <c r="N10" s="88" t="s">
        <v>201</v>
      </c>
      <c r="O10" s="172" t="s">
        <v>26</v>
      </c>
      <c r="P10" s="172" t="s">
        <v>31</v>
      </c>
      <c r="Q10" s="172" t="s">
        <v>36</v>
      </c>
      <c r="R10" s="172" t="s">
        <v>40</v>
      </c>
      <c r="S10" s="172" t="s">
        <v>44</v>
      </c>
      <c r="T10" s="172" t="s">
        <v>47</v>
      </c>
      <c r="U10" s="89" t="s">
        <v>392</v>
      </c>
    </row>
    <row r="11" spans="1:29" ht="18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75"/>
      <c r="E11" s="175"/>
      <c r="F11" s="175"/>
      <c r="G11" s="175"/>
      <c r="H11" s="175"/>
      <c r="I11" s="175"/>
      <c r="J11" s="175"/>
      <c r="K11" s="175"/>
      <c r="L11" s="176"/>
      <c r="M11" s="176"/>
      <c r="N11" s="176"/>
      <c r="O11" s="49" t="str">
        <f t="shared" ref="O11:O40" si="0">IFERROR(ROUND(PESO_EXAMEN*L11+PESO_PRACTICA*AVERAGE(D11,F11),2),"")</f>
        <v/>
      </c>
      <c r="P11" s="55" t="str">
        <f t="shared" ref="P11:P40" si="1">IFERROR(ROUND(PESO_EXAMEN*L11+PESO_PRACTICA*AVERAGE(E11),2),"")</f>
        <v/>
      </c>
      <c r="Q11" s="59" t="str">
        <f t="shared" ref="Q11:Q40" si="2">IFERROR(ROUND(PESO_EXAMEN*M11+PESO_PRACTICA*AVERAGE(G11),2),"")</f>
        <v/>
      </c>
      <c r="R11" s="61" t="str">
        <f t="shared" ref="R11:R40" si="3">IFERROR(ROUND(PESO_EXAMEN*M11+PESO_PRACTICA*AVERAGE(H11,J11),2),"")</f>
        <v/>
      </c>
      <c r="S11" s="63" t="str">
        <f t="shared" ref="S11:S40" si="4">IFERROR(ROUND(PESO_EXAMEN*M11+PESO_PRACTICA*AVERAGE(I11),2),"")</f>
        <v/>
      </c>
      <c r="T11" s="65" t="str">
        <f t="shared" ref="T11:T40" si="5">IFERROR(ROUND(PESO_EXAMEN*N11+PESO_PRACTICA*AVERAGE(K11),2),"")</f>
        <v/>
      </c>
      <c r="U11" s="77" t="str">
        <f t="shared" ref="U11:U40" si="6">IFERROR(ROUND(O11*0.15+P11*0.2+Q11*0.2+R11*0.25+S11*0.1+T11*0.1,2),"")</f>
        <v/>
      </c>
    </row>
    <row r="12" spans="1:29" ht="18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75"/>
      <c r="E12" s="175"/>
      <c r="F12" s="175"/>
      <c r="G12" s="175"/>
      <c r="H12" s="175"/>
      <c r="I12" s="175"/>
      <c r="J12" s="175"/>
      <c r="K12" s="175"/>
      <c r="L12" s="176"/>
      <c r="M12" s="176"/>
      <c r="N12" s="176"/>
      <c r="O12" s="49" t="str">
        <f t="shared" si="0"/>
        <v/>
      </c>
      <c r="P12" s="55" t="str">
        <f t="shared" si="1"/>
        <v/>
      </c>
      <c r="Q12" s="59" t="str">
        <f t="shared" si="2"/>
        <v/>
      </c>
      <c r="R12" s="61" t="str">
        <f t="shared" si="3"/>
        <v/>
      </c>
      <c r="S12" s="63" t="str">
        <f t="shared" si="4"/>
        <v/>
      </c>
      <c r="T12" s="65" t="str">
        <f t="shared" si="5"/>
        <v/>
      </c>
      <c r="U12" s="77" t="str">
        <f t="shared" si="6"/>
        <v/>
      </c>
    </row>
    <row r="13" spans="1:29" ht="18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75"/>
      <c r="E13" s="175"/>
      <c r="F13" s="175"/>
      <c r="G13" s="175"/>
      <c r="H13" s="175"/>
      <c r="I13" s="175"/>
      <c r="J13" s="175"/>
      <c r="K13" s="175"/>
      <c r="L13" s="176"/>
      <c r="M13" s="176"/>
      <c r="N13" s="176"/>
      <c r="O13" s="49" t="str">
        <f t="shared" si="0"/>
        <v/>
      </c>
      <c r="P13" s="55" t="str">
        <f t="shared" si="1"/>
        <v/>
      </c>
      <c r="Q13" s="59" t="str">
        <f t="shared" si="2"/>
        <v/>
      </c>
      <c r="R13" s="61" t="str">
        <f t="shared" si="3"/>
        <v/>
      </c>
      <c r="S13" s="63" t="str">
        <f t="shared" si="4"/>
        <v/>
      </c>
      <c r="T13" s="65" t="str">
        <f t="shared" si="5"/>
        <v/>
      </c>
      <c r="U13" s="77" t="str">
        <f t="shared" si="6"/>
        <v/>
      </c>
    </row>
    <row r="14" spans="1:29" ht="18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75"/>
      <c r="E14" s="175"/>
      <c r="F14" s="175"/>
      <c r="G14" s="175"/>
      <c r="H14" s="175"/>
      <c r="I14" s="175"/>
      <c r="J14" s="175"/>
      <c r="K14" s="175"/>
      <c r="L14" s="176"/>
      <c r="M14" s="176"/>
      <c r="N14" s="176"/>
      <c r="O14" s="49" t="str">
        <f t="shared" si="0"/>
        <v/>
      </c>
      <c r="P14" s="55" t="str">
        <f t="shared" si="1"/>
        <v/>
      </c>
      <c r="Q14" s="59" t="str">
        <f t="shared" si="2"/>
        <v/>
      </c>
      <c r="R14" s="61" t="str">
        <f t="shared" si="3"/>
        <v/>
      </c>
      <c r="S14" s="63" t="str">
        <f t="shared" si="4"/>
        <v/>
      </c>
      <c r="T14" s="65" t="str">
        <f t="shared" si="5"/>
        <v/>
      </c>
      <c r="U14" s="77" t="str">
        <f t="shared" si="6"/>
        <v/>
      </c>
    </row>
    <row r="15" spans="1:29" ht="18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75"/>
      <c r="E15" s="175"/>
      <c r="F15" s="175"/>
      <c r="G15" s="175"/>
      <c r="H15" s="175"/>
      <c r="I15" s="175"/>
      <c r="J15" s="175"/>
      <c r="K15" s="175"/>
      <c r="L15" s="176"/>
      <c r="M15" s="176"/>
      <c r="N15" s="176"/>
      <c r="O15" s="49" t="str">
        <f t="shared" si="0"/>
        <v/>
      </c>
      <c r="P15" s="55" t="str">
        <f t="shared" si="1"/>
        <v/>
      </c>
      <c r="Q15" s="59" t="str">
        <f t="shared" si="2"/>
        <v/>
      </c>
      <c r="R15" s="61" t="str">
        <f t="shared" si="3"/>
        <v/>
      </c>
      <c r="S15" s="63" t="str">
        <f t="shared" si="4"/>
        <v/>
      </c>
      <c r="T15" s="65" t="str">
        <f t="shared" si="5"/>
        <v/>
      </c>
      <c r="U15" s="77" t="str">
        <f t="shared" si="6"/>
        <v/>
      </c>
    </row>
    <row r="16" spans="1:29" ht="18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75"/>
      <c r="E16" s="175"/>
      <c r="F16" s="175"/>
      <c r="G16" s="175"/>
      <c r="H16" s="175"/>
      <c r="I16" s="175"/>
      <c r="J16" s="175"/>
      <c r="K16" s="175"/>
      <c r="L16" s="176"/>
      <c r="M16" s="176"/>
      <c r="N16" s="176"/>
      <c r="O16" s="49" t="str">
        <f t="shared" si="0"/>
        <v/>
      </c>
      <c r="P16" s="55" t="str">
        <f t="shared" si="1"/>
        <v/>
      </c>
      <c r="Q16" s="59" t="str">
        <f t="shared" si="2"/>
        <v/>
      </c>
      <c r="R16" s="61" t="str">
        <f t="shared" si="3"/>
        <v/>
      </c>
      <c r="S16" s="63" t="str">
        <f t="shared" si="4"/>
        <v/>
      </c>
      <c r="T16" s="65" t="str">
        <f t="shared" si="5"/>
        <v/>
      </c>
      <c r="U16" s="77" t="str">
        <f t="shared" si="6"/>
        <v/>
      </c>
    </row>
    <row r="17" spans="2:21" ht="18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75"/>
      <c r="E17" s="175"/>
      <c r="F17" s="175"/>
      <c r="G17" s="175"/>
      <c r="H17" s="175"/>
      <c r="I17" s="175"/>
      <c r="J17" s="175"/>
      <c r="K17" s="175"/>
      <c r="L17" s="176"/>
      <c r="M17" s="176"/>
      <c r="N17" s="176"/>
      <c r="O17" s="49" t="str">
        <f t="shared" si="0"/>
        <v/>
      </c>
      <c r="P17" s="55" t="str">
        <f t="shared" si="1"/>
        <v/>
      </c>
      <c r="Q17" s="59" t="str">
        <f t="shared" si="2"/>
        <v/>
      </c>
      <c r="R17" s="61" t="str">
        <f t="shared" si="3"/>
        <v/>
      </c>
      <c r="S17" s="63" t="str">
        <f t="shared" si="4"/>
        <v/>
      </c>
      <c r="T17" s="65" t="str">
        <f t="shared" si="5"/>
        <v/>
      </c>
      <c r="U17" s="77" t="str">
        <f t="shared" si="6"/>
        <v/>
      </c>
    </row>
    <row r="18" spans="2:21" ht="18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75"/>
      <c r="E18" s="175"/>
      <c r="F18" s="175"/>
      <c r="G18" s="175"/>
      <c r="H18" s="175"/>
      <c r="I18" s="175"/>
      <c r="J18" s="175"/>
      <c r="K18" s="175"/>
      <c r="L18" s="176"/>
      <c r="M18" s="176"/>
      <c r="N18" s="176"/>
      <c r="O18" s="49" t="str">
        <f t="shared" si="0"/>
        <v/>
      </c>
      <c r="P18" s="55" t="str">
        <f t="shared" si="1"/>
        <v/>
      </c>
      <c r="Q18" s="59" t="str">
        <f t="shared" si="2"/>
        <v/>
      </c>
      <c r="R18" s="61" t="str">
        <f t="shared" si="3"/>
        <v/>
      </c>
      <c r="S18" s="63" t="str">
        <f t="shared" si="4"/>
        <v/>
      </c>
      <c r="T18" s="65" t="str">
        <f t="shared" si="5"/>
        <v/>
      </c>
      <c r="U18" s="77" t="str">
        <f t="shared" si="6"/>
        <v/>
      </c>
    </row>
    <row r="19" spans="2:21" ht="18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75"/>
      <c r="E19" s="175"/>
      <c r="F19" s="175"/>
      <c r="G19" s="175"/>
      <c r="H19" s="175"/>
      <c r="I19" s="175"/>
      <c r="J19" s="175"/>
      <c r="K19" s="175"/>
      <c r="L19" s="176"/>
      <c r="M19" s="176"/>
      <c r="N19" s="176"/>
      <c r="O19" s="49" t="str">
        <f t="shared" si="0"/>
        <v/>
      </c>
      <c r="P19" s="55" t="str">
        <f t="shared" si="1"/>
        <v/>
      </c>
      <c r="Q19" s="59" t="str">
        <f t="shared" si="2"/>
        <v/>
      </c>
      <c r="R19" s="61" t="str">
        <f t="shared" si="3"/>
        <v/>
      </c>
      <c r="S19" s="63" t="str">
        <f t="shared" si="4"/>
        <v/>
      </c>
      <c r="T19" s="65" t="str">
        <f t="shared" si="5"/>
        <v/>
      </c>
      <c r="U19" s="77" t="str">
        <f t="shared" si="6"/>
        <v/>
      </c>
    </row>
    <row r="20" spans="2:21" ht="18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75"/>
      <c r="E20" s="175"/>
      <c r="F20" s="175"/>
      <c r="G20" s="175"/>
      <c r="H20" s="175"/>
      <c r="I20" s="175"/>
      <c r="J20" s="175"/>
      <c r="K20" s="175"/>
      <c r="L20" s="176"/>
      <c r="M20" s="176"/>
      <c r="N20" s="176"/>
      <c r="O20" s="49" t="str">
        <f t="shared" si="0"/>
        <v/>
      </c>
      <c r="P20" s="55" t="str">
        <f t="shared" si="1"/>
        <v/>
      </c>
      <c r="Q20" s="59" t="str">
        <f t="shared" si="2"/>
        <v/>
      </c>
      <c r="R20" s="61" t="str">
        <f t="shared" si="3"/>
        <v/>
      </c>
      <c r="S20" s="63" t="str">
        <f t="shared" si="4"/>
        <v/>
      </c>
      <c r="T20" s="65" t="str">
        <f t="shared" si="5"/>
        <v/>
      </c>
      <c r="U20" s="77" t="str">
        <f t="shared" si="6"/>
        <v/>
      </c>
    </row>
    <row r="21" spans="2:21" ht="18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75"/>
      <c r="E21" s="175"/>
      <c r="F21" s="175"/>
      <c r="G21" s="175"/>
      <c r="H21" s="175"/>
      <c r="I21" s="175"/>
      <c r="J21" s="175"/>
      <c r="K21" s="175"/>
      <c r="L21" s="176"/>
      <c r="M21" s="176"/>
      <c r="N21" s="176"/>
      <c r="O21" s="49" t="str">
        <f t="shared" si="0"/>
        <v/>
      </c>
      <c r="P21" s="55" t="str">
        <f t="shared" si="1"/>
        <v/>
      </c>
      <c r="Q21" s="59" t="str">
        <f t="shared" si="2"/>
        <v/>
      </c>
      <c r="R21" s="61" t="str">
        <f t="shared" si="3"/>
        <v/>
      </c>
      <c r="S21" s="63" t="str">
        <f t="shared" si="4"/>
        <v/>
      </c>
      <c r="T21" s="65" t="str">
        <f t="shared" si="5"/>
        <v/>
      </c>
      <c r="U21" s="77" t="str">
        <f t="shared" si="6"/>
        <v/>
      </c>
    </row>
    <row r="22" spans="2:21" ht="18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75"/>
      <c r="E22" s="175"/>
      <c r="F22" s="175"/>
      <c r="G22" s="175"/>
      <c r="H22" s="175"/>
      <c r="I22" s="175"/>
      <c r="J22" s="175"/>
      <c r="K22" s="175"/>
      <c r="L22" s="176"/>
      <c r="M22" s="176"/>
      <c r="N22" s="176"/>
      <c r="O22" s="49" t="str">
        <f t="shared" si="0"/>
        <v/>
      </c>
      <c r="P22" s="55" t="str">
        <f t="shared" si="1"/>
        <v/>
      </c>
      <c r="Q22" s="59" t="str">
        <f t="shared" si="2"/>
        <v/>
      </c>
      <c r="R22" s="61" t="str">
        <f t="shared" si="3"/>
        <v/>
      </c>
      <c r="S22" s="63" t="str">
        <f t="shared" si="4"/>
        <v/>
      </c>
      <c r="T22" s="65" t="str">
        <f t="shared" si="5"/>
        <v/>
      </c>
      <c r="U22" s="77" t="str">
        <f t="shared" si="6"/>
        <v/>
      </c>
    </row>
    <row r="23" spans="2:21" ht="18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75"/>
      <c r="E23" s="175"/>
      <c r="F23" s="175"/>
      <c r="G23" s="175"/>
      <c r="H23" s="175"/>
      <c r="I23" s="175"/>
      <c r="J23" s="175"/>
      <c r="K23" s="175"/>
      <c r="L23" s="176"/>
      <c r="M23" s="176"/>
      <c r="N23" s="176"/>
      <c r="O23" s="49" t="str">
        <f t="shared" si="0"/>
        <v/>
      </c>
      <c r="P23" s="55" t="str">
        <f t="shared" si="1"/>
        <v/>
      </c>
      <c r="Q23" s="59" t="str">
        <f t="shared" si="2"/>
        <v/>
      </c>
      <c r="R23" s="61" t="str">
        <f t="shared" si="3"/>
        <v/>
      </c>
      <c r="S23" s="63" t="str">
        <f t="shared" si="4"/>
        <v/>
      </c>
      <c r="T23" s="65" t="str">
        <f t="shared" si="5"/>
        <v/>
      </c>
      <c r="U23" s="77" t="str">
        <f t="shared" si="6"/>
        <v/>
      </c>
    </row>
    <row r="24" spans="2:21" ht="18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75"/>
      <c r="E24" s="175"/>
      <c r="F24" s="175"/>
      <c r="G24" s="175"/>
      <c r="H24" s="175"/>
      <c r="I24" s="175"/>
      <c r="J24" s="175"/>
      <c r="K24" s="175"/>
      <c r="L24" s="176"/>
      <c r="M24" s="176"/>
      <c r="N24" s="176"/>
      <c r="O24" s="49" t="str">
        <f t="shared" si="0"/>
        <v/>
      </c>
      <c r="P24" s="55" t="str">
        <f t="shared" si="1"/>
        <v/>
      </c>
      <c r="Q24" s="59" t="str">
        <f t="shared" si="2"/>
        <v/>
      </c>
      <c r="R24" s="61" t="str">
        <f t="shared" si="3"/>
        <v/>
      </c>
      <c r="S24" s="63" t="str">
        <f t="shared" si="4"/>
        <v/>
      </c>
      <c r="T24" s="65" t="str">
        <f t="shared" si="5"/>
        <v/>
      </c>
      <c r="U24" s="77" t="str">
        <f t="shared" si="6"/>
        <v/>
      </c>
    </row>
    <row r="25" spans="2:21" ht="18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75"/>
      <c r="E25" s="175"/>
      <c r="F25" s="175"/>
      <c r="G25" s="175"/>
      <c r="H25" s="175"/>
      <c r="I25" s="175"/>
      <c r="J25" s="175"/>
      <c r="K25" s="175"/>
      <c r="L25" s="176"/>
      <c r="M25" s="176"/>
      <c r="N25" s="176"/>
      <c r="O25" s="49" t="str">
        <f t="shared" si="0"/>
        <v/>
      </c>
      <c r="P25" s="55" t="str">
        <f t="shared" si="1"/>
        <v/>
      </c>
      <c r="Q25" s="59" t="str">
        <f t="shared" si="2"/>
        <v/>
      </c>
      <c r="R25" s="61" t="str">
        <f t="shared" si="3"/>
        <v/>
      </c>
      <c r="S25" s="63" t="str">
        <f t="shared" si="4"/>
        <v/>
      </c>
      <c r="T25" s="65" t="str">
        <f t="shared" si="5"/>
        <v/>
      </c>
      <c r="U25" s="77" t="str">
        <f t="shared" si="6"/>
        <v/>
      </c>
    </row>
    <row r="26" spans="2:21" ht="18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75"/>
      <c r="E26" s="175"/>
      <c r="F26" s="175"/>
      <c r="G26" s="175"/>
      <c r="H26" s="175"/>
      <c r="I26" s="175"/>
      <c r="J26" s="175"/>
      <c r="K26" s="175"/>
      <c r="L26" s="176"/>
      <c r="M26" s="176"/>
      <c r="N26" s="176"/>
      <c r="O26" s="49" t="str">
        <f t="shared" si="0"/>
        <v/>
      </c>
      <c r="P26" s="55" t="str">
        <f t="shared" si="1"/>
        <v/>
      </c>
      <c r="Q26" s="59" t="str">
        <f t="shared" si="2"/>
        <v/>
      </c>
      <c r="R26" s="61" t="str">
        <f t="shared" si="3"/>
        <v/>
      </c>
      <c r="S26" s="63" t="str">
        <f t="shared" si="4"/>
        <v/>
      </c>
      <c r="T26" s="65" t="str">
        <f t="shared" si="5"/>
        <v/>
      </c>
      <c r="U26" s="77" t="str">
        <f t="shared" si="6"/>
        <v/>
      </c>
    </row>
    <row r="27" spans="2:21" ht="18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75"/>
      <c r="E27" s="175"/>
      <c r="F27" s="175"/>
      <c r="G27" s="175"/>
      <c r="H27" s="175"/>
      <c r="I27" s="175"/>
      <c r="J27" s="175"/>
      <c r="K27" s="175"/>
      <c r="L27" s="176"/>
      <c r="M27" s="176"/>
      <c r="N27" s="176"/>
      <c r="O27" s="49" t="str">
        <f t="shared" si="0"/>
        <v/>
      </c>
      <c r="P27" s="55" t="str">
        <f t="shared" si="1"/>
        <v/>
      </c>
      <c r="Q27" s="59" t="str">
        <f t="shared" si="2"/>
        <v/>
      </c>
      <c r="R27" s="61" t="str">
        <f t="shared" si="3"/>
        <v/>
      </c>
      <c r="S27" s="63" t="str">
        <f t="shared" si="4"/>
        <v/>
      </c>
      <c r="T27" s="65" t="str">
        <f t="shared" si="5"/>
        <v/>
      </c>
      <c r="U27" s="77" t="str">
        <f t="shared" si="6"/>
        <v/>
      </c>
    </row>
    <row r="28" spans="2:21" ht="18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75"/>
      <c r="E28" s="175"/>
      <c r="F28" s="175"/>
      <c r="G28" s="175"/>
      <c r="H28" s="175"/>
      <c r="I28" s="175"/>
      <c r="J28" s="175"/>
      <c r="K28" s="175"/>
      <c r="L28" s="176"/>
      <c r="M28" s="176"/>
      <c r="N28" s="176"/>
      <c r="O28" s="49" t="str">
        <f t="shared" si="0"/>
        <v/>
      </c>
      <c r="P28" s="55" t="str">
        <f t="shared" si="1"/>
        <v/>
      </c>
      <c r="Q28" s="59" t="str">
        <f t="shared" si="2"/>
        <v/>
      </c>
      <c r="R28" s="61" t="str">
        <f t="shared" si="3"/>
        <v/>
      </c>
      <c r="S28" s="63" t="str">
        <f t="shared" si="4"/>
        <v/>
      </c>
      <c r="T28" s="65" t="str">
        <f t="shared" si="5"/>
        <v/>
      </c>
      <c r="U28" s="77" t="str">
        <f t="shared" si="6"/>
        <v/>
      </c>
    </row>
    <row r="29" spans="2:21" ht="18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75"/>
      <c r="E29" s="175"/>
      <c r="F29" s="175"/>
      <c r="G29" s="175"/>
      <c r="H29" s="175"/>
      <c r="I29" s="175"/>
      <c r="J29" s="175"/>
      <c r="K29" s="175"/>
      <c r="L29" s="176"/>
      <c r="M29" s="176"/>
      <c r="N29" s="176"/>
      <c r="O29" s="49" t="str">
        <f t="shared" si="0"/>
        <v/>
      </c>
      <c r="P29" s="55" t="str">
        <f t="shared" si="1"/>
        <v/>
      </c>
      <c r="Q29" s="59" t="str">
        <f t="shared" si="2"/>
        <v/>
      </c>
      <c r="R29" s="61" t="str">
        <f t="shared" si="3"/>
        <v/>
      </c>
      <c r="S29" s="63" t="str">
        <f t="shared" si="4"/>
        <v/>
      </c>
      <c r="T29" s="65" t="str">
        <f t="shared" si="5"/>
        <v/>
      </c>
      <c r="U29" s="77" t="str">
        <f t="shared" si="6"/>
        <v/>
      </c>
    </row>
    <row r="30" spans="2:21" ht="18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75"/>
      <c r="E30" s="175"/>
      <c r="F30" s="175"/>
      <c r="G30" s="175"/>
      <c r="H30" s="175"/>
      <c r="I30" s="175"/>
      <c r="J30" s="175"/>
      <c r="K30" s="175"/>
      <c r="L30" s="176"/>
      <c r="M30" s="176"/>
      <c r="N30" s="176"/>
      <c r="O30" s="49" t="str">
        <f t="shared" si="0"/>
        <v/>
      </c>
      <c r="P30" s="55" t="str">
        <f t="shared" si="1"/>
        <v/>
      </c>
      <c r="Q30" s="59" t="str">
        <f t="shared" si="2"/>
        <v/>
      </c>
      <c r="R30" s="61" t="str">
        <f t="shared" si="3"/>
        <v/>
      </c>
      <c r="S30" s="63" t="str">
        <f t="shared" si="4"/>
        <v/>
      </c>
      <c r="T30" s="65" t="str">
        <f t="shared" si="5"/>
        <v/>
      </c>
      <c r="U30" s="77" t="str">
        <f t="shared" si="6"/>
        <v/>
      </c>
    </row>
    <row r="31" spans="2:21" ht="18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75"/>
      <c r="E31" s="175"/>
      <c r="F31" s="175"/>
      <c r="G31" s="175"/>
      <c r="H31" s="175"/>
      <c r="I31" s="175"/>
      <c r="J31" s="175"/>
      <c r="K31" s="175"/>
      <c r="L31" s="176"/>
      <c r="M31" s="176"/>
      <c r="N31" s="176"/>
      <c r="O31" s="49" t="str">
        <f t="shared" si="0"/>
        <v/>
      </c>
      <c r="P31" s="55" t="str">
        <f t="shared" si="1"/>
        <v/>
      </c>
      <c r="Q31" s="59" t="str">
        <f t="shared" si="2"/>
        <v/>
      </c>
      <c r="R31" s="61" t="str">
        <f t="shared" si="3"/>
        <v/>
      </c>
      <c r="S31" s="63" t="str">
        <f t="shared" si="4"/>
        <v/>
      </c>
      <c r="T31" s="65" t="str">
        <f t="shared" si="5"/>
        <v/>
      </c>
      <c r="U31" s="77" t="str">
        <f t="shared" si="6"/>
        <v/>
      </c>
    </row>
    <row r="32" spans="2:21" ht="18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75"/>
      <c r="E32" s="175"/>
      <c r="F32" s="175"/>
      <c r="G32" s="175"/>
      <c r="H32" s="175"/>
      <c r="I32" s="175"/>
      <c r="J32" s="175"/>
      <c r="K32" s="175"/>
      <c r="L32" s="176"/>
      <c r="M32" s="176"/>
      <c r="N32" s="176"/>
      <c r="O32" s="49" t="str">
        <f t="shared" si="0"/>
        <v/>
      </c>
      <c r="P32" s="55" t="str">
        <f t="shared" si="1"/>
        <v/>
      </c>
      <c r="Q32" s="59" t="str">
        <f t="shared" si="2"/>
        <v/>
      </c>
      <c r="R32" s="61" t="str">
        <f t="shared" si="3"/>
        <v/>
      </c>
      <c r="S32" s="63" t="str">
        <f t="shared" si="4"/>
        <v/>
      </c>
      <c r="T32" s="65" t="str">
        <f t="shared" si="5"/>
        <v/>
      </c>
      <c r="U32" s="77" t="str">
        <f t="shared" si="6"/>
        <v/>
      </c>
    </row>
    <row r="33" spans="2:21" ht="18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75"/>
      <c r="E33" s="175"/>
      <c r="F33" s="175"/>
      <c r="G33" s="175"/>
      <c r="H33" s="175"/>
      <c r="I33" s="175"/>
      <c r="J33" s="175"/>
      <c r="K33" s="175"/>
      <c r="L33" s="176"/>
      <c r="M33" s="176"/>
      <c r="N33" s="176"/>
      <c r="O33" s="49" t="str">
        <f t="shared" si="0"/>
        <v/>
      </c>
      <c r="P33" s="55" t="str">
        <f t="shared" si="1"/>
        <v/>
      </c>
      <c r="Q33" s="59" t="str">
        <f t="shared" si="2"/>
        <v/>
      </c>
      <c r="R33" s="61" t="str">
        <f t="shared" si="3"/>
        <v/>
      </c>
      <c r="S33" s="63" t="str">
        <f t="shared" si="4"/>
        <v/>
      </c>
      <c r="T33" s="65" t="str">
        <f t="shared" si="5"/>
        <v/>
      </c>
      <c r="U33" s="77" t="str">
        <f t="shared" si="6"/>
        <v/>
      </c>
    </row>
    <row r="34" spans="2:21" ht="18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75"/>
      <c r="E34" s="175"/>
      <c r="F34" s="175"/>
      <c r="G34" s="175"/>
      <c r="H34" s="175"/>
      <c r="I34" s="175"/>
      <c r="J34" s="175"/>
      <c r="K34" s="175"/>
      <c r="L34" s="176"/>
      <c r="M34" s="176"/>
      <c r="N34" s="176"/>
      <c r="O34" s="49" t="str">
        <f t="shared" si="0"/>
        <v/>
      </c>
      <c r="P34" s="55" t="str">
        <f t="shared" si="1"/>
        <v/>
      </c>
      <c r="Q34" s="59" t="str">
        <f t="shared" si="2"/>
        <v/>
      </c>
      <c r="R34" s="61" t="str">
        <f t="shared" si="3"/>
        <v/>
      </c>
      <c r="S34" s="63" t="str">
        <f t="shared" si="4"/>
        <v/>
      </c>
      <c r="T34" s="65" t="str">
        <f t="shared" si="5"/>
        <v/>
      </c>
      <c r="U34" s="77" t="str">
        <f t="shared" si="6"/>
        <v/>
      </c>
    </row>
    <row r="35" spans="2:21" ht="18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75"/>
      <c r="E35" s="175"/>
      <c r="F35" s="175"/>
      <c r="G35" s="175"/>
      <c r="H35" s="175"/>
      <c r="I35" s="175"/>
      <c r="J35" s="175"/>
      <c r="K35" s="175"/>
      <c r="L35" s="176"/>
      <c r="M35" s="176"/>
      <c r="N35" s="176"/>
      <c r="O35" s="49" t="str">
        <f t="shared" si="0"/>
        <v/>
      </c>
      <c r="P35" s="55" t="str">
        <f t="shared" si="1"/>
        <v/>
      </c>
      <c r="Q35" s="59" t="str">
        <f t="shared" si="2"/>
        <v/>
      </c>
      <c r="R35" s="61" t="str">
        <f t="shared" si="3"/>
        <v/>
      </c>
      <c r="S35" s="63" t="str">
        <f t="shared" si="4"/>
        <v/>
      </c>
      <c r="T35" s="65" t="str">
        <f t="shared" si="5"/>
        <v/>
      </c>
      <c r="U35" s="77" t="str">
        <f t="shared" si="6"/>
        <v/>
      </c>
    </row>
    <row r="36" spans="2:21" ht="18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75"/>
      <c r="E36" s="175"/>
      <c r="F36" s="175"/>
      <c r="G36" s="175"/>
      <c r="H36" s="175"/>
      <c r="I36" s="175"/>
      <c r="J36" s="175"/>
      <c r="K36" s="175"/>
      <c r="L36" s="176"/>
      <c r="M36" s="176"/>
      <c r="N36" s="176"/>
      <c r="O36" s="49" t="str">
        <f t="shared" si="0"/>
        <v/>
      </c>
      <c r="P36" s="55" t="str">
        <f t="shared" si="1"/>
        <v/>
      </c>
      <c r="Q36" s="59" t="str">
        <f t="shared" si="2"/>
        <v/>
      </c>
      <c r="R36" s="61" t="str">
        <f t="shared" si="3"/>
        <v/>
      </c>
      <c r="S36" s="63" t="str">
        <f t="shared" si="4"/>
        <v/>
      </c>
      <c r="T36" s="65" t="str">
        <f t="shared" si="5"/>
        <v/>
      </c>
      <c r="U36" s="77" t="str">
        <f t="shared" si="6"/>
        <v/>
      </c>
    </row>
    <row r="37" spans="2:21" ht="18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75"/>
      <c r="E37" s="175"/>
      <c r="F37" s="175"/>
      <c r="G37" s="175"/>
      <c r="H37" s="175"/>
      <c r="I37" s="175"/>
      <c r="J37" s="175"/>
      <c r="K37" s="175"/>
      <c r="L37" s="176"/>
      <c r="M37" s="176"/>
      <c r="N37" s="176"/>
      <c r="O37" s="49" t="str">
        <f t="shared" si="0"/>
        <v/>
      </c>
      <c r="P37" s="55" t="str">
        <f t="shared" si="1"/>
        <v/>
      </c>
      <c r="Q37" s="59" t="str">
        <f t="shared" si="2"/>
        <v/>
      </c>
      <c r="R37" s="61" t="str">
        <f t="shared" si="3"/>
        <v/>
      </c>
      <c r="S37" s="63" t="str">
        <f t="shared" si="4"/>
        <v/>
      </c>
      <c r="T37" s="65" t="str">
        <f t="shared" si="5"/>
        <v/>
      </c>
      <c r="U37" s="77" t="str">
        <f t="shared" si="6"/>
        <v/>
      </c>
    </row>
    <row r="38" spans="2:21" ht="18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75"/>
      <c r="E38" s="175"/>
      <c r="F38" s="175"/>
      <c r="G38" s="175"/>
      <c r="H38" s="175"/>
      <c r="I38" s="175"/>
      <c r="J38" s="175"/>
      <c r="K38" s="175"/>
      <c r="L38" s="176"/>
      <c r="M38" s="176"/>
      <c r="N38" s="176"/>
      <c r="O38" s="49" t="str">
        <f t="shared" si="0"/>
        <v/>
      </c>
      <c r="P38" s="55" t="str">
        <f t="shared" si="1"/>
        <v/>
      </c>
      <c r="Q38" s="59" t="str">
        <f t="shared" si="2"/>
        <v/>
      </c>
      <c r="R38" s="61" t="str">
        <f t="shared" si="3"/>
        <v/>
      </c>
      <c r="S38" s="63" t="str">
        <f t="shared" si="4"/>
        <v/>
      </c>
      <c r="T38" s="65" t="str">
        <f t="shared" si="5"/>
        <v/>
      </c>
      <c r="U38" s="77" t="str">
        <f t="shared" si="6"/>
        <v/>
      </c>
    </row>
    <row r="39" spans="2:21" ht="18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75"/>
      <c r="E39" s="175"/>
      <c r="F39" s="175"/>
      <c r="G39" s="175"/>
      <c r="H39" s="175"/>
      <c r="I39" s="175"/>
      <c r="J39" s="175"/>
      <c r="K39" s="175"/>
      <c r="L39" s="176"/>
      <c r="M39" s="176"/>
      <c r="N39" s="176"/>
      <c r="O39" s="49" t="str">
        <f t="shared" si="0"/>
        <v/>
      </c>
      <c r="P39" s="55" t="str">
        <f t="shared" si="1"/>
        <v/>
      </c>
      <c r="Q39" s="59" t="str">
        <f t="shared" si="2"/>
        <v/>
      </c>
      <c r="R39" s="61" t="str">
        <f t="shared" si="3"/>
        <v/>
      </c>
      <c r="S39" s="63" t="str">
        <f t="shared" si="4"/>
        <v/>
      </c>
      <c r="T39" s="65" t="str">
        <f t="shared" si="5"/>
        <v/>
      </c>
      <c r="U39" s="77" t="str">
        <f t="shared" si="6"/>
        <v/>
      </c>
    </row>
    <row r="40" spans="2:21" ht="18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75"/>
      <c r="E40" s="175"/>
      <c r="F40" s="175"/>
      <c r="G40" s="175"/>
      <c r="H40" s="175"/>
      <c r="I40" s="175"/>
      <c r="J40" s="175"/>
      <c r="K40" s="175"/>
      <c r="L40" s="176"/>
      <c r="M40" s="176"/>
      <c r="N40" s="176"/>
      <c r="O40" s="49" t="str">
        <f t="shared" si="0"/>
        <v/>
      </c>
      <c r="P40" s="55" t="str">
        <f t="shared" si="1"/>
        <v/>
      </c>
      <c r="Q40" s="59" t="str">
        <f t="shared" si="2"/>
        <v/>
      </c>
      <c r="R40" s="61" t="str">
        <f t="shared" si="3"/>
        <v/>
      </c>
      <c r="S40" s="63" t="str">
        <f t="shared" si="4"/>
        <v/>
      </c>
      <c r="T40" s="65" t="str">
        <f t="shared" si="5"/>
        <v/>
      </c>
      <c r="U40" s="77" t="str">
        <f t="shared" si="6"/>
        <v/>
      </c>
    </row>
  </sheetData>
  <mergeCells count="6">
    <mergeCell ref="D9:K9"/>
    <mergeCell ref="O9:T9"/>
    <mergeCell ref="U9"/>
    <mergeCell ref="L9:N9"/>
    <mergeCell ref="B2:K2"/>
    <mergeCell ref="B3:K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C1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20" customWidth="1"/>
    <col min="3" max="9" width="15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393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3" t="s">
        <v>395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x14ac:dyDescent="0.2">
      <c r="B8" s="177" t="s">
        <v>396</v>
      </c>
    </row>
    <row r="10" spans="1:29" ht="24" customHeight="1" x14ac:dyDescent="0.2">
      <c r="B10" s="178" t="s">
        <v>397</v>
      </c>
      <c r="C10" s="179"/>
    </row>
    <row r="11" spans="1:29" ht="24" customHeight="1" x14ac:dyDescent="0.2">
      <c r="B11" s="178" t="s">
        <v>398</v>
      </c>
      <c r="C11" s="179" t="s">
        <v>399</v>
      </c>
    </row>
    <row r="12" spans="1:29" ht="24" customHeight="1" x14ac:dyDescent="0.2">
      <c r="B12" s="178" t="s">
        <v>400</v>
      </c>
      <c r="C12" s="179" t="s">
        <v>399</v>
      </c>
    </row>
    <row r="13" spans="1:29" ht="24" customHeight="1" x14ac:dyDescent="0.2">
      <c r="B13" s="178" t="s">
        <v>401</v>
      </c>
      <c r="C13" s="179" t="s">
        <v>399</v>
      </c>
    </row>
    <row r="14" spans="1:29" ht="24" customHeight="1" x14ac:dyDescent="0.2">
      <c r="B14" s="178" t="s">
        <v>402</v>
      </c>
      <c r="C14" s="179" t="s">
        <v>399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7" width="10" customWidth="1"/>
    <col min="8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403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817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3" t="s">
        <v>405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80" t="s">
        <v>818</v>
      </c>
      <c r="G8" s="181" t="s">
        <v>819</v>
      </c>
    </row>
    <row r="10" spans="1:29" ht="36" customHeight="1" x14ac:dyDescent="0.2">
      <c r="B10" s="158" t="s">
        <v>352</v>
      </c>
      <c r="C10" s="158" t="s">
        <v>391</v>
      </c>
      <c r="D10" s="182" t="s">
        <v>820</v>
      </c>
      <c r="E10" s="182" t="s">
        <v>821</v>
      </c>
      <c r="F10" s="182" t="s">
        <v>822</v>
      </c>
      <c r="G10" s="89" t="s">
        <v>823</v>
      </c>
      <c r="H10" s="158" t="s">
        <v>412</v>
      </c>
      <c r="I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184" t="str">
        <f>IFERROR('PAR · Reg. Notas'!O11,"")</f>
        <v/>
      </c>
      <c r="G11" s="185" t="str">
        <f>IFERROR('PAR · Reg. Notas'!P11,"")</f>
        <v/>
      </c>
      <c r="H11" s="186" t="str">
        <f t="shared" ref="H11:H40" si="0">IFERROR(ROUND(F11*0.428571+G11*0.571429,2),"")</f>
        <v/>
      </c>
      <c r="I11" s="187" t="str">
        <f t="shared" ref="I11:I40" si="1">IF(H11="","",IF(H11&gt;=5,"APTO","NO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184" t="str">
        <f>IFERROR('PAR · Reg. Notas'!O12,"")</f>
        <v/>
      </c>
      <c r="G12" s="185" t="str">
        <f>IFERROR('PAR · Reg. Notas'!P12,"")</f>
        <v/>
      </c>
      <c r="H12" s="186" t="str">
        <f t="shared" si="0"/>
        <v/>
      </c>
      <c r="I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184" t="str">
        <f>IFERROR('PAR · Reg. Notas'!O13,"")</f>
        <v/>
      </c>
      <c r="G13" s="185" t="str">
        <f>IFERROR('PAR · Reg. Notas'!P13,"")</f>
        <v/>
      </c>
      <c r="H13" s="186" t="str">
        <f t="shared" si="0"/>
        <v/>
      </c>
      <c r="I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184" t="str">
        <f>IFERROR('PAR · Reg. Notas'!O14,"")</f>
        <v/>
      </c>
      <c r="G14" s="185" t="str">
        <f>IFERROR('PAR · Reg. Notas'!P14,"")</f>
        <v/>
      </c>
      <c r="H14" s="186" t="str">
        <f t="shared" si="0"/>
        <v/>
      </c>
      <c r="I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184" t="str">
        <f>IFERROR('PAR · Reg. Notas'!O15,"")</f>
        <v/>
      </c>
      <c r="G15" s="185" t="str">
        <f>IFERROR('PAR · Reg. Notas'!P15,"")</f>
        <v/>
      </c>
      <c r="H15" s="186" t="str">
        <f t="shared" si="0"/>
        <v/>
      </c>
      <c r="I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184" t="str">
        <f>IFERROR('PAR · Reg. Notas'!O16,"")</f>
        <v/>
      </c>
      <c r="G16" s="185" t="str">
        <f>IFERROR('PAR · Reg. Notas'!P16,"")</f>
        <v/>
      </c>
      <c r="H16" s="186" t="str">
        <f t="shared" si="0"/>
        <v/>
      </c>
      <c r="I16" s="188" t="str">
        <f t="shared" si="1"/>
        <v/>
      </c>
    </row>
    <row r="17" spans="2:9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184" t="str">
        <f>IFERROR('PAR · Reg. Notas'!O17,"")</f>
        <v/>
      </c>
      <c r="G17" s="185" t="str">
        <f>IFERROR('PAR · Reg. Notas'!P17,"")</f>
        <v/>
      </c>
      <c r="H17" s="186" t="str">
        <f t="shared" si="0"/>
        <v/>
      </c>
      <c r="I17" s="187" t="str">
        <f t="shared" si="1"/>
        <v/>
      </c>
    </row>
    <row r="18" spans="2:9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184" t="str">
        <f>IFERROR('PAR · Reg. Notas'!O18,"")</f>
        <v/>
      </c>
      <c r="G18" s="185" t="str">
        <f>IFERROR('PAR · Reg. Notas'!P18,"")</f>
        <v/>
      </c>
      <c r="H18" s="186" t="str">
        <f t="shared" si="0"/>
        <v/>
      </c>
      <c r="I18" s="188" t="str">
        <f t="shared" si="1"/>
        <v/>
      </c>
    </row>
    <row r="19" spans="2:9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184" t="str">
        <f>IFERROR('PAR · Reg. Notas'!O19,"")</f>
        <v/>
      </c>
      <c r="G19" s="185" t="str">
        <f>IFERROR('PAR · Reg. Notas'!P19,"")</f>
        <v/>
      </c>
      <c r="H19" s="186" t="str">
        <f t="shared" si="0"/>
        <v/>
      </c>
      <c r="I19" s="187" t="str">
        <f t="shared" si="1"/>
        <v/>
      </c>
    </row>
    <row r="20" spans="2:9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184" t="str">
        <f>IFERROR('PAR · Reg. Notas'!O20,"")</f>
        <v/>
      </c>
      <c r="G20" s="185" t="str">
        <f>IFERROR('PAR · Reg. Notas'!P20,"")</f>
        <v/>
      </c>
      <c r="H20" s="186" t="str">
        <f t="shared" si="0"/>
        <v/>
      </c>
      <c r="I20" s="188" t="str">
        <f t="shared" si="1"/>
        <v/>
      </c>
    </row>
    <row r="21" spans="2:9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184" t="str">
        <f>IFERROR('PAR · Reg. Notas'!O21,"")</f>
        <v/>
      </c>
      <c r="G21" s="185" t="str">
        <f>IFERROR('PAR · Reg. Notas'!P21,"")</f>
        <v/>
      </c>
      <c r="H21" s="186" t="str">
        <f t="shared" si="0"/>
        <v/>
      </c>
      <c r="I21" s="187" t="str">
        <f t="shared" si="1"/>
        <v/>
      </c>
    </row>
    <row r="22" spans="2:9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184" t="str">
        <f>IFERROR('PAR · Reg. Notas'!O22,"")</f>
        <v/>
      </c>
      <c r="G22" s="185" t="str">
        <f>IFERROR('PAR · Reg. Notas'!P22,"")</f>
        <v/>
      </c>
      <c r="H22" s="186" t="str">
        <f t="shared" si="0"/>
        <v/>
      </c>
      <c r="I22" s="188" t="str">
        <f t="shared" si="1"/>
        <v/>
      </c>
    </row>
    <row r="23" spans="2:9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184" t="str">
        <f>IFERROR('PAR · Reg. Notas'!O23,"")</f>
        <v/>
      </c>
      <c r="G23" s="185" t="str">
        <f>IFERROR('PAR · Reg. Notas'!P23,"")</f>
        <v/>
      </c>
      <c r="H23" s="186" t="str">
        <f t="shared" si="0"/>
        <v/>
      </c>
      <c r="I23" s="187" t="str">
        <f t="shared" si="1"/>
        <v/>
      </c>
    </row>
    <row r="24" spans="2:9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184" t="str">
        <f>IFERROR('PAR · Reg. Notas'!O24,"")</f>
        <v/>
      </c>
      <c r="G24" s="185" t="str">
        <f>IFERROR('PAR · Reg. Notas'!P24,"")</f>
        <v/>
      </c>
      <c r="H24" s="186" t="str">
        <f t="shared" si="0"/>
        <v/>
      </c>
      <c r="I24" s="188" t="str">
        <f t="shared" si="1"/>
        <v/>
      </c>
    </row>
    <row r="25" spans="2:9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184" t="str">
        <f>IFERROR('PAR · Reg. Notas'!O25,"")</f>
        <v/>
      </c>
      <c r="G25" s="185" t="str">
        <f>IFERROR('PAR · Reg. Notas'!P25,"")</f>
        <v/>
      </c>
      <c r="H25" s="186" t="str">
        <f t="shared" si="0"/>
        <v/>
      </c>
      <c r="I25" s="187" t="str">
        <f t="shared" si="1"/>
        <v/>
      </c>
    </row>
    <row r="26" spans="2:9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184" t="str">
        <f>IFERROR('PAR · Reg. Notas'!O26,"")</f>
        <v/>
      </c>
      <c r="G26" s="185" t="str">
        <f>IFERROR('PAR · Reg. Notas'!P26,"")</f>
        <v/>
      </c>
      <c r="H26" s="186" t="str">
        <f t="shared" si="0"/>
        <v/>
      </c>
      <c r="I26" s="188" t="str">
        <f t="shared" si="1"/>
        <v/>
      </c>
    </row>
    <row r="27" spans="2:9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184" t="str">
        <f>IFERROR('PAR · Reg. Notas'!O27,"")</f>
        <v/>
      </c>
      <c r="G27" s="185" t="str">
        <f>IFERROR('PAR · Reg. Notas'!P27,"")</f>
        <v/>
      </c>
      <c r="H27" s="186" t="str">
        <f t="shared" si="0"/>
        <v/>
      </c>
      <c r="I27" s="187" t="str">
        <f t="shared" si="1"/>
        <v/>
      </c>
    </row>
    <row r="28" spans="2:9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184" t="str">
        <f>IFERROR('PAR · Reg. Notas'!O28,"")</f>
        <v/>
      </c>
      <c r="G28" s="185" t="str">
        <f>IFERROR('PAR · Reg. Notas'!P28,"")</f>
        <v/>
      </c>
      <c r="H28" s="186" t="str">
        <f t="shared" si="0"/>
        <v/>
      </c>
      <c r="I28" s="188" t="str">
        <f t="shared" si="1"/>
        <v/>
      </c>
    </row>
    <row r="29" spans="2:9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184" t="str">
        <f>IFERROR('PAR · Reg. Notas'!O29,"")</f>
        <v/>
      </c>
      <c r="G29" s="185" t="str">
        <f>IFERROR('PAR · Reg. Notas'!P29,"")</f>
        <v/>
      </c>
      <c r="H29" s="186" t="str">
        <f t="shared" si="0"/>
        <v/>
      </c>
      <c r="I29" s="187" t="str">
        <f t="shared" si="1"/>
        <v/>
      </c>
    </row>
    <row r="30" spans="2:9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184" t="str">
        <f>IFERROR('PAR · Reg. Notas'!O30,"")</f>
        <v/>
      </c>
      <c r="G30" s="185" t="str">
        <f>IFERROR('PAR · Reg. Notas'!P30,"")</f>
        <v/>
      </c>
      <c r="H30" s="186" t="str">
        <f t="shared" si="0"/>
        <v/>
      </c>
      <c r="I30" s="188" t="str">
        <f t="shared" si="1"/>
        <v/>
      </c>
    </row>
    <row r="31" spans="2:9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184" t="str">
        <f>IFERROR('PAR · Reg. Notas'!O31,"")</f>
        <v/>
      </c>
      <c r="G31" s="185" t="str">
        <f>IFERROR('PAR · Reg. Notas'!P31,"")</f>
        <v/>
      </c>
      <c r="H31" s="186" t="str">
        <f t="shared" si="0"/>
        <v/>
      </c>
      <c r="I31" s="187" t="str">
        <f t="shared" si="1"/>
        <v/>
      </c>
    </row>
    <row r="32" spans="2:9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184" t="str">
        <f>IFERROR('PAR · Reg. Notas'!O32,"")</f>
        <v/>
      </c>
      <c r="G32" s="185" t="str">
        <f>IFERROR('PAR · Reg. Notas'!P32,"")</f>
        <v/>
      </c>
      <c r="H32" s="186" t="str">
        <f t="shared" si="0"/>
        <v/>
      </c>
      <c r="I32" s="188" t="str">
        <f t="shared" si="1"/>
        <v/>
      </c>
    </row>
    <row r="33" spans="2:9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184" t="str">
        <f>IFERROR('PAR · Reg. Notas'!O33,"")</f>
        <v/>
      </c>
      <c r="G33" s="185" t="str">
        <f>IFERROR('PAR · Reg. Notas'!P33,"")</f>
        <v/>
      </c>
      <c r="H33" s="186" t="str">
        <f t="shared" si="0"/>
        <v/>
      </c>
      <c r="I33" s="187" t="str">
        <f t="shared" si="1"/>
        <v/>
      </c>
    </row>
    <row r="34" spans="2:9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184" t="str">
        <f>IFERROR('PAR · Reg. Notas'!O34,"")</f>
        <v/>
      </c>
      <c r="G34" s="185" t="str">
        <f>IFERROR('PAR · Reg. Notas'!P34,"")</f>
        <v/>
      </c>
      <c r="H34" s="186" t="str">
        <f t="shared" si="0"/>
        <v/>
      </c>
      <c r="I34" s="188" t="str">
        <f t="shared" si="1"/>
        <v/>
      </c>
    </row>
    <row r="35" spans="2:9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184" t="str">
        <f>IFERROR('PAR · Reg. Notas'!O35,"")</f>
        <v/>
      </c>
      <c r="G35" s="185" t="str">
        <f>IFERROR('PAR · Reg. Notas'!P35,"")</f>
        <v/>
      </c>
      <c r="H35" s="186" t="str">
        <f t="shared" si="0"/>
        <v/>
      </c>
      <c r="I35" s="187" t="str">
        <f t="shared" si="1"/>
        <v/>
      </c>
    </row>
    <row r="36" spans="2:9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184" t="str">
        <f>IFERROR('PAR · Reg. Notas'!O36,"")</f>
        <v/>
      </c>
      <c r="G36" s="185" t="str">
        <f>IFERROR('PAR · Reg. Notas'!P36,"")</f>
        <v/>
      </c>
      <c r="H36" s="186" t="str">
        <f t="shared" si="0"/>
        <v/>
      </c>
      <c r="I36" s="188" t="str">
        <f t="shared" si="1"/>
        <v/>
      </c>
    </row>
    <row r="37" spans="2:9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184" t="str">
        <f>IFERROR('PAR · Reg. Notas'!O37,"")</f>
        <v/>
      </c>
      <c r="G37" s="185" t="str">
        <f>IFERROR('PAR · Reg. Notas'!P37,"")</f>
        <v/>
      </c>
      <c r="H37" s="186" t="str">
        <f t="shared" si="0"/>
        <v/>
      </c>
      <c r="I37" s="187" t="str">
        <f t="shared" si="1"/>
        <v/>
      </c>
    </row>
    <row r="38" spans="2:9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184" t="str">
        <f>IFERROR('PAR · Reg. Notas'!O38,"")</f>
        <v/>
      </c>
      <c r="G38" s="185" t="str">
        <f>IFERROR('PAR · Reg. Notas'!P38,"")</f>
        <v/>
      </c>
      <c r="H38" s="186" t="str">
        <f t="shared" si="0"/>
        <v/>
      </c>
      <c r="I38" s="188" t="str">
        <f t="shared" si="1"/>
        <v/>
      </c>
    </row>
    <row r="39" spans="2:9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184" t="str">
        <f>IFERROR('PAR · Reg. Notas'!O39,"")</f>
        <v/>
      </c>
      <c r="G39" s="185" t="str">
        <f>IFERROR('PAR · Reg. Notas'!P39,"")</f>
        <v/>
      </c>
      <c r="H39" s="186" t="str">
        <f t="shared" si="0"/>
        <v/>
      </c>
      <c r="I39" s="187" t="str">
        <f t="shared" si="1"/>
        <v/>
      </c>
    </row>
    <row r="40" spans="2:9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184" t="str">
        <f>IFERROR('PAR · Reg. Notas'!O40,"")</f>
        <v/>
      </c>
      <c r="G40" s="185" t="str">
        <f>IFERROR('PAR · Reg. Notas'!P40,"")</f>
        <v/>
      </c>
      <c r="H40" s="186" t="str">
        <f t="shared" si="0"/>
        <v/>
      </c>
      <c r="I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9" width="10" customWidth="1"/>
    <col min="10" max="11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414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824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3" t="s">
        <v>416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G8" s="189" t="s">
        <v>825</v>
      </c>
      <c r="H8" s="190" t="s">
        <v>826</v>
      </c>
      <c r="I8" s="191" t="s">
        <v>827</v>
      </c>
    </row>
    <row r="10" spans="1:29" ht="36" customHeight="1" x14ac:dyDescent="0.2">
      <c r="B10" s="158" t="s">
        <v>352</v>
      </c>
      <c r="C10" s="158" t="s">
        <v>391</v>
      </c>
      <c r="D10" s="192" t="s">
        <v>420</v>
      </c>
      <c r="E10" s="192" t="s">
        <v>828</v>
      </c>
      <c r="F10" s="192" t="s">
        <v>829</v>
      </c>
      <c r="G10" s="192" t="s">
        <v>830</v>
      </c>
      <c r="H10" s="193" t="s">
        <v>831</v>
      </c>
      <c r="I10" s="172" t="s">
        <v>832</v>
      </c>
      <c r="J10" s="158" t="s">
        <v>412</v>
      </c>
      <c r="K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183"/>
      <c r="G11" s="194" t="str">
        <f>IFERROR('PAR · Reg. Notas'!Q11,"")</f>
        <v/>
      </c>
      <c r="H11" s="195" t="str">
        <f>IFERROR('PAR · Reg. Notas'!R11,"")</f>
        <v/>
      </c>
      <c r="I11" s="196" t="str">
        <f>IFERROR('PAR · Reg. Notas'!S11,"")</f>
        <v/>
      </c>
      <c r="J11" s="186" t="str">
        <f t="shared" ref="J11:J40" si="0">IFERROR(ROUND(G11*0.363636+H11*0.454545+I11*0.181818,2),"")</f>
        <v/>
      </c>
      <c r="K11" s="187" t="str">
        <f t="shared" ref="K11:K40" si="1">IF(J11="","",IF(J11&gt;=5,"APTO","NO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183"/>
      <c r="G12" s="194" t="str">
        <f>IFERROR('PAR · Reg. Notas'!Q12,"")</f>
        <v/>
      </c>
      <c r="H12" s="195" t="str">
        <f>IFERROR('PAR · Reg. Notas'!R12,"")</f>
        <v/>
      </c>
      <c r="I12" s="196" t="str">
        <f>IFERROR('PAR · Reg. Notas'!S12,"")</f>
        <v/>
      </c>
      <c r="J12" s="186" t="str">
        <f t="shared" si="0"/>
        <v/>
      </c>
      <c r="K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183"/>
      <c r="G13" s="194" t="str">
        <f>IFERROR('PAR · Reg. Notas'!Q13,"")</f>
        <v/>
      </c>
      <c r="H13" s="195" t="str">
        <f>IFERROR('PAR · Reg. Notas'!R13,"")</f>
        <v/>
      </c>
      <c r="I13" s="196" t="str">
        <f>IFERROR('PAR · Reg. Notas'!S13,"")</f>
        <v/>
      </c>
      <c r="J13" s="186" t="str">
        <f t="shared" si="0"/>
        <v/>
      </c>
      <c r="K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183"/>
      <c r="G14" s="194" t="str">
        <f>IFERROR('PAR · Reg. Notas'!Q14,"")</f>
        <v/>
      </c>
      <c r="H14" s="195" t="str">
        <f>IFERROR('PAR · Reg. Notas'!R14,"")</f>
        <v/>
      </c>
      <c r="I14" s="196" t="str">
        <f>IFERROR('PAR · Reg. Notas'!S14,"")</f>
        <v/>
      </c>
      <c r="J14" s="186" t="str">
        <f t="shared" si="0"/>
        <v/>
      </c>
      <c r="K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183"/>
      <c r="G15" s="194" t="str">
        <f>IFERROR('PAR · Reg. Notas'!Q15,"")</f>
        <v/>
      </c>
      <c r="H15" s="195" t="str">
        <f>IFERROR('PAR · Reg. Notas'!R15,"")</f>
        <v/>
      </c>
      <c r="I15" s="196" t="str">
        <f>IFERROR('PAR · Reg. Notas'!S15,"")</f>
        <v/>
      </c>
      <c r="J15" s="186" t="str">
        <f t="shared" si="0"/>
        <v/>
      </c>
      <c r="K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183"/>
      <c r="G16" s="194" t="str">
        <f>IFERROR('PAR · Reg. Notas'!Q16,"")</f>
        <v/>
      </c>
      <c r="H16" s="195" t="str">
        <f>IFERROR('PAR · Reg. Notas'!R16,"")</f>
        <v/>
      </c>
      <c r="I16" s="196" t="str">
        <f>IFERROR('PAR · Reg. Notas'!S16,"")</f>
        <v/>
      </c>
      <c r="J16" s="186" t="str">
        <f t="shared" si="0"/>
        <v/>
      </c>
      <c r="K16" s="188" t="str">
        <f t="shared" si="1"/>
        <v/>
      </c>
    </row>
    <row r="17" spans="2:11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183"/>
      <c r="G17" s="194" t="str">
        <f>IFERROR('PAR · Reg. Notas'!Q17,"")</f>
        <v/>
      </c>
      <c r="H17" s="195" t="str">
        <f>IFERROR('PAR · Reg. Notas'!R17,"")</f>
        <v/>
      </c>
      <c r="I17" s="196" t="str">
        <f>IFERROR('PAR · Reg. Notas'!S17,"")</f>
        <v/>
      </c>
      <c r="J17" s="186" t="str">
        <f t="shared" si="0"/>
        <v/>
      </c>
      <c r="K17" s="187" t="str">
        <f t="shared" si="1"/>
        <v/>
      </c>
    </row>
    <row r="18" spans="2:11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183"/>
      <c r="G18" s="194" t="str">
        <f>IFERROR('PAR · Reg. Notas'!Q18,"")</f>
        <v/>
      </c>
      <c r="H18" s="195" t="str">
        <f>IFERROR('PAR · Reg. Notas'!R18,"")</f>
        <v/>
      </c>
      <c r="I18" s="196" t="str">
        <f>IFERROR('PAR · Reg. Notas'!S18,"")</f>
        <v/>
      </c>
      <c r="J18" s="186" t="str">
        <f t="shared" si="0"/>
        <v/>
      </c>
      <c r="K18" s="188" t="str">
        <f t="shared" si="1"/>
        <v/>
      </c>
    </row>
    <row r="19" spans="2:11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183"/>
      <c r="G19" s="194" t="str">
        <f>IFERROR('PAR · Reg. Notas'!Q19,"")</f>
        <v/>
      </c>
      <c r="H19" s="195" t="str">
        <f>IFERROR('PAR · Reg. Notas'!R19,"")</f>
        <v/>
      </c>
      <c r="I19" s="196" t="str">
        <f>IFERROR('PAR · Reg. Notas'!S19,"")</f>
        <v/>
      </c>
      <c r="J19" s="186" t="str">
        <f t="shared" si="0"/>
        <v/>
      </c>
      <c r="K19" s="187" t="str">
        <f t="shared" si="1"/>
        <v/>
      </c>
    </row>
    <row r="20" spans="2:11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183"/>
      <c r="G20" s="194" t="str">
        <f>IFERROR('PAR · Reg. Notas'!Q20,"")</f>
        <v/>
      </c>
      <c r="H20" s="195" t="str">
        <f>IFERROR('PAR · Reg. Notas'!R20,"")</f>
        <v/>
      </c>
      <c r="I20" s="196" t="str">
        <f>IFERROR('PAR · Reg. Notas'!S20,"")</f>
        <v/>
      </c>
      <c r="J20" s="186" t="str">
        <f t="shared" si="0"/>
        <v/>
      </c>
      <c r="K20" s="188" t="str">
        <f t="shared" si="1"/>
        <v/>
      </c>
    </row>
    <row r="21" spans="2:11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183"/>
      <c r="G21" s="194" t="str">
        <f>IFERROR('PAR · Reg. Notas'!Q21,"")</f>
        <v/>
      </c>
      <c r="H21" s="195" t="str">
        <f>IFERROR('PAR · Reg. Notas'!R21,"")</f>
        <v/>
      </c>
      <c r="I21" s="196" t="str">
        <f>IFERROR('PAR · Reg. Notas'!S21,"")</f>
        <v/>
      </c>
      <c r="J21" s="186" t="str">
        <f t="shared" si="0"/>
        <v/>
      </c>
      <c r="K21" s="187" t="str">
        <f t="shared" si="1"/>
        <v/>
      </c>
    </row>
    <row r="22" spans="2:11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183"/>
      <c r="G22" s="194" t="str">
        <f>IFERROR('PAR · Reg. Notas'!Q22,"")</f>
        <v/>
      </c>
      <c r="H22" s="195" t="str">
        <f>IFERROR('PAR · Reg. Notas'!R22,"")</f>
        <v/>
      </c>
      <c r="I22" s="196" t="str">
        <f>IFERROR('PAR · Reg. Notas'!S22,"")</f>
        <v/>
      </c>
      <c r="J22" s="186" t="str">
        <f t="shared" si="0"/>
        <v/>
      </c>
      <c r="K22" s="188" t="str">
        <f t="shared" si="1"/>
        <v/>
      </c>
    </row>
    <row r="23" spans="2:11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183"/>
      <c r="G23" s="194" t="str">
        <f>IFERROR('PAR · Reg. Notas'!Q23,"")</f>
        <v/>
      </c>
      <c r="H23" s="195" t="str">
        <f>IFERROR('PAR · Reg. Notas'!R23,"")</f>
        <v/>
      </c>
      <c r="I23" s="196" t="str">
        <f>IFERROR('PAR · Reg. Notas'!S23,"")</f>
        <v/>
      </c>
      <c r="J23" s="186" t="str">
        <f t="shared" si="0"/>
        <v/>
      </c>
      <c r="K23" s="187" t="str">
        <f t="shared" si="1"/>
        <v/>
      </c>
    </row>
    <row r="24" spans="2:11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183"/>
      <c r="G24" s="194" t="str">
        <f>IFERROR('PAR · Reg. Notas'!Q24,"")</f>
        <v/>
      </c>
      <c r="H24" s="195" t="str">
        <f>IFERROR('PAR · Reg. Notas'!R24,"")</f>
        <v/>
      </c>
      <c r="I24" s="196" t="str">
        <f>IFERROR('PAR · Reg. Notas'!S24,"")</f>
        <v/>
      </c>
      <c r="J24" s="186" t="str">
        <f t="shared" si="0"/>
        <v/>
      </c>
      <c r="K24" s="188" t="str">
        <f t="shared" si="1"/>
        <v/>
      </c>
    </row>
    <row r="25" spans="2:11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183"/>
      <c r="G25" s="194" t="str">
        <f>IFERROR('PAR · Reg. Notas'!Q25,"")</f>
        <v/>
      </c>
      <c r="H25" s="195" t="str">
        <f>IFERROR('PAR · Reg. Notas'!R25,"")</f>
        <v/>
      </c>
      <c r="I25" s="196" t="str">
        <f>IFERROR('PAR · Reg. Notas'!S25,"")</f>
        <v/>
      </c>
      <c r="J25" s="186" t="str">
        <f t="shared" si="0"/>
        <v/>
      </c>
      <c r="K25" s="187" t="str">
        <f t="shared" si="1"/>
        <v/>
      </c>
    </row>
    <row r="26" spans="2:11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183"/>
      <c r="G26" s="194" t="str">
        <f>IFERROR('PAR · Reg. Notas'!Q26,"")</f>
        <v/>
      </c>
      <c r="H26" s="195" t="str">
        <f>IFERROR('PAR · Reg. Notas'!R26,"")</f>
        <v/>
      </c>
      <c r="I26" s="196" t="str">
        <f>IFERROR('PAR · Reg. Notas'!S26,"")</f>
        <v/>
      </c>
      <c r="J26" s="186" t="str">
        <f t="shared" si="0"/>
        <v/>
      </c>
      <c r="K26" s="188" t="str">
        <f t="shared" si="1"/>
        <v/>
      </c>
    </row>
    <row r="27" spans="2:11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183"/>
      <c r="G27" s="194" t="str">
        <f>IFERROR('PAR · Reg. Notas'!Q27,"")</f>
        <v/>
      </c>
      <c r="H27" s="195" t="str">
        <f>IFERROR('PAR · Reg. Notas'!R27,"")</f>
        <v/>
      </c>
      <c r="I27" s="196" t="str">
        <f>IFERROR('PAR · Reg. Notas'!S27,"")</f>
        <v/>
      </c>
      <c r="J27" s="186" t="str">
        <f t="shared" si="0"/>
        <v/>
      </c>
      <c r="K27" s="187" t="str">
        <f t="shared" si="1"/>
        <v/>
      </c>
    </row>
    <row r="28" spans="2:11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183"/>
      <c r="G28" s="194" t="str">
        <f>IFERROR('PAR · Reg. Notas'!Q28,"")</f>
        <v/>
      </c>
      <c r="H28" s="195" t="str">
        <f>IFERROR('PAR · Reg. Notas'!R28,"")</f>
        <v/>
      </c>
      <c r="I28" s="196" t="str">
        <f>IFERROR('PAR · Reg. Notas'!S28,"")</f>
        <v/>
      </c>
      <c r="J28" s="186" t="str">
        <f t="shared" si="0"/>
        <v/>
      </c>
      <c r="K28" s="188" t="str">
        <f t="shared" si="1"/>
        <v/>
      </c>
    </row>
    <row r="29" spans="2:11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183"/>
      <c r="G29" s="194" t="str">
        <f>IFERROR('PAR · Reg. Notas'!Q29,"")</f>
        <v/>
      </c>
      <c r="H29" s="195" t="str">
        <f>IFERROR('PAR · Reg. Notas'!R29,"")</f>
        <v/>
      </c>
      <c r="I29" s="196" t="str">
        <f>IFERROR('PAR · Reg. Notas'!S29,"")</f>
        <v/>
      </c>
      <c r="J29" s="186" t="str">
        <f t="shared" si="0"/>
        <v/>
      </c>
      <c r="K29" s="187" t="str">
        <f t="shared" si="1"/>
        <v/>
      </c>
    </row>
    <row r="30" spans="2:11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183"/>
      <c r="G30" s="194" t="str">
        <f>IFERROR('PAR · Reg. Notas'!Q30,"")</f>
        <v/>
      </c>
      <c r="H30" s="195" t="str">
        <f>IFERROR('PAR · Reg. Notas'!R30,"")</f>
        <v/>
      </c>
      <c r="I30" s="196" t="str">
        <f>IFERROR('PAR · Reg. Notas'!S30,"")</f>
        <v/>
      </c>
      <c r="J30" s="186" t="str">
        <f t="shared" si="0"/>
        <v/>
      </c>
      <c r="K30" s="188" t="str">
        <f t="shared" si="1"/>
        <v/>
      </c>
    </row>
    <row r="31" spans="2:11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183"/>
      <c r="G31" s="194" t="str">
        <f>IFERROR('PAR · Reg. Notas'!Q31,"")</f>
        <v/>
      </c>
      <c r="H31" s="195" t="str">
        <f>IFERROR('PAR · Reg. Notas'!R31,"")</f>
        <v/>
      </c>
      <c r="I31" s="196" t="str">
        <f>IFERROR('PAR · Reg. Notas'!S31,"")</f>
        <v/>
      </c>
      <c r="J31" s="186" t="str">
        <f t="shared" si="0"/>
        <v/>
      </c>
      <c r="K31" s="187" t="str">
        <f t="shared" si="1"/>
        <v/>
      </c>
    </row>
    <row r="32" spans="2:11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183"/>
      <c r="G32" s="194" t="str">
        <f>IFERROR('PAR · Reg. Notas'!Q32,"")</f>
        <v/>
      </c>
      <c r="H32" s="195" t="str">
        <f>IFERROR('PAR · Reg. Notas'!R32,"")</f>
        <v/>
      </c>
      <c r="I32" s="196" t="str">
        <f>IFERROR('PAR · Reg. Notas'!S32,"")</f>
        <v/>
      </c>
      <c r="J32" s="186" t="str">
        <f t="shared" si="0"/>
        <v/>
      </c>
      <c r="K32" s="188" t="str">
        <f t="shared" si="1"/>
        <v/>
      </c>
    </row>
    <row r="33" spans="2:11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183"/>
      <c r="G33" s="194" t="str">
        <f>IFERROR('PAR · Reg. Notas'!Q33,"")</f>
        <v/>
      </c>
      <c r="H33" s="195" t="str">
        <f>IFERROR('PAR · Reg. Notas'!R33,"")</f>
        <v/>
      </c>
      <c r="I33" s="196" t="str">
        <f>IFERROR('PAR · Reg. Notas'!S33,"")</f>
        <v/>
      </c>
      <c r="J33" s="186" t="str">
        <f t="shared" si="0"/>
        <v/>
      </c>
      <c r="K33" s="187" t="str">
        <f t="shared" si="1"/>
        <v/>
      </c>
    </row>
    <row r="34" spans="2:11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183"/>
      <c r="G34" s="194" t="str">
        <f>IFERROR('PAR · Reg. Notas'!Q34,"")</f>
        <v/>
      </c>
      <c r="H34" s="195" t="str">
        <f>IFERROR('PAR · Reg. Notas'!R34,"")</f>
        <v/>
      </c>
      <c r="I34" s="196" t="str">
        <f>IFERROR('PAR · Reg. Notas'!S34,"")</f>
        <v/>
      </c>
      <c r="J34" s="186" t="str">
        <f t="shared" si="0"/>
        <v/>
      </c>
      <c r="K34" s="188" t="str">
        <f t="shared" si="1"/>
        <v/>
      </c>
    </row>
    <row r="35" spans="2:11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183"/>
      <c r="G35" s="194" t="str">
        <f>IFERROR('PAR · Reg. Notas'!Q35,"")</f>
        <v/>
      </c>
      <c r="H35" s="195" t="str">
        <f>IFERROR('PAR · Reg. Notas'!R35,"")</f>
        <v/>
      </c>
      <c r="I35" s="196" t="str">
        <f>IFERROR('PAR · Reg. Notas'!S35,"")</f>
        <v/>
      </c>
      <c r="J35" s="186" t="str">
        <f t="shared" si="0"/>
        <v/>
      </c>
      <c r="K35" s="187" t="str">
        <f t="shared" si="1"/>
        <v/>
      </c>
    </row>
    <row r="36" spans="2:11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183"/>
      <c r="G36" s="194" t="str">
        <f>IFERROR('PAR · Reg. Notas'!Q36,"")</f>
        <v/>
      </c>
      <c r="H36" s="195" t="str">
        <f>IFERROR('PAR · Reg. Notas'!R36,"")</f>
        <v/>
      </c>
      <c r="I36" s="196" t="str">
        <f>IFERROR('PAR · Reg. Notas'!S36,"")</f>
        <v/>
      </c>
      <c r="J36" s="186" t="str">
        <f t="shared" si="0"/>
        <v/>
      </c>
      <c r="K36" s="188" t="str">
        <f t="shared" si="1"/>
        <v/>
      </c>
    </row>
    <row r="37" spans="2:11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183"/>
      <c r="G37" s="194" t="str">
        <f>IFERROR('PAR · Reg. Notas'!Q37,"")</f>
        <v/>
      </c>
      <c r="H37" s="195" t="str">
        <f>IFERROR('PAR · Reg. Notas'!R37,"")</f>
        <v/>
      </c>
      <c r="I37" s="196" t="str">
        <f>IFERROR('PAR · Reg. Notas'!S37,"")</f>
        <v/>
      </c>
      <c r="J37" s="186" t="str">
        <f t="shared" si="0"/>
        <v/>
      </c>
      <c r="K37" s="187" t="str">
        <f t="shared" si="1"/>
        <v/>
      </c>
    </row>
    <row r="38" spans="2:11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183"/>
      <c r="G38" s="194" t="str">
        <f>IFERROR('PAR · Reg. Notas'!Q38,"")</f>
        <v/>
      </c>
      <c r="H38" s="195" t="str">
        <f>IFERROR('PAR · Reg. Notas'!R38,"")</f>
        <v/>
      </c>
      <c r="I38" s="196" t="str">
        <f>IFERROR('PAR · Reg. Notas'!S38,"")</f>
        <v/>
      </c>
      <c r="J38" s="186" t="str">
        <f t="shared" si="0"/>
        <v/>
      </c>
      <c r="K38" s="188" t="str">
        <f t="shared" si="1"/>
        <v/>
      </c>
    </row>
    <row r="39" spans="2:11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183"/>
      <c r="G39" s="194" t="str">
        <f>IFERROR('PAR · Reg. Notas'!Q39,"")</f>
        <v/>
      </c>
      <c r="H39" s="195" t="str">
        <f>IFERROR('PAR · Reg. Notas'!R39,"")</f>
        <v/>
      </c>
      <c r="I39" s="196" t="str">
        <f>IFERROR('PAR · Reg. Notas'!S39,"")</f>
        <v/>
      </c>
      <c r="J39" s="186" t="str">
        <f t="shared" si="0"/>
        <v/>
      </c>
      <c r="K39" s="187" t="str">
        <f t="shared" si="1"/>
        <v/>
      </c>
    </row>
    <row r="40" spans="2:11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183"/>
      <c r="G40" s="194" t="str">
        <f>IFERROR('PAR · Reg. Notas'!Q40,"")</f>
        <v/>
      </c>
      <c r="H40" s="195" t="str">
        <f>IFERROR('PAR · Reg. Notas'!R40,"")</f>
        <v/>
      </c>
      <c r="I40" s="196" t="str">
        <f>IFERROR('PAR · Reg. Notas'!S40,"")</f>
        <v/>
      </c>
      <c r="J40" s="186" t="str">
        <f t="shared" si="0"/>
        <v/>
      </c>
      <c r="K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40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6" width="10" customWidth="1"/>
    <col min="7" max="8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833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834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3" t="s">
        <v>428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F8" s="197" t="s">
        <v>835</v>
      </c>
    </row>
    <row r="10" spans="1:29" ht="36" customHeight="1" x14ac:dyDescent="0.2">
      <c r="B10" s="158" t="s">
        <v>352</v>
      </c>
      <c r="C10" s="158" t="s">
        <v>391</v>
      </c>
      <c r="D10" s="89" t="s">
        <v>432</v>
      </c>
      <c r="E10" s="89" t="s">
        <v>836</v>
      </c>
      <c r="F10" s="200" t="s">
        <v>837</v>
      </c>
      <c r="G10" s="158" t="s">
        <v>412</v>
      </c>
      <c r="H10" s="158" t="s">
        <v>413</v>
      </c>
    </row>
    <row r="11" spans="1:29" ht="20" customHeight="1" x14ac:dyDescent="0.2">
      <c r="B11" s="173">
        <v>1</v>
      </c>
      <c r="C11" s="174" t="str">
        <f>IFERROR('PAR · Alumnos'!C10&amp;IF('PAR · Alumnos'!D10&lt;&gt;"",", "&amp;'PAR · Alumnos'!D10,""),"")</f>
        <v/>
      </c>
      <c r="D11" s="183"/>
      <c r="E11" s="183"/>
      <c r="F11" s="202" t="str">
        <f>IFERROR('PAR · Reg. Notas'!T11,"")</f>
        <v/>
      </c>
      <c r="G11" s="186" t="str">
        <f t="shared" ref="G11:G40" si="0">IFERROR(ROUND(F11*1,2),"")</f>
        <v/>
      </c>
      <c r="H11" s="187" t="str">
        <f t="shared" ref="H11:H40" si="1">IF(G11="","",IF(G11&gt;=5,"APTO","NO APTO"))</f>
        <v/>
      </c>
    </row>
    <row r="12" spans="1:29" ht="20" customHeight="1" x14ac:dyDescent="0.2">
      <c r="B12" s="173">
        <v>2</v>
      </c>
      <c r="C12" s="174" t="str">
        <f>IFERROR('PAR · Alumnos'!C11&amp;IF('PAR · Alumnos'!D11&lt;&gt;"",", "&amp;'PAR · Alumnos'!D11,""),"")</f>
        <v/>
      </c>
      <c r="D12" s="183"/>
      <c r="E12" s="183"/>
      <c r="F12" s="202" t="str">
        <f>IFERROR('PAR · Reg. Notas'!T12,"")</f>
        <v/>
      </c>
      <c r="G12" s="186" t="str">
        <f t="shared" si="0"/>
        <v/>
      </c>
      <c r="H12" s="188" t="str">
        <f t="shared" si="1"/>
        <v/>
      </c>
    </row>
    <row r="13" spans="1:29" ht="20" customHeight="1" x14ac:dyDescent="0.2">
      <c r="B13" s="173">
        <v>3</v>
      </c>
      <c r="C13" s="174" t="str">
        <f>IFERROR('PAR · Alumnos'!C12&amp;IF('PAR · Alumnos'!D12&lt;&gt;"",", "&amp;'PAR · Alumnos'!D12,""),"")</f>
        <v/>
      </c>
      <c r="D13" s="183"/>
      <c r="E13" s="183"/>
      <c r="F13" s="202" t="str">
        <f>IFERROR('PAR · Reg. Notas'!T13,"")</f>
        <v/>
      </c>
      <c r="G13" s="186" t="str">
        <f t="shared" si="0"/>
        <v/>
      </c>
      <c r="H13" s="187" t="str">
        <f t="shared" si="1"/>
        <v/>
      </c>
    </row>
    <row r="14" spans="1:29" ht="20" customHeight="1" x14ac:dyDescent="0.2">
      <c r="B14" s="173">
        <v>4</v>
      </c>
      <c r="C14" s="174" t="str">
        <f>IFERROR('PAR · Alumnos'!C13&amp;IF('PAR · Alumnos'!D13&lt;&gt;"",", "&amp;'PAR · Alumnos'!D13,""),"")</f>
        <v/>
      </c>
      <c r="D14" s="183"/>
      <c r="E14" s="183"/>
      <c r="F14" s="202" t="str">
        <f>IFERROR('PAR · Reg. Notas'!T14,"")</f>
        <v/>
      </c>
      <c r="G14" s="186" t="str">
        <f t="shared" si="0"/>
        <v/>
      </c>
      <c r="H14" s="188" t="str">
        <f t="shared" si="1"/>
        <v/>
      </c>
    </row>
    <row r="15" spans="1:29" ht="20" customHeight="1" x14ac:dyDescent="0.2">
      <c r="B15" s="173">
        <v>5</v>
      </c>
      <c r="C15" s="174" t="str">
        <f>IFERROR('PAR · Alumnos'!C14&amp;IF('PAR · Alumnos'!D14&lt;&gt;"",", "&amp;'PAR · Alumnos'!D14,""),"")</f>
        <v/>
      </c>
      <c r="D15" s="183"/>
      <c r="E15" s="183"/>
      <c r="F15" s="202" t="str">
        <f>IFERROR('PAR · Reg. Notas'!T15,"")</f>
        <v/>
      </c>
      <c r="G15" s="186" t="str">
        <f t="shared" si="0"/>
        <v/>
      </c>
      <c r="H15" s="187" t="str">
        <f t="shared" si="1"/>
        <v/>
      </c>
    </row>
    <row r="16" spans="1:29" ht="20" customHeight="1" x14ac:dyDescent="0.2">
      <c r="B16" s="173">
        <v>6</v>
      </c>
      <c r="C16" s="174" t="str">
        <f>IFERROR('PAR · Alumnos'!C15&amp;IF('PAR · Alumnos'!D15&lt;&gt;"",", "&amp;'PAR · Alumnos'!D15,""),"")</f>
        <v/>
      </c>
      <c r="D16" s="183"/>
      <c r="E16" s="183"/>
      <c r="F16" s="202" t="str">
        <f>IFERROR('PAR · Reg. Notas'!T16,"")</f>
        <v/>
      </c>
      <c r="G16" s="186" t="str">
        <f t="shared" si="0"/>
        <v/>
      </c>
      <c r="H16" s="188" t="str">
        <f t="shared" si="1"/>
        <v/>
      </c>
    </row>
    <row r="17" spans="2:8" ht="20" customHeight="1" x14ac:dyDescent="0.2">
      <c r="B17" s="173">
        <v>7</v>
      </c>
      <c r="C17" s="174" t="str">
        <f>IFERROR('PAR · Alumnos'!C16&amp;IF('PAR · Alumnos'!D16&lt;&gt;"",", "&amp;'PAR · Alumnos'!D16,""),"")</f>
        <v/>
      </c>
      <c r="D17" s="183"/>
      <c r="E17" s="183"/>
      <c r="F17" s="202" t="str">
        <f>IFERROR('PAR · Reg. Notas'!T17,"")</f>
        <v/>
      </c>
      <c r="G17" s="186" t="str">
        <f t="shared" si="0"/>
        <v/>
      </c>
      <c r="H17" s="187" t="str">
        <f t="shared" si="1"/>
        <v/>
      </c>
    </row>
    <row r="18" spans="2:8" ht="20" customHeight="1" x14ac:dyDescent="0.2">
      <c r="B18" s="173">
        <v>8</v>
      </c>
      <c r="C18" s="174" t="str">
        <f>IFERROR('PAR · Alumnos'!C17&amp;IF('PAR · Alumnos'!D17&lt;&gt;"",", "&amp;'PAR · Alumnos'!D17,""),"")</f>
        <v/>
      </c>
      <c r="D18" s="183"/>
      <c r="E18" s="183"/>
      <c r="F18" s="202" t="str">
        <f>IFERROR('PAR · Reg. Notas'!T18,"")</f>
        <v/>
      </c>
      <c r="G18" s="186" t="str">
        <f t="shared" si="0"/>
        <v/>
      </c>
      <c r="H18" s="188" t="str">
        <f t="shared" si="1"/>
        <v/>
      </c>
    </row>
    <row r="19" spans="2:8" ht="20" customHeight="1" x14ac:dyDescent="0.2">
      <c r="B19" s="173">
        <v>9</v>
      </c>
      <c r="C19" s="174" t="str">
        <f>IFERROR('PAR · Alumnos'!C18&amp;IF('PAR · Alumnos'!D18&lt;&gt;"",", "&amp;'PAR · Alumnos'!D18,""),"")</f>
        <v/>
      </c>
      <c r="D19" s="183"/>
      <c r="E19" s="183"/>
      <c r="F19" s="202" t="str">
        <f>IFERROR('PAR · Reg. Notas'!T19,"")</f>
        <v/>
      </c>
      <c r="G19" s="186" t="str">
        <f t="shared" si="0"/>
        <v/>
      </c>
      <c r="H19" s="187" t="str">
        <f t="shared" si="1"/>
        <v/>
      </c>
    </row>
    <row r="20" spans="2:8" ht="20" customHeight="1" x14ac:dyDescent="0.2">
      <c r="B20" s="173">
        <v>10</v>
      </c>
      <c r="C20" s="174" t="str">
        <f>IFERROR('PAR · Alumnos'!C19&amp;IF('PAR · Alumnos'!D19&lt;&gt;"",", "&amp;'PAR · Alumnos'!D19,""),"")</f>
        <v/>
      </c>
      <c r="D20" s="183"/>
      <c r="E20" s="183"/>
      <c r="F20" s="202" t="str">
        <f>IFERROR('PAR · Reg. Notas'!T20,"")</f>
        <v/>
      </c>
      <c r="G20" s="186" t="str">
        <f t="shared" si="0"/>
        <v/>
      </c>
      <c r="H20" s="188" t="str">
        <f t="shared" si="1"/>
        <v/>
      </c>
    </row>
    <row r="21" spans="2:8" ht="20" customHeight="1" x14ac:dyDescent="0.2">
      <c r="B21" s="173">
        <v>11</v>
      </c>
      <c r="C21" s="174" t="str">
        <f>IFERROR('PAR · Alumnos'!C20&amp;IF('PAR · Alumnos'!D20&lt;&gt;"",", "&amp;'PAR · Alumnos'!D20,""),"")</f>
        <v/>
      </c>
      <c r="D21" s="183"/>
      <c r="E21" s="183"/>
      <c r="F21" s="202" t="str">
        <f>IFERROR('PAR · Reg. Notas'!T21,"")</f>
        <v/>
      </c>
      <c r="G21" s="186" t="str">
        <f t="shared" si="0"/>
        <v/>
      </c>
      <c r="H21" s="187" t="str">
        <f t="shared" si="1"/>
        <v/>
      </c>
    </row>
    <row r="22" spans="2:8" ht="20" customHeight="1" x14ac:dyDescent="0.2">
      <c r="B22" s="173">
        <v>12</v>
      </c>
      <c r="C22" s="174" t="str">
        <f>IFERROR('PAR · Alumnos'!C21&amp;IF('PAR · Alumnos'!D21&lt;&gt;"",", "&amp;'PAR · Alumnos'!D21,""),"")</f>
        <v/>
      </c>
      <c r="D22" s="183"/>
      <c r="E22" s="183"/>
      <c r="F22" s="202" t="str">
        <f>IFERROR('PAR · Reg. Notas'!T22,"")</f>
        <v/>
      </c>
      <c r="G22" s="186" t="str">
        <f t="shared" si="0"/>
        <v/>
      </c>
      <c r="H22" s="188" t="str">
        <f t="shared" si="1"/>
        <v/>
      </c>
    </row>
    <row r="23" spans="2:8" ht="20" customHeight="1" x14ac:dyDescent="0.2">
      <c r="B23" s="173">
        <v>13</v>
      </c>
      <c r="C23" s="174" t="str">
        <f>IFERROR('PAR · Alumnos'!C22&amp;IF('PAR · Alumnos'!D22&lt;&gt;"",", "&amp;'PAR · Alumnos'!D22,""),"")</f>
        <v/>
      </c>
      <c r="D23" s="183"/>
      <c r="E23" s="183"/>
      <c r="F23" s="202" t="str">
        <f>IFERROR('PAR · Reg. Notas'!T23,"")</f>
        <v/>
      </c>
      <c r="G23" s="186" t="str">
        <f t="shared" si="0"/>
        <v/>
      </c>
      <c r="H23" s="187" t="str">
        <f t="shared" si="1"/>
        <v/>
      </c>
    </row>
    <row r="24" spans="2:8" ht="20" customHeight="1" x14ac:dyDescent="0.2">
      <c r="B24" s="173">
        <v>14</v>
      </c>
      <c r="C24" s="174" t="str">
        <f>IFERROR('PAR · Alumnos'!C23&amp;IF('PAR · Alumnos'!D23&lt;&gt;"",", "&amp;'PAR · Alumnos'!D23,""),"")</f>
        <v/>
      </c>
      <c r="D24" s="183"/>
      <c r="E24" s="183"/>
      <c r="F24" s="202" t="str">
        <f>IFERROR('PAR · Reg. Notas'!T24,"")</f>
        <v/>
      </c>
      <c r="G24" s="186" t="str">
        <f t="shared" si="0"/>
        <v/>
      </c>
      <c r="H24" s="188" t="str">
        <f t="shared" si="1"/>
        <v/>
      </c>
    </row>
    <row r="25" spans="2:8" ht="20" customHeight="1" x14ac:dyDescent="0.2">
      <c r="B25" s="173">
        <v>15</v>
      </c>
      <c r="C25" s="174" t="str">
        <f>IFERROR('PAR · Alumnos'!C24&amp;IF('PAR · Alumnos'!D24&lt;&gt;"",", "&amp;'PAR · Alumnos'!D24,""),"")</f>
        <v/>
      </c>
      <c r="D25" s="183"/>
      <c r="E25" s="183"/>
      <c r="F25" s="202" t="str">
        <f>IFERROR('PAR · Reg. Notas'!T25,"")</f>
        <v/>
      </c>
      <c r="G25" s="186" t="str">
        <f t="shared" si="0"/>
        <v/>
      </c>
      <c r="H25" s="187" t="str">
        <f t="shared" si="1"/>
        <v/>
      </c>
    </row>
    <row r="26" spans="2:8" ht="20" customHeight="1" x14ac:dyDescent="0.2">
      <c r="B26" s="173">
        <v>16</v>
      </c>
      <c r="C26" s="174" t="str">
        <f>IFERROR('PAR · Alumnos'!C25&amp;IF('PAR · Alumnos'!D25&lt;&gt;"",", "&amp;'PAR · Alumnos'!D25,""),"")</f>
        <v/>
      </c>
      <c r="D26" s="183"/>
      <c r="E26" s="183"/>
      <c r="F26" s="202" t="str">
        <f>IFERROR('PAR · Reg. Notas'!T26,"")</f>
        <v/>
      </c>
      <c r="G26" s="186" t="str">
        <f t="shared" si="0"/>
        <v/>
      </c>
      <c r="H26" s="188" t="str">
        <f t="shared" si="1"/>
        <v/>
      </c>
    </row>
    <row r="27" spans="2:8" ht="20" customHeight="1" x14ac:dyDescent="0.2">
      <c r="B27" s="173">
        <v>17</v>
      </c>
      <c r="C27" s="174" t="str">
        <f>IFERROR('PAR · Alumnos'!C26&amp;IF('PAR · Alumnos'!D26&lt;&gt;"",", "&amp;'PAR · Alumnos'!D26,""),"")</f>
        <v/>
      </c>
      <c r="D27" s="183"/>
      <c r="E27" s="183"/>
      <c r="F27" s="202" t="str">
        <f>IFERROR('PAR · Reg. Notas'!T27,"")</f>
        <v/>
      </c>
      <c r="G27" s="186" t="str">
        <f t="shared" si="0"/>
        <v/>
      </c>
      <c r="H27" s="187" t="str">
        <f t="shared" si="1"/>
        <v/>
      </c>
    </row>
    <row r="28" spans="2:8" ht="20" customHeight="1" x14ac:dyDescent="0.2">
      <c r="B28" s="173">
        <v>18</v>
      </c>
      <c r="C28" s="174" t="str">
        <f>IFERROR('PAR · Alumnos'!C27&amp;IF('PAR · Alumnos'!D27&lt;&gt;"",", "&amp;'PAR · Alumnos'!D27,""),"")</f>
        <v/>
      </c>
      <c r="D28" s="183"/>
      <c r="E28" s="183"/>
      <c r="F28" s="202" t="str">
        <f>IFERROR('PAR · Reg. Notas'!T28,"")</f>
        <v/>
      </c>
      <c r="G28" s="186" t="str">
        <f t="shared" si="0"/>
        <v/>
      </c>
      <c r="H28" s="188" t="str">
        <f t="shared" si="1"/>
        <v/>
      </c>
    </row>
    <row r="29" spans="2:8" ht="20" customHeight="1" x14ac:dyDescent="0.2">
      <c r="B29" s="173">
        <v>19</v>
      </c>
      <c r="C29" s="174" t="str">
        <f>IFERROR('PAR · Alumnos'!C28&amp;IF('PAR · Alumnos'!D28&lt;&gt;"",", "&amp;'PAR · Alumnos'!D28,""),"")</f>
        <v/>
      </c>
      <c r="D29" s="183"/>
      <c r="E29" s="183"/>
      <c r="F29" s="202" t="str">
        <f>IFERROR('PAR · Reg. Notas'!T29,"")</f>
        <v/>
      </c>
      <c r="G29" s="186" t="str">
        <f t="shared" si="0"/>
        <v/>
      </c>
      <c r="H29" s="187" t="str">
        <f t="shared" si="1"/>
        <v/>
      </c>
    </row>
    <row r="30" spans="2:8" ht="20" customHeight="1" x14ac:dyDescent="0.2">
      <c r="B30" s="173">
        <v>20</v>
      </c>
      <c r="C30" s="174" t="str">
        <f>IFERROR('PAR · Alumnos'!C29&amp;IF('PAR · Alumnos'!D29&lt;&gt;"",", "&amp;'PAR · Alumnos'!D29,""),"")</f>
        <v/>
      </c>
      <c r="D30" s="183"/>
      <c r="E30" s="183"/>
      <c r="F30" s="202" t="str">
        <f>IFERROR('PAR · Reg. Notas'!T30,"")</f>
        <v/>
      </c>
      <c r="G30" s="186" t="str">
        <f t="shared" si="0"/>
        <v/>
      </c>
      <c r="H30" s="188" t="str">
        <f t="shared" si="1"/>
        <v/>
      </c>
    </row>
    <row r="31" spans="2:8" ht="20" customHeight="1" x14ac:dyDescent="0.2">
      <c r="B31" s="173">
        <v>21</v>
      </c>
      <c r="C31" s="174" t="str">
        <f>IFERROR('PAR · Alumnos'!C30&amp;IF('PAR · Alumnos'!D30&lt;&gt;"",", "&amp;'PAR · Alumnos'!D30,""),"")</f>
        <v/>
      </c>
      <c r="D31" s="183"/>
      <c r="E31" s="183"/>
      <c r="F31" s="202" t="str">
        <f>IFERROR('PAR · Reg. Notas'!T31,"")</f>
        <v/>
      </c>
      <c r="G31" s="186" t="str">
        <f t="shared" si="0"/>
        <v/>
      </c>
      <c r="H31" s="187" t="str">
        <f t="shared" si="1"/>
        <v/>
      </c>
    </row>
    <row r="32" spans="2:8" ht="20" customHeight="1" x14ac:dyDescent="0.2">
      <c r="B32" s="173">
        <v>22</v>
      </c>
      <c r="C32" s="174" t="str">
        <f>IFERROR('PAR · Alumnos'!C31&amp;IF('PAR · Alumnos'!D31&lt;&gt;"",", "&amp;'PAR · Alumnos'!D31,""),"")</f>
        <v/>
      </c>
      <c r="D32" s="183"/>
      <c r="E32" s="183"/>
      <c r="F32" s="202" t="str">
        <f>IFERROR('PAR · Reg. Notas'!T32,"")</f>
        <v/>
      </c>
      <c r="G32" s="186" t="str">
        <f t="shared" si="0"/>
        <v/>
      </c>
      <c r="H32" s="188" t="str">
        <f t="shared" si="1"/>
        <v/>
      </c>
    </row>
    <row r="33" spans="2:8" ht="20" customHeight="1" x14ac:dyDescent="0.2">
      <c r="B33" s="173">
        <v>23</v>
      </c>
      <c r="C33" s="174" t="str">
        <f>IFERROR('PAR · Alumnos'!C32&amp;IF('PAR · Alumnos'!D32&lt;&gt;"",", "&amp;'PAR · Alumnos'!D32,""),"")</f>
        <v/>
      </c>
      <c r="D33" s="183"/>
      <c r="E33" s="183"/>
      <c r="F33" s="202" t="str">
        <f>IFERROR('PAR · Reg. Notas'!T33,"")</f>
        <v/>
      </c>
      <c r="G33" s="186" t="str">
        <f t="shared" si="0"/>
        <v/>
      </c>
      <c r="H33" s="187" t="str">
        <f t="shared" si="1"/>
        <v/>
      </c>
    </row>
    <row r="34" spans="2:8" ht="20" customHeight="1" x14ac:dyDescent="0.2">
      <c r="B34" s="173">
        <v>24</v>
      </c>
      <c r="C34" s="174" t="str">
        <f>IFERROR('PAR · Alumnos'!C33&amp;IF('PAR · Alumnos'!D33&lt;&gt;"",", "&amp;'PAR · Alumnos'!D33,""),"")</f>
        <v/>
      </c>
      <c r="D34" s="183"/>
      <c r="E34" s="183"/>
      <c r="F34" s="202" t="str">
        <f>IFERROR('PAR · Reg. Notas'!T34,"")</f>
        <v/>
      </c>
      <c r="G34" s="186" t="str">
        <f t="shared" si="0"/>
        <v/>
      </c>
      <c r="H34" s="188" t="str">
        <f t="shared" si="1"/>
        <v/>
      </c>
    </row>
    <row r="35" spans="2:8" ht="20" customHeight="1" x14ac:dyDescent="0.2">
      <c r="B35" s="173">
        <v>25</v>
      </c>
      <c r="C35" s="174" t="str">
        <f>IFERROR('PAR · Alumnos'!C34&amp;IF('PAR · Alumnos'!D34&lt;&gt;"",", "&amp;'PAR · Alumnos'!D34,""),"")</f>
        <v/>
      </c>
      <c r="D35" s="183"/>
      <c r="E35" s="183"/>
      <c r="F35" s="202" t="str">
        <f>IFERROR('PAR · Reg. Notas'!T35,"")</f>
        <v/>
      </c>
      <c r="G35" s="186" t="str">
        <f t="shared" si="0"/>
        <v/>
      </c>
      <c r="H35" s="187" t="str">
        <f t="shared" si="1"/>
        <v/>
      </c>
    </row>
    <row r="36" spans="2:8" ht="20" customHeight="1" x14ac:dyDescent="0.2">
      <c r="B36" s="173">
        <v>26</v>
      </c>
      <c r="C36" s="174" t="str">
        <f>IFERROR('PAR · Alumnos'!C35&amp;IF('PAR · Alumnos'!D35&lt;&gt;"",", "&amp;'PAR · Alumnos'!D35,""),"")</f>
        <v/>
      </c>
      <c r="D36" s="183"/>
      <c r="E36" s="183"/>
      <c r="F36" s="202" t="str">
        <f>IFERROR('PAR · Reg. Notas'!T36,"")</f>
        <v/>
      </c>
      <c r="G36" s="186" t="str">
        <f t="shared" si="0"/>
        <v/>
      </c>
      <c r="H36" s="188" t="str">
        <f t="shared" si="1"/>
        <v/>
      </c>
    </row>
    <row r="37" spans="2:8" ht="20" customHeight="1" x14ac:dyDescent="0.2">
      <c r="B37" s="173">
        <v>27</v>
      </c>
      <c r="C37" s="174" t="str">
        <f>IFERROR('PAR · Alumnos'!C36&amp;IF('PAR · Alumnos'!D36&lt;&gt;"",", "&amp;'PAR · Alumnos'!D36,""),"")</f>
        <v/>
      </c>
      <c r="D37" s="183"/>
      <c r="E37" s="183"/>
      <c r="F37" s="202" t="str">
        <f>IFERROR('PAR · Reg. Notas'!T37,"")</f>
        <v/>
      </c>
      <c r="G37" s="186" t="str">
        <f t="shared" si="0"/>
        <v/>
      </c>
      <c r="H37" s="187" t="str">
        <f t="shared" si="1"/>
        <v/>
      </c>
    </row>
    <row r="38" spans="2:8" ht="20" customHeight="1" x14ac:dyDescent="0.2">
      <c r="B38" s="173">
        <v>28</v>
      </c>
      <c r="C38" s="174" t="str">
        <f>IFERROR('PAR · Alumnos'!C37&amp;IF('PAR · Alumnos'!D37&lt;&gt;"",", "&amp;'PAR · Alumnos'!D37,""),"")</f>
        <v/>
      </c>
      <c r="D38" s="183"/>
      <c r="E38" s="183"/>
      <c r="F38" s="202" t="str">
        <f>IFERROR('PAR · Reg. Notas'!T38,"")</f>
        <v/>
      </c>
      <c r="G38" s="186" t="str">
        <f t="shared" si="0"/>
        <v/>
      </c>
      <c r="H38" s="188" t="str">
        <f t="shared" si="1"/>
        <v/>
      </c>
    </row>
    <row r="39" spans="2:8" ht="20" customHeight="1" x14ac:dyDescent="0.2">
      <c r="B39" s="173">
        <v>29</v>
      </c>
      <c r="C39" s="174" t="str">
        <f>IFERROR('PAR · Alumnos'!C38&amp;IF('PAR · Alumnos'!D38&lt;&gt;"",", "&amp;'PAR · Alumnos'!D38,""),"")</f>
        <v/>
      </c>
      <c r="D39" s="183"/>
      <c r="E39" s="183"/>
      <c r="F39" s="202" t="str">
        <f>IFERROR('PAR · Reg. Notas'!T39,"")</f>
        <v/>
      </c>
      <c r="G39" s="186" t="str">
        <f t="shared" si="0"/>
        <v/>
      </c>
      <c r="H39" s="187" t="str">
        <f t="shared" si="1"/>
        <v/>
      </c>
    </row>
    <row r="40" spans="2:8" ht="20" customHeight="1" x14ac:dyDescent="0.2">
      <c r="B40" s="173">
        <v>30</v>
      </c>
      <c r="C40" s="174" t="str">
        <f>IFERROR('PAR · Alumnos'!C39&amp;IF('PAR · Alumnos'!D39&lt;&gt;"",", "&amp;'PAR · Alumnos'!D39,""),"")</f>
        <v/>
      </c>
      <c r="D40" s="183"/>
      <c r="E40" s="183"/>
      <c r="F40" s="202" t="str">
        <f>IFERROR('PAR · Reg. Notas'!T40,"")</f>
        <v/>
      </c>
      <c r="G40" s="186" t="str">
        <f t="shared" si="0"/>
        <v/>
      </c>
      <c r="H40" s="188" t="str">
        <f t="shared" si="1"/>
        <v/>
      </c>
    </row>
  </sheetData>
  <mergeCells count="2">
    <mergeCell ref="B3:K3"/>
    <mergeCell ref="B2:K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C46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2" customWidth="1"/>
    <col min="4" max="9" width="9" customWidth="1"/>
    <col min="10" max="11" width="12" customWidth="1"/>
    <col min="12" max="12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438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838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3" t="s">
        <v>440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03" t="s">
        <v>441</v>
      </c>
      <c r="D8" s="204" t="s">
        <v>166</v>
      </c>
      <c r="E8" s="204" t="s">
        <v>166</v>
      </c>
      <c r="F8" s="171" t="s">
        <v>175</v>
      </c>
      <c r="G8" s="171" t="s">
        <v>175</v>
      </c>
      <c r="H8" s="171" t="s">
        <v>175</v>
      </c>
      <c r="I8" s="205" t="s">
        <v>185</v>
      </c>
    </row>
    <row r="9" spans="1:29" ht="14" customHeight="1" x14ac:dyDescent="0.2">
      <c r="B9" s="206" t="s">
        <v>442</v>
      </c>
      <c r="D9" s="207" t="s">
        <v>780</v>
      </c>
      <c r="E9" s="208" t="s">
        <v>784</v>
      </c>
      <c r="F9" s="209" t="s">
        <v>784</v>
      </c>
      <c r="G9" s="210" t="s">
        <v>789</v>
      </c>
      <c r="H9" s="211" t="s">
        <v>792</v>
      </c>
      <c r="I9" s="212" t="s">
        <v>792</v>
      </c>
      <c r="J9" s="197" t="s">
        <v>443</v>
      </c>
    </row>
    <row r="10" spans="1:29" ht="36" customHeight="1" x14ac:dyDescent="0.2">
      <c r="B10" s="158" t="s">
        <v>352</v>
      </c>
      <c r="C10" s="158" t="s">
        <v>391</v>
      </c>
      <c r="D10" s="182" t="s">
        <v>839</v>
      </c>
      <c r="E10" s="89" t="s">
        <v>840</v>
      </c>
      <c r="F10" s="192" t="s">
        <v>841</v>
      </c>
      <c r="G10" s="193" t="s">
        <v>842</v>
      </c>
      <c r="H10" s="172" t="s">
        <v>843</v>
      </c>
      <c r="I10" s="200" t="s">
        <v>844</v>
      </c>
      <c r="J10" s="158" t="s">
        <v>452</v>
      </c>
      <c r="K10" s="158" t="s">
        <v>413</v>
      </c>
      <c r="L10" s="158" t="s">
        <v>358</v>
      </c>
    </row>
    <row r="11" spans="1:29" ht="20" customHeight="1" x14ac:dyDescent="0.2">
      <c r="B11" s="154">
        <v>1</v>
      </c>
      <c r="C11" s="174" t="str">
        <f>IFERROR('PAR · Alumnos'!C10&amp;IF('PAR · Alumnos'!D10&lt;&gt;"",", "&amp;'PAR · Alumnos'!D10,""),"")</f>
        <v/>
      </c>
      <c r="D11" s="184" t="str">
        <f>IFERROR('PAR · Reg. Notas'!O11,"")</f>
        <v/>
      </c>
      <c r="E11" s="185" t="str">
        <f>IFERROR('PAR · Reg. Notas'!P11,"")</f>
        <v/>
      </c>
      <c r="F11" s="194" t="str">
        <f>IFERROR('PAR · Reg. Notas'!Q11,"")</f>
        <v/>
      </c>
      <c r="G11" s="195" t="str">
        <f>IFERROR('PAR · Reg. Notas'!R11,"")</f>
        <v/>
      </c>
      <c r="H11" s="196" t="str">
        <f>IFERROR('PAR · Reg. Notas'!S11,"")</f>
        <v/>
      </c>
      <c r="I11" s="202" t="str">
        <f>IFERROR('PAR · Reg. Notas'!T11,"")</f>
        <v/>
      </c>
      <c r="J11" s="215" t="str">
        <f t="shared" ref="J11:J40" si="0">IFERROR(ROUND(D11*0.15+E11*0.2+F11*0.2+G11*0.25+H11*0.1+I11*0.1,2),"")</f>
        <v/>
      </c>
      <c r="K11" s="216" t="str">
        <f t="shared" ref="K11:K40" si="1">IF(J11="","",IF(J11&gt;=5,"APTO","NO APTO"))</f>
        <v/>
      </c>
      <c r="L11" s="72"/>
    </row>
    <row r="12" spans="1:29" ht="20" customHeight="1" x14ac:dyDescent="0.2">
      <c r="B12" s="154">
        <v>2</v>
      </c>
      <c r="C12" s="174" t="str">
        <f>IFERROR('PAR · Alumnos'!C11&amp;IF('PAR · Alumnos'!D11&lt;&gt;"",", "&amp;'PAR · Alumnos'!D11,""),"")</f>
        <v/>
      </c>
      <c r="D12" s="184" t="str">
        <f>IFERROR('PAR · Reg. Notas'!O12,"")</f>
        <v/>
      </c>
      <c r="E12" s="185" t="str">
        <f>IFERROR('PAR · Reg. Notas'!P12,"")</f>
        <v/>
      </c>
      <c r="F12" s="194" t="str">
        <f>IFERROR('PAR · Reg. Notas'!Q12,"")</f>
        <v/>
      </c>
      <c r="G12" s="195" t="str">
        <f>IFERROR('PAR · Reg. Notas'!R12,"")</f>
        <v/>
      </c>
      <c r="H12" s="196" t="str">
        <f>IFERROR('PAR · Reg. Notas'!S12,"")</f>
        <v/>
      </c>
      <c r="I12" s="202" t="str">
        <f>IFERROR('PAR · Reg. Notas'!T12,"")</f>
        <v/>
      </c>
      <c r="J12" s="215" t="str">
        <f t="shared" si="0"/>
        <v/>
      </c>
      <c r="K12" s="217" t="str">
        <f t="shared" si="1"/>
        <v/>
      </c>
      <c r="L12" s="71"/>
    </row>
    <row r="13" spans="1:29" ht="20" customHeight="1" x14ac:dyDescent="0.2">
      <c r="B13" s="154">
        <v>3</v>
      </c>
      <c r="C13" s="174" t="str">
        <f>IFERROR('PAR · Alumnos'!C12&amp;IF('PAR · Alumnos'!D12&lt;&gt;"",", "&amp;'PAR · Alumnos'!D12,""),"")</f>
        <v/>
      </c>
      <c r="D13" s="184" t="str">
        <f>IFERROR('PAR · Reg. Notas'!O13,"")</f>
        <v/>
      </c>
      <c r="E13" s="185" t="str">
        <f>IFERROR('PAR · Reg. Notas'!P13,"")</f>
        <v/>
      </c>
      <c r="F13" s="194" t="str">
        <f>IFERROR('PAR · Reg. Notas'!Q13,"")</f>
        <v/>
      </c>
      <c r="G13" s="195" t="str">
        <f>IFERROR('PAR · Reg. Notas'!R13,"")</f>
        <v/>
      </c>
      <c r="H13" s="196" t="str">
        <f>IFERROR('PAR · Reg. Notas'!S13,"")</f>
        <v/>
      </c>
      <c r="I13" s="202" t="str">
        <f>IFERROR('PAR · Reg. Notas'!T13,"")</f>
        <v/>
      </c>
      <c r="J13" s="215" t="str">
        <f t="shared" si="0"/>
        <v/>
      </c>
      <c r="K13" s="216" t="str">
        <f t="shared" si="1"/>
        <v/>
      </c>
      <c r="L13" s="72"/>
    </row>
    <row r="14" spans="1:29" ht="20" customHeight="1" x14ac:dyDescent="0.2">
      <c r="B14" s="154">
        <v>4</v>
      </c>
      <c r="C14" s="174" t="str">
        <f>IFERROR('PAR · Alumnos'!C13&amp;IF('PAR · Alumnos'!D13&lt;&gt;"",", "&amp;'PAR · Alumnos'!D13,""),"")</f>
        <v/>
      </c>
      <c r="D14" s="184" t="str">
        <f>IFERROR('PAR · Reg. Notas'!O14,"")</f>
        <v/>
      </c>
      <c r="E14" s="185" t="str">
        <f>IFERROR('PAR · Reg. Notas'!P14,"")</f>
        <v/>
      </c>
      <c r="F14" s="194" t="str">
        <f>IFERROR('PAR · Reg. Notas'!Q14,"")</f>
        <v/>
      </c>
      <c r="G14" s="195" t="str">
        <f>IFERROR('PAR · Reg. Notas'!R14,"")</f>
        <v/>
      </c>
      <c r="H14" s="196" t="str">
        <f>IFERROR('PAR · Reg. Notas'!S14,"")</f>
        <v/>
      </c>
      <c r="I14" s="202" t="str">
        <f>IFERROR('PAR · Reg. Notas'!T14,"")</f>
        <v/>
      </c>
      <c r="J14" s="215" t="str">
        <f t="shared" si="0"/>
        <v/>
      </c>
      <c r="K14" s="217" t="str">
        <f t="shared" si="1"/>
        <v/>
      </c>
      <c r="L14" s="71"/>
    </row>
    <row r="15" spans="1:29" ht="20" customHeight="1" x14ac:dyDescent="0.2">
      <c r="B15" s="154">
        <v>5</v>
      </c>
      <c r="C15" s="174" t="str">
        <f>IFERROR('PAR · Alumnos'!C14&amp;IF('PAR · Alumnos'!D14&lt;&gt;"",", "&amp;'PAR · Alumnos'!D14,""),"")</f>
        <v/>
      </c>
      <c r="D15" s="184" t="str">
        <f>IFERROR('PAR · Reg. Notas'!O15,"")</f>
        <v/>
      </c>
      <c r="E15" s="185" t="str">
        <f>IFERROR('PAR · Reg. Notas'!P15,"")</f>
        <v/>
      </c>
      <c r="F15" s="194" t="str">
        <f>IFERROR('PAR · Reg. Notas'!Q15,"")</f>
        <v/>
      </c>
      <c r="G15" s="195" t="str">
        <f>IFERROR('PAR · Reg. Notas'!R15,"")</f>
        <v/>
      </c>
      <c r="H15" s="196" t="str">
        <f>IFERROR('PAR · Reg. Notas'!S15,"")</f>
        <v/>
      </c>
      <c r="I15" s="202" t="str">
        <f>IFERROR('PAR · Reg. Notas'!T15,"")</f>
        <v/>
      </c>
      <c r="J15" s="215" t="str">
        <f t="shared" si="0"/>
        <v/>
      </c>
      <c r="K15" s="216" t="str">
        <f t="shared" si="1"/>
        <v/>
      </c>
      <c r="L15" s="72"/>
    </row>
    <row r="16" spans="1:29" ht="20" customHeight="1" x14ac:dyDescent="0.2">
      <c r="B16" s="154">
        <v>6</v>
      </c>
      <c r="C16" s="174" t="str">
        <f>IFERROR('PAR · Alumnos'!C15&amp;IF('PAR · Alumnos'!D15&lt;&gt;"",", "&amp;'PAR · Alumnos'!D15,""),"")</f>
        <v/>
      </c>
      <c r="D16" s="184" t="str">
        <f>IFERROR('PAR · Reg. Notas'!O16,"")</f>
        <v/>
      </c>
      <c r="E16" s="185" t="str">
        <f>IFERROR('PAR · Reg. Notas'!P16,"")</f>
        <v/>
      </c>
      <c r="F16" s="194" t="str">
        <f>IFERROR('PAR · Reg. Notas'!Q16,"")</f>
        <v/>
      </c>
      <c r="G16" s="195" t="str">
        <f>IFERROR('PAR · Reg. Notas'!R16,"")</f>
        <v/>
      </c>
      <c r="H16" s="196" t="str">
        <f>IFERROR('PAR · Reg. Notas'!S16,"")</f>
        <v/>
      </c>
      <c r="I16" s="202" t="str">
        <f>IFERROR('PAR · Reg. Notas'!T16,"")</f>
        <v/>
      </c>
      <c r="J16" s="215" t="str">
        <f t="shared" si="0"/>
        <v/>
      </c>
      <c r="K16" s="217" t="str">
        <f t="shared" si="1"/>
        <v/>
      </c>
      <c r="L16" s="71"/>
    </row>
    <row r="17" spans="2:12" ht="20" customHeight="1" x14ac:dyDescent="0.2">
      <c r="B17" s="154">
        <v>7</v>
      </c>
      <c r="C17" s="174" t="str">
        <f>IFERROR('PAR · Alumnos'!C16&amp;IF('PAR · Alumnos'!D16&lt;&gt;"",", "&amp;'PAR · Alumnos'!D16,""),"")</f>
        <v/>
      </c>
      <c r="D17" s="184" t="str">
        <f>IFERROR('PAR · Reg. Notas'!O17,"")</f>
        <v/>
      </c>
      <c r="E17" s="185" t="str">
        <f>IFERROR('PAR · Reg. Notas'!P17,"")</f>
        <v/>
      </c>
      <c r="F17" s="194" t="str">
        <f>IFERROR('PAR · Reg. Notas'!Q17,"")</f>
        <v/>
      </c>
      <c r="G17" s="195" t="str">
        <f>IFERROR('PAR · Reg. Notas'!R17,"")</f>
        <v/>
      </c>
      <c r="H17" s="196" t="str">
        <f>IFERROR('PAR · Reg. Notas'!S17,"")</f>
        <v/>
      </c>
      <c r="I17" s="202" t="str">
        <f>IFERROR('PAR · Reg. Notas'!T17,"")</f>
        <v/>
      </c>
      <c r="J17" s="215" t="str">
        <f t="shared" si="0"/>
        <v/>
      </c>
      <c r="K17" s="216" t="str">
        <f t="shared" si="1"/>
        <v/>
      </c>
      <c r="L17" s="72"/>
    </row>
    <row r="18" spans="2:12" ht="20" customHeight="1" x14ac:dyDescent="0.2">
      <c r="B18" s="154">
        <v>8</v>
      </c>
      <c r="C18" s="174" t="str">
        <f>IFERROR('PAR · Alumnos'!C17&amp;IF('PAR · Alumnos'!D17&lt;&gt;"",", "&amp;'PAR · Alumnos'!D17,""),"")</f>
        <v/>
      </c>
      <c r="D18" s="184" t="str">
        <f>IFERROR('PAR · Reg. Notas'!O18,"")</f>
        <v/>
      </c>
      <c r="E18" s="185" t="str">
        <f>IFERROR('PAR · Reg. Notas'!P18,"")</f>
        <v/>
      </c>
      <c r="F18" s="194" t="str">
        <f>IFERROR('PAR · Reg. Notas'!Q18,"")</f>
        <v/>
      </c>
      <c r="G18" s="195" t="str">
        <f>IFERROR('PAR · Reg. Notas'!R18,"")</f>
        <v/>
      </c>
      <c r="H18" s="196" t="str">
        <f>IFERROR('PAR · Reg. Notas'!S18,"")</f>
        <v/>
      </c>
      <c r="I18" s="202" t="str">
        <f>IFERROR('PAR · Reg. Notas'!T18,"")</f>
        <v/>
      </c>
      <c r="J18" s="215" t="str">
        <f t="shared" si="0"/>
        <v/>
      </c>
      <c r="K18" s="217" t="str">
        <f t="shared" si="1"/>
        <v/>
      </c>
      <c r="L18" s="71"/>
    </row>
    <row r="19" spans="2:12" ht="20" customHeight="1" x14ac:dyDescent="0.2">
      <c r="B19" s="154">
        <v>9</v>
      </c>
      <c r="C19" s="174" t="str">
        <f>IFERROR('PAR · Alumnos'!C18&amp;IF('PAR · Alumnos'!D18&lt;&gt;"",", "&amp;'PAR · Alumnos'!D18,""),"")</f>
        <v/>
      </c>
      <c r="D19" s="184" t="str">
        <f>IFERROR('PAR · Reg. Notas'!O19,"")</f>
        <v/>
      </c>
      <c r="E19" s="185" t="str">
        <f>IFERROR('PAR · Reg. Notas'!P19,"")</f>
        <v/>
      </c>
      <c r="F19" s="194" t="str">
        <f>IFERROR('PAR · Reg. Notas'!Q19,"")</f>
        <v/>
      </c>
      <c r="G19" s="195" t="str">
        <f>IFERROR('PAR · Reg. Notas'!R19,"")</f>
        <v/>
      </c>
      <c r="H19" s="196" t="str">
        <f>IFERROR('PAR · Reg. Notas'!S19,"")</f>
        <v/>
      </c>
      <c r="I19" s="202" t="str">
        <f>IFERROR('PAR · Reg. Notas'!T19,"")</f>
        <v/>
      </c>
      <c r="J19" s="215" t="str">
        <f t="shared" si="0"/>
        <v/>
      </c>
      <c r="K19" s="216" t="str">
        <f t="shared" si="1"/>
        <v/>
      </c>
      <c r="L19" s="72"/>
    </row>
    <row r="20" spans="2:12" ht="20" customHeight="1" x14ac:dyDescent="0.2">
      <c r="B20" s="154">
        <v>10</v>
      </c>
      <c r="C20" s="174" t="str">
        <f>IFERROR('PAR · Alumnos'!C19&amp;IF('PAR · Alumnos'!D19&lt;&gt;"",", "&amp;'PAR · Alumnos'!D19,""),"")</f>
        <v/>
      </c>
      <c r="D20" s="184" t="str">
        <f>IFERROR('PAR · Reg. Notas'!O20,"")</f>
        <v/>
      </c>
      <c r="E20" s="185" t="str">
        <f>IFERROR('PAR · Reg. Notas'!P20,"")</f>
        <v/>
      </c>
      <c r="F20" s="194" t="str">
        <f>IFERROR('PAR · Reg. Notas'!Q20,"")</f>
        <v/>
      </c>
      <c r="G20" s="195" t="str">
        <f>IFERROR('PAR · Reg. Notas'!R20,"")</f>
        <v/>
      </c>
      <c r="H20" s="196" t="str">
        <f>IFERROR('PAR · Reg. Notas'!S20,"")</f>
        <v/>
      </c>
      <c r="I20" s="202" t="str">
        <f>IFERROR('PAR · Reg. Notas'!T20,"")</f>
        <v/>
      </c>
      <c r="J20" s="215" t="str">
        <f t="shared" si="0"/>
        <v/>
      </c>
      <c r="K20" s="217" t="str">
        <f t="shared" si="1"/>
        <v/>
      </c>
      <c r="L20" s="71"/>
    </row>
    <row r="21" spans="2:12" ht="20" customHeight="1" x14ac:dyDescent="0.2">
      <c r="B21" s="154">
        <v>11</v>
      </c>
      <c r="C21" s="174" t="str">
        <f>IFERROR('PAR · Alumnos'!C20&amp;IF('PAR · Alumnos'!D20&lt;&gt;"",", "&amp;'PAR · Alumnos'!D20,""),"")</f>
        <v/>
      </c>
      <c r="D21" s="184" t="str">
        <f>IFERROR('PAR · Reg. Notas'!O21,"")</f>
        <v/>
      </c>
      <c r="E21" s="185" t="str">
        <f>IFERROR('PAR · Reg. Notas'!P21,"")</f>
        <v/>
      </c>
      <c r="F21" s="194" t="str">
        <f>IFERROR('PAR · Reg. Notas'!Q21,"")</f>
        <v/>
      </c>
      <c r="G21" s="195" t="str">
        <f>IFERROR('PAR · Reg. Notas'!R21,"")</f>
        <v/>
      </c>
      <c r="H21" s="196" t="str">
        <f>IFERROR('PAR · Reg. Notas'!S21,"")</f>
        <v/>
      </c>
      <c r="I21" s="202" t="str">
        <f>IFERROR('PAR · Reg. Notas'!T21,"")</f>
        <v/>
      </c>
      <c r="J21" s="215" t="str">
        <f t="shared" si="0"/>
        <v/>
      </c>
      <c r="K21" s="216" t="str">
        <f t="shared" si="1"/>
        <v/>
      </c>
      <c r="L21" s="72"/>
    </row>
    <row r="22" spans="2:12" ht="20" customHeight="1" x14ac:dyDescent="0.2">
      <c r="B22" s="154">
        <v>12</v>
      </c>
      <c r="C22" s="174" t="str">
        <f>IFERROR('PAR · Alumnos'!C21&amp;IF('PAR · Alumnos'!D21&lt;&gt;"",", "&amp;'PAR · Alumnos'!D21,""),"")</f>
        <v/>
      </c>
      <c r="D22" s="184" t="str">
        <f>IFERROR('PAR · Reg. Notas'!O22,"")</f>
        <v/>
      </c>
      <c r="E22" s="185" t="str">
        <f>IFERROR('PAR · Reg. Notas'!P22,"")</f>
        <v/>
      </c>
      <c r="F22" s="194" t="str">
        <f>IFERROR('PAR · Reg. Notas'!Q22,"")</f>
        <v/>
      </c>
      <c r="G22" s="195" t="str">
        <f>IFERROR('PAR · Reg. Notas'!R22,"")</f>
        <v/>
      </c>
      <c r="H22" s="196" t="str">
        <f>IFERROR('PAR · Reg. Notas'!S22,"")</f>
        <v/>
      </c>
      <c r="I22" s="202" t="str">
        <f>IFERROR('PAR · Reg. Notas'!T22,"")</f>
        <v/>
      </c>
      <c r="J22" s="215" t="str">
        <f t="shared" si="0"/>
        <v/>
      </c>
      <c r="K22" s="217" t="str">
        <f t="shared" si="1"/>
        <v/>
      </c>
      <c r="L22" s="71"/>
    </row>
    <row r="23" spans="2:12" ht="20" customHeight="1" x14ac:dyDescent="0.2">
      <c r="B23" s="154">
        <v>13</v>
      </c>
      <c r="C23" s="174" t="str">
        <f>IFERROR('PAR · Alumnos'!C22&amp;IF('PAR · Alumnos'!D22&lt;&gt;"",", "&amp;'PAR · Alumnos'!D22,""),"")</f>
        <v/>
      </c>
      <c r="D23" s="184" t="str">
        <f>IFERROR('PAR · Reg. Notas'!O23,"")</f>
        <v/>
      </c>
      <c r="E23" s="185" t="str">
        <f>IFERROR('PAR · Reg. Notas'!P23,"")</f>
        <v/>
      </c>
      <c r="F23" s="194" t="str">
        <f>IFERROR('PAR · Reg. Notas'!Q23,"")</f>
        <v/>
      </c>
      <c r="G23" s="195" t="str">
        <f>IFERROR('PAR · Reg. Notas'!R23,"")</f>
        <v/>
      </c>
      <c r="H23" s="196" t="str">
        <f>IFERROR('PAR · Reg. Notas'!S23,"")</f>
        <v/>
      </c>
      <c r="I23" s="202" t="str">
        <f>IFERROR('PAR · Reg. Notas'!T23,"")</f>
        <v/>
      </c>
      <c r="J23" s="215" t="str">
        <f t="shared" si="0"/>
        <v/>
      </c>
      <c r="K23" s="216" t="str">
        <f t="shared" si="1"/>
        <v/>
      </c>
      <c r="L23" s="72"/>
    </row>
    <row r="24" spans="2:12" ht="20" customHeight="1" x14ac:dyDescent="0.2">
      <c r="B24" s="154">
        <v>14</v>
      </c>
      <c r="C24" s="174" t="str">
        <f>IFERROR('PAR · Alumnos'!C23&amp;IF('PAR · Alumnos'!D23&lt;&gt;"",", "&amp;'PAR · Alumnos'!D23,""),"")</f>
        <v/>
      </c>
      <c r="D24" s="184" t="str">
        <f>IFERROR('PAR · Reg. Notas'!O24,"")</f>
        <v/>
      </c>
      <c r="E24" s="185" t="str">
        <f>IFERROR('PAR · Reg. Notas'!P24,"")</f>
        <v/>
      </c>
      <c r="F24" s="194" t="str">
        <f>IFERROR('PAR · Reg. Notas'!Q24,"")</f>
        <v/>
      </c>
      <c r="G24" s="195" t="str">
        <f>IFERROR('PAR · Reg. Notas'!R24,"")</f>
        <v/>
      </c>
      <c r="H24" s="196" t="str">
        <f>IFERROR('PAR · Reg. Notas'!S24,"")</f>
        <v/>
      </c>
      <c r="I24" s="202" t="str">
        <f>IFERROR('PAR · Reg. Notas'!T24,"")</f>
        <v/>
      </c>
      <c r="J24" s="215" t="str">
        <f t="shared" si="0"/>
        <v/>
      </c>
      <c r="K24" s="217" t="str">
        <f t="shared" si="1"/>
        <v/>
      </c>
      <c r="L24" s="71"/>
    </row>
    <row r="25" spans="2:12" ht="20" customHeight="1" x14ac:dyDescent="0.2">
      <c r="B25" s="154">
        <v>15</v>
      </c>
      <c r="C25" s="174" t="str">
        <f>IFERROR('PAR · Alumnos'!C24&amp;IF('PAR · Alumnos'!D24&lt;&gt;"",", "&amp;'PAR · Alumnos'!D24,""),"")</f>
        <v/>
      </c>
      <c r="D25" s="184" t="str">
        <f>IFERROR('PAR · Reg. Notas'!O25,"")</f>
        <v/>
      </c>
      <c r="E25" s="185" t="str">
        <f>IFERROR('PAR · Reg. Notas'!P25,"")</f>
        <v/>
      </c>
      <c r="F25" s="194" t="str">
        <f>IFERROR('PAR · Reg. Notas'!Q25,"")</f>
        <v/>
      </c>
      <c r="G25" s="195" t="str">
        <f>IFERROR('PAR · Reg. Notas'!R25,"")</f>
        <v/>
      </c>
      <c r="H25" s="196" t="str">
        <f>IFERROR('PAR · Reg. Notas'!S25,"")</f>
        <v/>
      </c>
      <c r="I25" s="202" t="str">
        <f>IFERROR('PAR · Reg. Notas'!T25,"")</f>
        <v/>
      </c>
      <c r="J25" s="215" t="str">
        <f t="shared" si="0"/>
        <v/>
      </c>
      <c r="K25" s="216" t="str">
        <f t="shared" si="1"/>
        <v/>
      </c>
      <c r="L25" s="72"/>
    </row>
    <row r="26" spans="2:12" ht="20" customHeight="1" x14ac:dyDescent="0.2">
      <c r="B26" s="154">
        <v>16</v>
      </c>
      <c r="C26" s="174" t="str">
        <f>IFERROR('PAR · Alumnos'!C25&amp;IF('PAR · Alumnos'!D25&lt;&gt;"",", "&amp;'PAR · Alumnos'!D25,""),"")</f>
        <v/>
      </c>
      <c r="D26" s="184" t="str">
        <f>IFERROR('PAR · Reg. Notas'!O26,"")</f>
        <v/>
      </c>
      <c r="E26" s="185" t="str">
        <f>IFERROR('PAR · Reg. Notas'!P26,"")</f>
        <v/>
      </c>
      <c r="F26" s="194" t="str">
        <f>IFERROR('PAR · Reg. Notas'!Q26,"")</f>
        <v/>
      </c>
      <c r="G26" s="195" t="str">
        <f>IFERROR('PAR · Reg. Notas'!R26,"")</f>
        <v/>
      </c>
      <c r="H26" s="196" t="str">
        <f>IFERROR('PAR · Reg. Notas'!S26,"")</f>
        <v/>
      </c>
      <c r="I26" s="202" t="str">
        <f>IFERROR('PAR · Reg. Notas'!T26,"")</f>
        <v/>
      </c>
      <c r="J26" s="215" t="str">
        <f t="shared" si="0"/>
        <v/>
      </c>
      <c r="K26" s="217" t="str">
        <f t="shared" si="1"/>
        <v/>
      </c>
      <c r="L26" s="71"/>
    </row>
    <row r="27" spans="2:12" ht="20" customHeight="1" x14ac:dyDescent="0.2">
      <c r="B27" s="154">
        <v>17</v>
      </c>
      <c r="C27" s="174" t="str">
        <f>IFERROR('PAR · Alumnos'!C26&amp;IF('PAR · Alumnos'!D26&lt;&gt;"",", "&amp;'PAR · Alumnos'!D26,""),"")</f>
        <v/>
      </c>
      <c r="D27" s="184" t="str">
        <f>IFERROR('PAR · Reg. Notas'!O27,"")</f>
        <v/>
      </c>
      <c r="E27" s="185" t="str">
        <f>IFERROR('PAR · Reg. Notas'!P27,"")</f>
        <v/>
      </c>
      <c r="F27" s="194" t="str">
        <f>IFERROR('PAR · Reg. Notas'!Q27,"")</f>
        <v/>
      </c>
      <c r="G27" s="195" t="str">
        <f>IFERROR('PAR · Reg. Notas'!R27,"")</f>
        <v/>
      </c>
      <c r="H27" s="196" t="str">
        <f>IFERROR('PAR · Reg. Notas'!S27,"")</f>
        <v/>
      </c>
      <c r="I27" s="202" t="str">
        <f>IFERROR('PAR · Reg. Notas'!T27,"")</f>
        <v/>
      </c>
      <c r="J27" s="215" t="str">
        <f t="shared" si="0"/>
        <v/>
      </c>
      <c r="K27" s="216" t="str">
        <f t="shared" si="1"/>
        <v/>
      </c>
      <c r="L27" s="72"/>
    </row>
    <row r="28" spans="2:12" ht="20" customHeight="1" x14ac:dyDescent="0.2">
      <c r="B28" s="154">
        <v>18</v>
      </c>
      <c r="C28" s="174" t="str">
        <f>IFERROR('PAR · Alumnos'!C27&amp;IF('PAR · Alumnos'!D27&lt;&gt;"",", "&amp;'PAR · Alumnos'!D27,""),"")</f>
        <v/>
      </c>
      <c r="D28" s="184" t="str">
        <f>IFERROR('PAR · Reg. Notas'!O28,"")</f>
        <v/>
      </c>
      <c r="E28" s="185" t="str">
        <f>IFERROR('PAR · Reg. Notas'!P28,"")</f>
        <v/>
      </c>
      <c r="F28" s="194" t="str">
        <f>IFERROR('PAR · Reg. Notas'!Q28,"")</f>
        <v/>
      </c>
      <c r="G28" s="195" t="str">
        <f>IFERROR('PAR · Reg. Notas'!R28,"")</f>
        <v/>
      </c>
      <c r="H28" s="196" t="str">
        <f>IFERROR('PAR · Reg. Notas'!S28,"")</f>
        <v/>
      </c>
      <c r="I28" s="202" t="str">
        <f>IFERROR('PAR · Reg. Notas'!T28,"")</f>
        <v/>
      </c>
      <c r="J28" s="215" t="str">
        <f t="shared" si="0"/>
        <v/>
      </c>
      <c r="K28" s="217" t="str">
        <f t="shared" si="1"/>
        <v/>
      </c>
      <c r="L28" s="71"/>
    </row>
    <row r="29" spans="2:12" ht="20" customHeight="1" x14ac:dyDescent="0.2">
      <c r="B29" s="154">
        <v>19</v>
      </c>
      <c r="C29" s="174" t="str">
        <f>IFERROR('PAR · Alumnos'!C28&amp;IF('PAR · Alumnos'!D28&lt;&gt;"",", "&amp;'PAR · Alumnos'!D28,""),"")</f>
        <v/>
      </c>
      <c r="D29" s="184" t="str">
        <f>IFERROR('PAR · Reg. Notas'!O29,"")</f>
        <v/>
      </c>
      <c r="E29" s="185" t="str">
        <f>IFERROR('PAR · Reg. Notas'!P29,"")</f>
        <v/>
      </c>
      <c r="F29" s="194" t="str">
        <f>IFERROR('PAR · Reg. Notas'!Q29,"")</f>
        <v/>
      </c>
      <c r="G29" s="195" t="str">
        <f>IFERROR('PAR · Reg. Notas'!R29,"")</f>
        <v/>
      </c>
      <c r="H29" s="196" t="str">
        <f>IFERROR('PAR · Reg. Notas'!S29,"")</f>
        <v/>
      </c>
      <c r="I29" s="202" t="str">
        <f>IFERROR('PAR · Reg. Notas'!T29,"")</f>
        <v/>
      </c>
      <c r="J29" s="215" t="str">
        <f t="shared" si="0"/>
        <v/>
      </c>
      <c r="K29" s="216" t="str">
        <f t="shared" si="1"/>
        <v/>
      </c>
      <c r="L29" s="72"/>
    </row>
    <row r="30" spans="2:12" ht="20" customHeight="1" x14ac:dyDescent="0.2">
      <c r="B30" s="154">
        <v>20</v>
      </c>
      <c r="C30" s="174" t="str">
        <f>IFERROR('PAR · Alumnos'!C29&amp;IF('PAR · Alumnos'!D29&lt;&gt;"",", "&amp;'PAR · Alumnos'!D29,""),"")</f>
        <v/>
      </c>
      <c r="D30" s="184" t="str">
        <f>IFERROR('PAR · Reg. Notas'!O30,"")</f>
        <v/>
      </c>
      <c r="E30" s="185" t="str">
        <f>IFERROR('PAR · Reg. Notas'!P30,"")</f>
        <v/>
      </c>
      <c r="F30" s="194" t="str">
        <f>IFERROR('PAR · Reg. Notas'!Q30,"")</f>
        <v/>
      </c>
      <c r="G30" s="195" t="str">
        <f>IFERROR('PAR · Reg. Notas'!R30,"")</f>
        <v/>
      </c>
      <c r="H30" s="196" t="str">
        <f>IFERROR('PAR · Reg. Notas'!S30,"")</f>
        <v/>
      </c>
      <c r="I30" s="202" t="str">
        <f>IFERROR('PAR · Reg. Notas'!T30,"")</f>
        <v/>
      </c>
      <c r="J30" s="215" t="str">
        <f t="shared" si="0"/>
        <v/>
      </c>
      <c r="K30" s="217" t="str">
        <f t="shared" si="1"/>
        <v/>
      </c>
      <c r="L30" s="71"/>
    </row>
    <row r="31" spans="2:12" ht="20" customHeight="1" x14ac:dyDescent="0.2">
      <c r="B31" s="154">
        <v>21</v>
      </c>
      <c r="C31" s="174" t="str">
        <f>IFERROR('PAR · Alumnos'!C30&amp;IF('PAR · Alumnos'!D30&lt;&gt;"",", "&amp;'PAR · Alumnos'!D30,""),"")</f>
        <v/>
      </c>
      <c r="D31" s="184" t="str">
        <f>IFERROR('PAR · Reg. Notas'!O31,"")</f>
        <v/>
      </c>
      <c r="E31" s="185" t="str">
        <f>IFERROR('PAR · Reg. Notas'!P31,"")</f>
        <v/>
      </c>
      <c r="F31" s="194" t="str">
        <f>IFERROR('PAR · Reg. Notas'!Q31,"")</f>
        <v/>
      </c>
      <c r="G31" s="195" t="str">
        <f>IFERROR('PAR · Reg. Notas'!R31,"")</f>
        <v/>
      </c>
      <c r="H31" s="196" t="str">
        <f>IFERROR('PAR · Reg. Notas'!S31,"")</f>
        <v/>
      </c>
      <c r="I31" s="202" t="str">
        <f>IFERROR('PAR · Reg. Notas'!T31,"")</f>
        <v/>
      </c>
      <c r="J31" s="215" t="str">
        <f t="shared" si="0"/>
        <v/>
      </c>
      <c r="K31" s="216" t="str">
        <f t="shared" si="1"/>
        <v/>
      </c>
      <c r="L31" s="72"/>
    </row>
    <row r="32" spans="2:12" ht="20" customHeight="1" x14ac:dyDescent="0.2">
      <c r="B32" s="154">
        <v>22</v>
      </c>
      <c r="C32" s="174" t="str">
        <f>IFERROR('PAR · Alumnos'!C31&amp;IF('PAR · Alumnos'!D31&lt;&gt;"",", "&amp;'PAR · Alumnos'!D31,""),"")</f>
        <v/>
      </c>
      <c r="D32" s="184" t="str">
        <f>IFERROR('PAR · Reg. Notas'!O32,"")</f>
        <v/>
      </c>
      <c r="E32" s="185" t="str">
        <f>IFERROR('PAR · Reg. Notas'!P32,"")</f>
        <v/>
      </c>
      <c r="F32" s="194" t="str">
        <f>IFERROR('PAR · Reg. Notas'!Q32,"")</f>
        <v/>
      </c>
      <c r="G32" s="195" t="str">
        <f>IFERROR('PAR · Reg. Notas'!R32,"")</f>
        <v/>
      </c>
      <c r="H32" s="196" t="str">
        <f>IFERROR('PAR · Reg. Notas'!S32,"")</f>
        <v/>
      </c>
      <c r="I32" s="202" t="str">
        <f>IFERROR('PAR · Reg. Notas'!T32,"")</f>
        <v/>
      </c>
      <c r="J32" s="215" t="str">
        <f t="shared" si="0"/>
        <v/>
      </c>
      <c r="K32" s="217" t="str">
        <f t="shared" si="1"/>
        <v/>
      </c>
      <c r="L32" s="71"/>
    </row>
    <row r="33" spans="2:12" ht="20" customHeight="1" x14ac:dyDescent="0.2">
      <c r="B33" s="154">
        <v>23</v>
      </c>
      <c r="C33" s="174" t="str">
        <f>IFERROR('PAR · Alumnos'!C32&amp;IF('PAR · Alumnos'!D32&lt;&gt;"",", "&amp;'PAR · Alumnos'!D32,""),"")</f>
        <v/>
      </c>
      <c r="D33" s="184" t="str">
        <f>IFERROR('PAR · Reg. Notas'!O33,"")</f>
        <v/>
      </c>
      <c r="E33" s="185" t="str">
        <f>IFERROR('PAR · Reg. Notas'!P33,"")</f>
        <v/>
      </c>
      <c r="F33" s="194" t="str">
        <f>IFERROR('PAR · Reg. Notas'!Q33,"")</f>
        <v/>
      </c>
      <c r="G33" s="195" t="str">
        <f>IFERROR('PAR · Reg. Notas'!R33,"")</f>
        <v/>
      </c>
      <c r="H33" s="196" t="str">
        <f>IFERROR('PAR · Reg. Notas'!S33,"")</f>
        <v/>
      </c>
      <c r="I33" s="202" t="str">
        <f>IFERROR('PAR · Reg. Notas'!T33,"")</f>
        <v/>
      </c>
      <c r="J33" s="215" t="str">
        <f t="shared" si="0"/>
        <v/>
      </c>
      <c r="K33" s="216" t="str">
        <f t="shared" si="1"/>
        <v/>
      </c>
      <c r="L33" s="72"/>
    </row>
    <row r="34" spans="2:12" ht="20" customHeight="1" x14ac:dyDescent="0.2">
      <c r="B34" s="154">
        <v>24</v>
      </c>
      <c r="C34" s="174" t="str">
        <f>IFERROR('PAR · Alumnos'!C33&amp;IF('PAR · Alumnos'!D33&lt;&gt;"",", "&amp;'PAR · Alumnos'!D33,""),"")</f>
        <v/>
      </c>
      <c r="D34" s="184" t="str">
        <f>IFERROR('PAR · Reg. Notas'!O34,"")</f>
        <v/>
      </c>
      <c r="E34" s="185" t="str">
        <f>IFERROR('PAR · Reg. Notas'!P34,"")</f>
        <v/>
      </c>
      <c r="F34" s="194" t="str">
        <f>IFERROR('PAR · Reg. Notas'!Q34,"")</f>
        <v/>
      </c>
      <c r="G34" s="195" t="str">
        <f>IFERROR('PAR · Reg. Notas'!R34,"")</f>
        <v/>
      </c>
      <c r="H34" s="196" t="str">
        <f>IFERROR('PAR · Reg. Notas'!S34,"")</f>
        <v/>
      </c>
      <c r="I34" s="202" t="str">
        <f>IFERROR('PAR · Reg. Notas'!T34,"")</f>
        <v/>
      </c>
      <c r="J34" s="215" t="str">
        <f t="shared" si="0"/>
        <v/>
      </c>
      <c r="K34" s="217" t="str">
        <f t="shared" si="1"/>
        <v/>
      </c>
      <c r="L34" s="71"/>
    </row>
    <row r="35" spans="2:12" ht="20" customHeight="1" x14ac:dyDescent="0.2">
      <c r="B35" s="154">
        <v>25</v>
      </c>
      <c r="C35" s="174" t="str">
        <f>IFERROR('PAR · Alumnos'!C34&amp;IF('PAR · Alumnos'!D34&lt;&gt;"",", "&amp;'PAR · Alumnos'!D34,""),"")</f>
        <v/>
      </c>
      <c r="D35" s="184" t="str">
        <f>IFERROR('PAR · Reg. Notas'!O35,"")</f>
        <v/>
      </c>
      <c r="E35" s="185" t="str">
        <f>IFERROR('PAR · Reg. Notas'!P35,"")</f>
        <v/>
      </c>
      <c r="F35" s="194" t="str">
        <f>IFERROR('PAR · Reg. Notas'!Q35,"")</f>
        <v/>
      </c>
      <c r="G35" s="195" t="str">
        <f>IFERROR('PAR · Reg. Notas'!R35,"")</f>
        <v/>
      </c>
      <c r="H35" s="196" t="str">
        <f>IFERROR('PAR · Reg. Notas'!S35,"")</f>
        <v/>
      </c>
      <c r="I35" s="202" t="str">
        <f>IFERROR('PAR · Reg. Notas'!T35,"")</f>
        <v/>
      </c>
      <c r="J35" s="215" t="str">
        <f t="shared" si="0"/>
        <v/>
      </c>
      <c r="K35" s="216" t="str">
        <f t="shared" si="1"/>
        <v/>
      </c>
      <c r="L35" s="72"/>
    </row>
    <row r="36" spans="2:12" ht="20" customHeight="1" x14ac:dyDescent="0.2">
      <c r="B36" s="154">
        <v>26</v>
      </c>
      <c r="C36" s="174" t="str">
        <f>IFERROR('PAR · Alumnos'!C35&amp;IF('PAR · Alumnos'!D35&lt;&gt;"",", "&amp;'PAR · Alumnos'!D35,""),"")</f>
        <v/>
      </c>
      <c r="D36" s="184" t="str">
        <f>IFERROR('PAR · Reg. Notas'!O36,"")</f>
        <v/>
      </c>
      <c r="E36" s="185" t="str">
        <f>IFERROR('PAR · Reg. Notas'!P36,"")</f>
        <v/>
      </c>
      <c r="F36" s="194" t="str">
        <f>IFERROR('PAR · Reg. Notas'!Q36,"")</f>
        <v/>
      </c>
      <c r="G36" s="195" t="str">
        <f>IFERROR('PAR · Reg. Notas'!R36,"")</f>
        <v/>
      </c>
      <c r="H36" s="196" t="str">
        <f>IFERROR('PAR · Reg. Notas'!S36,"")</f>
        <v/>
      </c>
      <c r="I36" s="202" t="str">
        <f>IFERROR('PAR · Reg. Notas'!T36,"")</f>
        <v/>
      </c>
      <c r="J36" s="215" t="str">
        <f t="shared" si="0"/>
        <v/>
      </c>
      <c r="K36" s="217" t="str">
        <f t="shared" si="1"/>
        <v/>
      </c>
      <c r="L36" s="71"/>
    </row>
    <row r="37" spans="2:12" ht="20" customHeight="1" x14ac:dyDescent="0.2">
      <c r="B37" s="154">
        <v>27</v>
      </c>
      <c r="C37" s="174" t="str">
        <f>IFERROR('PAR · Alumnos'!C36&amp;IF('PAR · Alumnos'!D36&lt;&gt;"",", "&amp;'PAR · Alumnos'!D36,""),"")</f>
        <v/>
      </c>
      <c r="D37" s="184" t="str">
        <f>IFERROR('PAR · Reg. Notas'!O37,"")</f>
        <v/>
      </c>
      <c r="E37" s="185" t="str">
        <f>IFERROR('PAR · Reg. Notas'!P37,"")</f>
        <v/>
      </c>
      <c r="F37" s="194" t="str">
        <f>IFERROR('PAR · Reg. Notas'!Q37,"")</f>
        <v/>
      </c>
      <c r="G37" s="195" t="str">
        <f>IFERROR('PAR · Reg. Notas'!R37,"")</f>
        <v/>
      </c>
      <c r="H37" s="196" t="str">
        <f>IFERROR('PAR · Reg. Notas'!S37,"")</f>
        <v/>
      </c>
      <c r="I37" s="202" t="str">
        <f>IFERROR('PAR · Reg. Notas'!T37,"")</f>
        <v/>
      </c>
      <c r="J37" s="215" t="str">
        <f t="shared" si="0"/>
        <v/>
      </c>
      <c r="K37" s="216" t="str">
        <f t="shared" si="1"/>
        <v/>
      </c>
      <c r="L37" s="72"/>
    </row>
    <row r="38" spans="2:12" ht="20" customHeight="1" x14ac:dyDescent="0.2">
      <c r="B38" s="154">
        <v>28</v>
      </c>
      <c r="C38" s="174" t="str">
        <f>IFERROR('PAR · Alumnos'!C37&amp;IF('PAR · Alumnos'!D37&lt;&gt;"",", "&amp;'PAR · Alumnos'!D37,""),"")</f>
        <v/>
      </c>
      <c r="D38" s="184" t="str">
        <f>IFERROR('PAR · Reg. Notas'!O38,"")</f>
        <v/>
      </c>
      <c r="E38" s="185" t="str">
        <f>IFERROR('PAR · Reg. Notas'!P38,"")</f>
        <v/>
      </c>
      <c r="F38" s="194" t="str">
        <f>IFERROR('PAR · Reg. Notas'!Q38,"")</f>
        <v/>
      </c>
      <c r="G38" s="195" t="str">
        <f>IFERROR('PAR · Reg. Notas'!R38,"")</f>
        <v/>
      </c>
      <c r="H38" s="196" t="str">
        <f>IFERROR('PAR · Reg. Notas'!S38,"")</f>
        <v/>
      </c>
      <c r="I38" s="202" t="str">
        <f>IFERROR('PAR · Reg. Notas'!T38,"")</f>
        <v/>
      </c>
      <c r="J38" s="215" t="str">
        <f t="shared" si="0"/>
        <v/>
      </c>
      <c r="K38" s="217" t="str">
        <f t="shared" si="1"/>
        <v/>
      </c>
      <c r="L38" s="71"/>
    </row>
    <row r="39" spans="2:12" ht="20" customHeight="1" x14ac:dyDescent="0.2">
      <c r="B39" s="154">
        <v>29</v>
      </c>
      <c r="C39" s="174" t="str">
        <f>IFERROR('PAR · Alumnos'!C38&amp;IF('PAR · Alumnos'!D38&lt;&gt;"",", "&amp;'PAR · Alumnos'!D38,""),"")</f>
        <v/>
      </c>
      <c r="D39" s="184" t="str">
        <f>IFERROR('PAR · Reg. Notas'!O39,"")</f>
        <v/>
      </c>
      <c r="E39" s="185" t="str">
        <f>IFERROR('PAR · Reg. Notas'!P39,"")</f>
        <v/>
      </c>
      <c r="F39" s="194" t="str">
        <f>IFERROR('PAR · Reg. Notas'!Q39,"")</f>
        <v/>
      </c>
      <c r="G39" s="195" t="str">
        <f>IFERROR('PAR · Reg. Notas'!R39,"")</f>
        <v/>
      </c>
      <c r="H39" s="196" t="str">
        <f>IFERROR('PAR · Reg. Notas'!S39,"")</f>
        <v/>
      </c>
      <c r="I39" s="202" t="str">
        <f>IFERROR('PAR · Reg. Notas'!T39,"")</f>
        <v/>
      </c>
      <c r="J39" s="215" t="str">
        <f t="shared" si="0"/>
        <v/>
      </c>
      <c r="K39" s="216" t="str">
        <f t="shared" si="1"/>
        <v/>
      </c>
      <c r="L39" s="72"/>
    </row>
    <row r="40" spans="2:12" ht="20" customHeight="1" x14ac:dyDescent="0.2">
      <c r="B40" s="154">
        <v>30</v>
      </c>
      <c r="C40" s="174" t="str">
        <f>IFERROR('PAR · Alumnos'!C39&amp;IF('PAR · Alumnos'!D39&lt;&gt;"",", "&amp;'PAR · Alumnos'!D39,""),"")</f>
        <v/>
      </c>
      <c r="D40" s="184" t="str">
        <f>IFERROR('PAR · Reg. Notas'!O40,"")</f>
        <v/>
      </c>
      <c r="E40" s="185" t="str">
        <f>IFERROR('PAR · Reg. Notas'!P40,"")</f>
        <v/>
      </c>
      <c r="F40" s="194" t="str">
        <f>IFERROR('PAR · Reg. Notas'!Q40,"")</f>
        <v/>
      </c>
      <c r="G40" s="195" t="str">
        <f>IFERROR('PAR · Reg. Notas'!R40,"")</f>
        <v/>
      </c>
      <c r="H40" s="196" t="str">
        <f>IFERROR('PAR · Reg. Notas'!S40,"")</f>
        <v/>
      </c>
      <c r="I40" s="202" t="str">
        <f>IFERROR('PAR · Reg. Notas'!T40,"")</f>
        <v/>
      </c>
      <c r="J40" s="215" t="str">
        <f t="shared" si="0"/>
        <v/>
      </c>
      <c r="K40" s="217" t="str">
        <f t="shared" si="1"/>
        <v/>
      </c>
      <c r="L40" s="71"/>
    </row>
    <row r="42" spans="2:12" ht="22" customHeight="1" x14ac:dyDescent="0.2">
      <c r="B42" s="12" t="s">
        <v>453</v>
      </c>
      <c r="C42" s="12"/>
      <c r="D42" s="110" t="str">
        <f t="shared" ref="D42:J42" si="2">IFERROR(ROUND(AVERAGE(D11:D40),2),"")</f>
        <v/>
      </c>
      <c r="E42" s="130" t="str">
        <f t="shared" si="2"/>
        <v/>
      </c>
      <c r="F42" s="140" t="str">
        <f t="shared" si="2"/>
        <v/>
      </c>
      <c r="G42" s="218" t="str">
        <f t="shared" si="2"/>
        <v/>
      </c>
      <c r="H42" s="219" t="str">
        <f t="shared" si="2"/>
        <v/>
      </c>
      <c r="I42" s="220" t="str">
        <f t="shared" si="2"/>
        <v/>
      </c>
      <c r="J42" s="12" t="str">
        <f t="shared" si="2"/>
        <v/>
      </c>
      <c r="K42" s="12" t="str">
        <f>IFERROR(TEXT(COUNTIF(K11:K40,"APTO")/COUNTA(K11:K40),"0%"),"")</f>
        <v>0%</v>
      </c>
    </row>
    <row r="44" spans="2:12" ht="14" customHeight="1" x14ac:dyDescent="0.2">
      <c r="B44" s="319" t="s">
        <v>454</v>
      </c>
      <c r="C44" s="292"/>
      <c r="D44" s="292"/>
      <c r="E44" s="292"/>
      <c r="F44" s="292"/>
      <c r="G44" s="292"/>
      <c r="H44" s="292"/>
      <c r="I44" s="292"/>
      <c r="J44" s="292"/>
      <c r="K44" s="292"/>
      <c r="L44" s="292"/>
    </row>
    <row r="45" spans="2:12" ht="90" customHeight="1" x14ac:dyDescent="0.2">
      <c r="B45" s="314" t="s">
        <v>810</v>
      </c>
      <c r="C45" s="292"/>
      <c r="D45" s="292"/>
      <c r="E45" s="292"/>
      <c r="F45" s="292"/>
      <c r="G45" s="292"/>
      <c r="H45" s="292"/>
      <c r="I45" s="292"/>
      <c r="J45" s="292"/>
      <c r="K45" s="292"/>
      <c r="L45" s="292"/>
    </row>
    <row r="46" spans="2:12" ht="16" customHeight="1" x14ac:dyDescent="0.2">
      <c r="B46" s="309" t="s">
        <v>845</v>
      </c>
      <c r="C46" s="292"/>
      <c r="D46" s="292"/>
      <c r="E46" s="292"/>
      <c r="F46" s="292"/>
      <c r="G46" s="292"/>
      <c r="H46" s="292"/>
      <c r="I46" s="292"/>
      <c r="J46" s="292"/>
      <c r="K46" s="292"/>
      <c r="L46" s="292"/>
    </row>
  </sheetData>
  <mergeCells count="5">
    <mergeCell ref="B44:L44"/>
    <mergeCell ref="B46:L46"/>
    <mergeCell ref="B2:K2"/>
    <mergeCell ref="B45:L45"/>
    <mergeCell ref="B3:K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C32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5" customWidth="1"/>
    <col min="4" max="6" width="14" customWidth="1"/>
    <col min="7" max="7" width="12" customWidth="1"/>
    <col min="8" max="8" width="20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456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846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3" t="s">
        <v>458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157" t="s">
        <v>459</v>
      </c>
    </row>
    <row r="9" spans="1:29" ht="12" customHeight="1" x14ac:dyDescent="0.2">
      <c r="D9" s="223" t="s">
        <v>847</v>
      </c>
    </row>
    <row r="10" spans="1:29" ht="32" customHeight="1" x14ac:dyDescent="0.2">
      <c r="B10" s="158" t="s">
        <v>461</v>
      </c>
      <c r="C10" s="158" t="s">
        <v>391</v>
      </c>
      <c r="D10" s="224" t="s">
        <v>462</v>
      </c>
      <c r="E10" s="225" t="s">
        <v>463</v>
      </c>
      <c r="F10" s="158" t="s">
        <v>464</v>
      </c>
      <c r="G10" s="158" t="s">
        <v>413</v>
      </c>
      <c r="H10" s="158" t="s">
        <v>358</v>
      </c>
    </row>
    <row r="11" spans="1:29" ht="20" customHeight="1" x14ac:dyDescent="0.2">
      <c r="B11" s="226"/>
      <c r="C11" s="174" t="str">
        <f>IFERROR(IF(B11="","",INDEX('PAR · Alumnos'!C:C,9+B11)&amp;", "&amp;INDEX('PAR · Alumnos'!D:D,9+B11)),"")</f>
        <v/>
      </c>
      <c r="D11" s="227" t="str">
        <f>IFERROR(IF(B11="","",INDEX('PAR · 1ªORD'!J:J,10+B11)),"")</f>
        <v/>
      </c>
      <c r="E11" s="228"/>
      <c r="F11" s="215" t="str">
        <f t="shared" ref="F11:F30" si="0">IF(E11="",IF(D11="","",D11),E11)</f>
        <v/>
      </c>
      <c r="G11" s="216" t="str">
        <f t="shared" ref="G11:G30" si="1">IF(F11="","",IF(F11&gt;=5,"APTO","NO APTO"))</f>
        <v/>
      </c>
      <c r="H11" s="72"/>
    </row>
    <row r="12" spans="1:29" ht="20" customHeight="1" x14ac:dyDescent="0.2">
      <c r="B12" s="226"/>
      <c r="C12" s="174" t="str">
        <f>IFERROR(IF(B12="","",INDEX('PAR · Alumnos'!C:C,9+B12)&amp;", "&amp;INDEX('PAR · Alumnos'!D:D,9+B12)),"")</f>
        <v/>
      </c>
      <c r="D12" s="227" t="str">
        <f>IFERROR(IF(B12="","",INDEX('PAR · 1ªORD'!J:J,10+B12)),"")</f>
        <v/>
      </c>
      <c r="E12" s="228"/>
      <c r="F12" s="215" t="str">
        <f t="shared" si="0"/>
        <v/>
      </c>
      <c r="G12" s="217" t="str">
        <f t="shared" si="1"/>
        <v/>
      </c>
      <c r="H12" s="71"/>
    </row>
    <row r="13" spans="1:29" ht="20" customHeight="1" x14ac:dyDescent="0.2">
      <c r="B13" s="226"/>
      <c r="C13" s="174" t="str">
        <f>IFERROR(IF(B13="","",INDEX('PAR · Alumnos'!C:C,9+B13)&amp;", "&amp;INDEX('PAR · Alumnos'!D:D,9+B13)),"")</f>
        <v/>
      </c>
      <c r="D13" s="227" t="str">
        <f>IFERROR(IF(B13="","",INDEX('PAR · 1ªORD'!J:J,10+B13)),"")</f>
        <v/>
      </c>
      <c r="E13" s="228"/>
      <c r="F13" s="215" t="str">
        <f t="shared" si="0"/>
        <v/>
      </c>
      <c r="G13" s="216" t="str">
        <f t="shared" si="1"/>
        <v/>
      </c>
      <c r="H13" s="72"/>
    </row>
    <row r="14" spans="1:29" ht="20" customHeight="1" x14ac:dyDescent="0.2">
      <c r="B14" s="226"/>
      <c r="C14" s="174" t="str">
        <f>IFERROR(IF(B14="","",INDEX('PAR · Alumnos'!C:C,9+B14)&amp;", "&amp;INDEX('PAR · Alumnos'!D:D,9+B14)),"")</f>
        <v/>
      </c>
      <c r="D14" s="227" t="str">
        <f>IFERROR(IF(B14="","",INDEX('PAR · 1ªORD'!J:J,10+B14)),"")</f>
        <v/>
      </c>
      <c r="E14" s="228"/>
      <c r="F14" s="215" t="str">
        <f t="shared" si="0"/>
        <v/>
      </c>
      <c r="G14" s="217" t="str">
        <f t="shared" si="1"/>
        <v/>
      </c>
      <c r="H14" s="71"/>
    </row>
    <row r="15" spans="1:29" ht="20" customHeight="1" x14ac:dyDescent="0.2">
      <c r="B15" s="226"/>
      <c r="C15" s="174" t="str">
        <f>IFERROR(IF(B15="","",INDEX('PAR · Alumnos'!C:C,9+B15)&amp;", "&amp;INDEX('PAR · Alumnos'!D:D,9+B15)),"")</f>
        <v/>
      </c>
      <c r="D15" s="227" t="str">
        <f>IFERROR(IF(B15="","",INDEX('PAR · 1ªORD'!J:J,10+B15)),"")</f>
        <v/>
      </c>
      <c r="E15" s="228"/>
      <c r="F15" s="215" t="str">
        <f t="shared" si="0"/>
        <v/>
      </c>
      <c r="G15" s="216" t="str">
        <f t="shared" si="1"/>
        <v/>
      </c>
      <c r="H15" s="72"/>
    </row>
    <row r="16" spans="1:29" ht="20" customHeight="1" x14ac:dyDescent="0.2">
      <c r="B16" s="226"/>
      <c r="C16" s="174" t="str">
        <f>IFERROR(IF(B16="","",INDEX('PAR · Alumnos'!C:C,9+B16)&amp;", "&amp;INDEX('PAR · Alumnos'!D:D,9+B16)),"")</f>
        <v/>
      </c>
      <c r="D16" s="227" t="str">
        <f>IFERROR(IF(B16="","",INDEX('PAR · 1ªORD'!J:J,10+B16)),"")</f>
        <v/>
      </c>
      <c r="E16" s="228"/>
      <c r="F16" s="215" t="str">
        <f t="shared" si="0"/>
        <v/>
      </c>
      <c r="G16" s="217" t="str">
        <f t="shared" si="1"/>
        <v/>
      </c>
      <c r="H16" s="71"/>
    </row>
    <row r="17" spans="2:8" ht="20" customHeight="1" x14ac:dyDescent="0.2">
      <c r="B17" s="226"/>
      <c r="C17" s="174" t="str">
        <f>IFERROR(IF(B17="","",INDEX('PAR · Alumnos'!C:C,9+B17)&amp;", "&amp;INDEX('PAR · Alumnos'!D:D,9+B17)),"")</f>
        <v/>
      </c>
      <c r="D17" s="227" t="str">
        <f>IFERROR(IF(B17="","",INDEX('PAR · 1ªORD'!J:J,10+B17)),"")</f>
        <v/>
      </c>
      <c r="E17" s="228"/>
      <c r="F17" s="215" t="str">
        <f t="shared" si="0"/>
        <v/>
      </c>
      <c r="G17" s="216" t="str">
        <f t="shared" si="1"/>
        <v/>
      </c>
      <c r="H17" s="72"/>
    </row>
    <row r="18" spans="2:8" ht="20" customHeight="1" x14ac:dyDescent="0.2">
      <c r="B18" s="226"/>
      <c r="C18" s="174" t="str">
        <f>IFERROR(IF(B18="","",INDEX('PAR · Alumnos'!C:C,9+B18)&amp;", "&amp;INDEX('PAR · Alumnos'!D:D,9+B18)),"")</f>
        <v/>
      </c>
      <c r="D18" s="227" t="str">
        <f>IFERROR(IF(B18="","",INDEX('PAR · 1ªORD'!J:J,10+B18)),"")</f>
        <v/>
      </c>
      <c r="E18" s="228"/>
      <c r="F18" s="215" t="str">
        <f t="shared" si="0"/>
        <v/>
      </c>
      <c r="G18" s="217" t="str">
        <f t="shared" si="1"/>
        <v/>
      </c>
      <c r="H18" s="71"/>
    </row>
    <row r="19" spans="2:8" ht="20" customHeight="1" x14ac:dyDescent="0.2">
      <c r="B19" s="226"/>
      <c r="C19" s="174" t="str">
        <f>IFERROR(IF(B19="","",INDEX('PAR · Alumnos'!C:C,9+B19)&amp;", "&amp;INDEX('PAR · Alumnos'!D:D,9+B19)),"")</f>
        <v/>
      </c>
      <c r="D19" s="227" t="str">
        <f>IFERROR(IF(B19="","",INDEX('PAR · 1ªORD'!J:J,10+B19)),"")</f>
        <v/>
      </c>
      <c r="E19" s="228"/>
      <c r="F19" s="215" t="str">
        <f t="shared" si="0"/>
        <v/>
      </c>
      <c r="G19" s="216" t="str">
        <f t="shared" si="1"/>
        <v/>
      </c>
      <c r="H19" s="72"/>
    </row>
    <row r="20" spans="2:8" ht="20" customHeight="1" x14ac:dyDescent="0.2">
      <c r="B20" s="226"/>
      <c r="C20" s="174" t="str">
        <f>IFERROR(IF(B20="","",INDEX('PAR · Alumnos'!C:C,9+B20)&amp;", "&amp;INDEX('PAR · Alumnos'!D:D,9+B20)),"")</f>
        <v/>
      </c>
      <c r="D20" s="227" t="str">
        <f>IFERROR(IF(B20="","",INDEX('PAR · 1ªORD'!J:J,10+B20)),"")</f>
        <v/>
      </c>
      <c r="E20" s="228"/>
      <c r="F20" s="215" t="str">
        <f t="shared" si="0"/>
        <v/>
      </c>
      <c r="G20" s="217" t="str">
        <f t="shared" si="1"/>
        <v/>
      </c>
      <c r="H20" s="71"/>
    </row>
    <row r="21" spans="2:8" ht="20" customHeight="1" x14ac:dyDescent="0.2">
      <c r="B21" s="226"/>
      <c r="C21" s="174" t="str">
        <f>IFERROR(IF(B21="","",INDEX('PAR · Alumnos'!C:C,9+B21)&amp;", "&amp;INDEX('PAR · Alumnos'!D:D,9+B21)),"")</f>
        <v/>
      </c>
      <c r="D21" s="227" t="str">
        <f>IFERROR(IF(B21="","",INDEX('PAR · 1ªORD'!J:J,10+B21)),"")</f>
        <v/>
      </c>
      <c r="E21" s="228"/>
      <c r="F21" s="215" t="str">
        <f t="shared" si="0"/>
        <v/>
      </c>
      <c r="G21" s="216" t="str">
        <f t="shared" si="1"/>
        <v/>
      </c>
      <c r="H21" s="72"/>
    </row>
    <row r="22" spans="2:8" ht="20" customHeight="1" x14ac:dyDescent="0.2">
      <c r="B22" s="226"/>
      <c r="C22" s="174" t="str">
        <f>IFERROR(IF(B22="","",INDEX('PAR · Alumnos'!C:C,9+B22)&amp;", "&amp;INDEX('PAR · Alumnos'!D:D,9+B22)),"")</f>
        <v/>
      </c>
      <c r="D22" s="227" t="str">
        <f>IFERROR(IF(B22="","",INDEX('PAR · 1ªORD'!J:J,10+B22)),"")</f>
        <v/>
      </c>
      <c r="E22" s="228"/>
      <c r="F22" s="215" t="str">
        <f t="shared" si="0"/>
        <v/>
      </c>
      <c r="G22" s="217" t="str">
        <f t="shared" si="1"/>
        <v/>
      </c>
      <c r="H22" s="71"/>
    </row>
    <row r="23" spans="2:8" ht="20" customHeight="1" x14ac:dyDescent="0.2">
      <c r="B23" s="226"/>
      <c r="C23" s="174" t="str">
        <f>IFERROR(IF(B23="","",INDEX('PAR · Alumnos'!C:C,9+B23)&amp;", "&amp;INDEX('PAR · Alumnos'!D:D,9+B23)),"")</f>
        <v/>
      </c>
      <c r="D23" s="227" t="str">
        <f>IFERROR(IF(B23="","",INDEX('PAR · 1ªORD'!J:J,10+B23)),"")</f>
        <v/>
      </c>
      <c r="E23" s="228"/>
      <c r="F23" s="215" t="str">
        <f t="shared" si="0"/>
        <v/>
      </c>
      <c r="G23" s="216" t="str">
        <f t="shared" si="1"/>
        <v/>
      </c>
      <c r="H23" s="72"/>
    </row>
    <row r="24" spans="2:8" ht="20" customHeight="1" x14ac:dyDescent="0.2">
      <c r="B24" s="226"/>
      <c r="C24" s="174" t="str">
        <f>IFERROR(IF(B24="","",INDEX('PAR · Alumnos'!C:C,9+B24)&amp;", "&amp;INDEX('PAR · Alumnos'!D:D,9+B24)),"")</f>
        <v/>
      </c>
      <c r="D24" s="227" t="str">
        <f>IFERROR(IF(B24="","",INDEX('PAR · 1ªORD'!J:J,10+B24)),"")</f>
        <v/>
      </c>
      <c r="E24" s="228"/>
      <c r="F24" s="215" t="str">
        <f t="shared" si="0"/>
        <v/>
      </c>
      <c r="G24" s="217" t="str">
        <f t="shared" si="1"/>
        <v/>
      </c>
      <c r="H24" s="71"/>
    </row>
    <row r="25" spans="2:8" ht="20" customHeight="1" x14ac:dyDescent="0.2">
      <c r="B25" s="226"/>
      <c r="C25" s="174" t="str">
        <f>IFERROR(IF(B25="","",INDEX('PAR · Alumnos'!C:C,9+B25)&amp;", "&amp;INDEX('PAR · Alumnos'!D:D,9+B25)),"")</f>
        <v/>
      </c>
      <c r="D25" s="227" t="str">
        <f>IFERROR(IF(B25="","",INDEX('PAR · 1ªORD'!J:J,10+B25)),"")</f>
        <v/>
      </c>
      <c r="E25" s="228"/>
      <c r="F25" s="215" t="str">
        <f t="shared" si="0"/>
        <v/>
      </c>
      <c r="G25" s="216" t="str">
        <f t="shared" si="1"/>
        <v/>
      </c>
      <c r="H25" s="72"/>
    </row>
    <row r="26" spans="2:8" ht="20" customHeight="1" x14ac:dyDescent="0.2">
      <c r="B26" s="226"/>
      <c r="C26" s="174" t="str">
        <f>IFERROR(IF(B26="","",INDEX('PAR · Alumnos'!C:C,9+B26)&amp;", "&amp;INDEX('PAR · Alumnos'!D:D,9+B26)),"")</f>
        <v/>
      </c>
      <c r="D26" s="227" t="str">
        <f>IFERROR(IF(B26="","",INDEX('PAR · 1ªORD'!J:J,10+B26)),"")</f>
        <v/>
      </c>
      <c r="E26" s="228"/>
      <c r="F26" s="215" t="str">
        <f t="shared" si="0"/>
        <v/>
      </c>
      <c r="G26" s="217" t="str">
        <f t="shared" si="1"/>
        <v/>
      </c>
      <c r="H26" s="71"/>
    </row>
    <row r="27" spans="2:8" ht="20" customHeight="1" x14ac:dyDescent="0.2">
      <c r="B27" s="226"/>
      <c r="C27" s="174" t="str">
        <f>IFERROR(IF(B27="","",INDEX('PAR · Alumnos'!C:C,9+B27)&amp;", "&amp;INDEX('PAR · Alumnos'!D:D,9+B27)),"")</f>
        <v/>
      </c>
      <c r="D27" s="227" t="str">
        <f>IFERROR(IF(B27="","",INDEX('PAR · 1ªORD'!J:J,10+B27)),"")</f>
        <v/>
      </c>
      <c r="E27" s="228"/>
      <c r="F27" s="215" t="str">
        <f t="shared" si="0"/>
        <v/>
      </c>
      <c r="G27" s="216" t="str">
        <f t="shared" si="1"/>
        <v/>
      </c>
      <c r="H27" s="72"/>
    </row>
    <row r="28" spans="2:8" ht="20" customHeight="1" x14ac:dyDescent="0.2">
      <c r="B28" s="226"/>
      <c r="C28" s="174" t="str">
        <f>IFERROR(IF(B28="","",INDEX('PAR · Alumnos'!C:C,9+B28)&amp;", "&amp;INDEX('PAR · Alumnos'!D:D,9+B28)),"")</f>
        <v/>
      </c>
      <c r="D28" s="227" t="str">
        <f>IFERROR(IF(B28="","",INDEX('PAR · 1ªORD'!J:J,10+B28)),"")</f>
        <v/>
      </c>
      <c r="E28" s="228"/>
      <c r="F28" s="215" t="str">
        <f t="shared" si="0"/>
        <v/>
      </c>
      <c r="G28" s="217" t="str">
        <f t="shared" si="1"/>
        <v/>
      </c>
      <c r="H28" s="71"/>
    </row>
    <row r="29" spans="2:8" ht="20" customHeight="1" x14ac:dyDescent="0.2">
      <c r="B29" s="226"/>
      <c r="C29" s="174" t="str">
        <f>IFERROR(IF(B29="","",INDEX('PAR · Alumnos'!C:C,9+B29)&amp;", "&amp;INDEX('PAR · Alumnos'!D:D,9+B29)),"")</f>
        <v/>
      </c>
      <c r="D29" s="227" t="str">
        <f>IFERROR(IF(B29="","",INDEX('PAR · 1ªORD'!J:J,10+B29)),"")</f>
        <v/>
      </c>
      <c r="E29" s="228"/>
      <c r="F29" s="215" t="str">
        <f t="shared" si="0"/>
        <v/>
      </c>
      <c r="G29" s="216" t="str">
        <f t="shared" si="1"/>
        <v/>
      </c>
      <c r="H29" s="72"/>
    </row>
    <row r="30" spans="2:8" ht="20" customHeight="1" x14ac:dyDescent="0.2">
      <c r="B30" s="226"/>
      <c r="C30" s="174" t="str">
        <f>IFERROR(IF(B30="","",INDEX('PAR · Alumnos'!C:C,9+B30)&amp;", "&amp;INDEX('PAR · Alumnos'!D:D,9+B30)),"")</f>
        <v/>
      </c>
      <c r="D30" s="227" t="str">
        <f>IFERROR(IF(B30="","",INDEX('PAR · 1ªORD'!J:J,10+B30)),"")</f>
        <v/>
      </c>
      <c r="E30" s="228"/>
      <c r="F30" s="215" t="str">
        <f t="shared" si="0"/>
        <v/>
      </c>
      <c r="G30" s="217" t="str">
        <f t="shared" si="1"/>
        <v/>
      </c>
      <c r="H30" s="71"/>
    </row>
    <row r="32" spans="2:8" ht="16" customHeight="1" x14ac:dyDescent="0.2">
      <c r="B32" s="229" t="s">
        <v>465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C80"/>
  <sheetViews>
    <sheetView workbookViewId="0">
      <pane xSplit="1" ySplit="8" topLeftCell="B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8" customWidth="1"/>
    <col min="3" max="6" width="30" customWidth="1"/>
    <col min="7" max="7" width="9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848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849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3" t="s">
        <v>468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0" customHeight="1" x14ac:dyDescent="0.2">
      <c r="B8" s="332" t="s">
        <v>469</v>
      </c>
      <c r="C8" s="292"/>
      <c r="D8" s="292"/>
      <c r="E8" s="292"/>
      <c r="F8" s="292"/>
      <c r="G8" s="292"/>
    </row>
    <row r="9" spans="1:29" ht="20" customHeight="1" x14ac:dyDescent="0.2">
      <c r="B9" s="334" t="s">
        <v>850</v>
      </c>
      <c r="C9" s="292"/>
      <c r="D9" s="292"/>
      <c r="E9" s="292"/>
      <c r="F9" s="292"/>
      <c r="G9" s="292"/>
    </row>
    <row r="10" spans="1:29" ht="36" customHeight="1" x14ac:dyDescent="0.2">
      <c r="B10" s="33" t="s">
        <v>471</v>
      </c>
      <c r="C10" s="88" t="s">
        <v>472</v>
      </c>
      <c r="D10" s="89" t="s">
        <v>473</v>
      </c>
      <c r="E10" s="182" t="s">
        <v>474</v>
      </c>
      <c r="F10" s="87" t="s">
        <v>475</v>
      </c>
      <c r="G10" s="33" t="s">
        <v>476</v>
      </c>
    </row>
    <row r="11" spans="1:29" ht="52" customHeight="1" x14ac:dyDescent="0.2">
      <c r="B11" s="159" t="s">
        <v>316</v>
      </c>
      <c r="C11" s="230" t="s">
        <v>851</v>
      </c>
      <c r="D11" s="231" t="s">
        <v>478</v>
      </c>
      <c r="E11" s="232" t="s">
        <v>479</v>
      </c>
      <c r="F11" s="233" t="s">
        <v>480</v>
      </c>
      <c r="G11" s="49" t="s">
        <v>324</v>
      </c>
    </row>
    <row r="12" spans="1:29" ht="52" customHeight="1" x14ac:dyDescent="0.2">
      <c r="B12" s="159" t="s">
        <v>481</v>
      </c>
      <c r="C12" s="230" t="s">
        <v>852</v>
      </c>
      <c r="D12" s="231" t="s">
        <v>483</v>
      </c>
      <c r="E12" s="232" t="s">
        <v>484</v>
      </c>
      <c r="F12" s="233" t="s">
        <v>485</v>
      </c>
      <c r="G12" s="47" t="s">
        <v>324</v>
      </c>
    </row>
    <row r="13" spans="1:29" ht="52" customHeight="1" x14ac:dyDescent="0.2">
      <c r="B13" s="159" t="s">
        <v>486</v>
      </c>
      <c r="C13" s="230" t="s">
        <v>853</v>
      </c>
      <c r="D13" s="231" t="s">
        <v>488</v>
      </c>
      <c r="E13" s="232" t="s">
        <v>489</v>
      </c>
      <c r="F13" s="233" t="s">
        <v>490</v>
      </c>
      <c r="G13" s="49" t="s">
        <v>324</v>
      </c>
    </row>
    <row r="14" spans="1:29" ht="52" customHeight="1" x14ac:dyDescent="0.2">
      <c r="B14" s="159" t="s">
        <v>491</v>
      </c>
      <c r="C14" s="230" t="s">
        <v>854</v>
      </c>
      <c r="D14" s="231" t="s">
        <v>493</v>
      </c>
      <c r="E14" s="232" t="s">
        <v>494</v>
      </c>
      <c r="F14" s="233" t="s">
        <v>495</v>
      </c>
      <c r="G14" s="47" t="s">
        <v>324</v>
      </c>
    </row>
    <row r="15" spans="1:29" ht="52" customHeight="1" x14ac:dyDescent="0.2">
      <c r="B15" s="159" t="s">
        <v>496</v>
      </c>
      <c r="C15" s="230" t="s">
        <v>855</v>
      </c>
      <c r="D15" s="231" t="s">
        <v>498</v>
      </c>
      <c r="E15" s="232" t="s">
        <v>499</v>
      </c>
      <c r="F15" s="233" t="s">
        <v>500</v>
      </c>
      <c r="G15" s="49" t="s">
        <v>324</v>
      </c>
    </row>
    <row r="16" spans="1:29" ht="52" customHeight="1" x14ac:dyDescent="0.2">
      <c r="B16" s="159" t="s">
        <v>501</v>
      </c>
      <c r="C16" s="230" t="s">
        <v>856</v>
      </c>
      <c r="D16" s="231" t="s">
        <v>503</v>
      </c>
      <c r="E16" s="232" t="s">
        <v>504</v>
      </c>
      <c r="F16" s="233" t="s">
        <v>505</v>
      </c>
      <c r="G16" s="47" t="s">
        <v>324</v>
      </c>
    </row>
    <row r="17" spans="2:7" ht="52" customHeight="1" x14ac:dyDescent="0.2">
      <c r="B17" s="159" t="s">
        <v>506</v>
      </c>
      <c r="C17" s="230" t="s">
        <v>857</v>
      </c>
      <c r="D17" s="231" t="s">
        <v>508</v>
      </c>
      <c r="E17" s="232" t="s">
        <v>509</v>
      </c>
      <c r="F17" s="233" t="s">
        <v>510</v>
      </c>
      <c r="G17" s="49" t="s">
        <v>324</v>
      </c>
    </row>
    <row r="18" spans="2:7" ht="52" customHeight="1" x14ac:dyDescent="0.2">
      <c r="B18" s="159" t="s">
        <v>328</v>
      </c>
      <c r="C18" s="230" t="s">
        <v>858</v>
      </c>
      <c r="D18" s="231" t="s">
        <v>512</v>
      </c>
      <c r="E18" s="232" t="s">
        <v>513</v>
      </c>
      <c r="F18" s="233" t="s">
        <v>514</v>
      </c>
      <c r="G18" s="47" t="s">
        <v>324</v>
      </c>
    </row>
    <row r="19" spans="2:7" ht="16" customHeight="1" x14ac:dyDescent="0.2">
      <c r="B19" s="331" t="s">
        <v>515</v>
      </c>
      <c r="C19" s="292"/>
      <c r="D19" s="292"/>
      <c r="E19" s="292"/>
      <c r="F19" s="292"/>
      <c r="G19" s="110" t="s">
        <v>95</v>
      </c>
    </row>
    <row r="20" spans="2:7" ht="6" customHeight="1" x14ac:dyDescent="0.2">
      <c r="B20" s="1"/>
      <c r="C20" s="1"/>
      <c r="D20" s="1"/>
      <c r="E20" s="1"/>
      <c r="F20" s="1"/>
      <c r="G20" s="1"/>
    </row>
    <row r="21" spans="2:7" ht="20" customHeight="1" x14ac:dyDescent="0.2">
      <c r="B21" s="339" t="s">
        <v>859</v>
      </c>
      <c r="C21" s="292"/>
      <c r="D21" s="292"/>
      <c r="E21" s="292"/>
      <c r="F21" s="292"/>
      <c r="G21" s="292"/>
    </row>
    <row r="22" spans="2:7" ht="36" customHeight="1" x14ac:dyDescent="0.2">
      <c r="B22" s="33" t="s">
        <v>471</v>
      </c>
      <c r="C22" s="88" t="s">
        <v>472</v>
      </c>
      <c r="D22" s="89" t="s">
        <v>473</v>
      </c>
      <c r="E22" s="182" t="s">
        <v>474</v>
      </c>
      <c r="F22" s="87" t="s">
        <v>475</v>
      </c>
      <c r="G22" s="33" t="s">
        <v>476</v>
      </c>
    </row>
    <row r="23" spans="2:7" ht="52" customHeight="1" x14ac:dyDescent="0.2">
      <c r="B23" s="159" t="s">
        <v>316</v>
      </c>
      <c r="C23" s="230" t="s">
        <v>860</v>
      </c>
      <c r="D23" s="231" t="s">
        <v>478</v>
      </c>
      <c r="E23" s="232" t="s">
        <v>479</v>
      </c>
      <c r="F23" s="233" t="s">
        <v>480</v>
      </c>
      <c r="G23" s="55" t="s">
        <v>793</v>
      </c>
    </row>
    <row r="24" spans="2:7" ht="52" customHeight="1" x14ac:dyDescent="0.2">
      <c r="B24" s="159" t="s">
        <v>481</v>
      </c>
      <c r="C24" s="230" t="s">
        <v>861</v>
      </c>
      <c r="D24" s="231" t="s">
        <v>483</v>
      </c>
      <c r="E24" s="232" t="s">
        <v>484</v>
      </c>
      <c r="F24" s="233" t="s">
        <v>485</v>
      </c>
      <c r="G24" s="47" t="s">
        <v>793</v>
      </c>
    </row>
    <row r="25" spans="2:7" ht="52" customHeight="1" x14ac:dyDescent="0.2">
      <c r="B25" s="159" t="s">
        <v>486</v>
      </c>
      <c r="C25" s="230" t="s">
        <v>862</v>
      </c>
      <c r="D25" s="231" t="s">
        <v>488</v>
      </c>
      <c r="E25" s="232" t="s">
        <v>489</v>
      </c>
      <c r="F25" s="233" t="s">
        <v>490</v>
      </c>
      <c r="G25" s="55" t="s">
        <v>793</v>
      </c>
    </row>
    <row r="26" spans="2:7" ht="52" customHeight="1" x14ac:dyDescent="0.2">
      <c r="B26" s="159" t="s">
        <v>491</v>
      </c>
      <c r="C26" s="230" t="s">
        <v>863</v>
      </c>
      <c r="D26" s="231" t="s">
        <v>493</v>
      </c>
      <c r="E26" s="232" t="s">
        <v>494</v>
      </c>
      <c r="F26" s="233" t="s">
        <v>495</v>
      </c>
      <c r="G26" s="47" t="s">
        <v>793</v>
      </c>
    </row>
    <row r="27" spans="2:7" ht="52" customHeight="1" x14ac:dyDescent="0.2">
      <c r="B27" s="159" t="s">
        <v>496</v>
      </c>
      <c r="C27" s="230" t="s">
        <v>864</v>
      </c>
      <c r="D27" s="231" t="s">
        <v>498</v>
      </c>
      <c r="E27" s="232" t="s">
        <v>499</v>
      </c>
      <c r="F27" s="233" t="s">
        <v>500</v>
      </c>
      <c r="G27" s="55" t="s">
        <v>793</v>
      </c>
    </row>
    <row r="28" spans="2:7" ht="52" customHeight="1" x14ac:dyDescent="0.2">
      <c r="B28" s="159" t="s">
        <v>501</v>
      </c>
      <c r="C28" s="230" t="s">
        <v>865</v>
      </c>
      <c r="D28" s="231" t="s">
        <v>503</v>
      </c>
      <c r="E28" s="232" t="s">
        <v>504</v>
      </c>
      <c r="F28" s="233" t="s">
        <v>505</v>
      </c>
      <c r="G28" s="47" t="s">
        <v>793</v>
      </c>
    </row>
    <row r="29" spans="2:7" ht="52" customHeight="1" x14ac:dyDescent="0.2">
      <c r="B29" s="159" t="s">
        <v>506</v>
      </c>
      <c r="C29" s="230" t="s">
        <v>866</v>
      </c>
      <c r="D29" s="231" t="s">
        <v>508</v>
      </c>
      <c r="E29" s="232" t="s">
        <v>509</v>
      </c>
      <c r="F29" s="233" t="s">
        <v>510</v>
      </c>
      <c r="G29" s="55" t="s">
        <v>793</v>
      </c>
    </row>
    <row r="30" spans="2:7" ht="16" customHeight="1" x14ac:dyDescent="0.2">
      <c r="B30" s="331" t="s">
        <v>867</v>
      </c>
      <c r="C30" s="292"/>
      <c r="D30" s="292"/>
      <c r="E30" s="292"/>
      <c r="F30" s="292"/>
      <c r="G30" s="130" t="s">
        <v>95</v>
      </c>
    </row>
    <row r="31" spans="2:7" ht="6" customHeight="1" x14ac:dyDescent="0.2">
      <c r="B31" s="1"/>
      <c r="C31" s="1"/>
      <c r="D31" s="1"/>
      <c r="E31" s="1"/>
      <c r="F31" s="1"/>
      <c r="G31" s="1"/>
    </row>
    <row r="32" spans="2:7" ht="20" customHeight="1" x14ac:dyDescent="0.2">
      <c r="B32" s="333" t="s">
        <v>868</v>
      </c>
      <c r="C32" s="292"/>
      <c r="D32" s="292"/>
      <c r="E32" s="292"/>
      <c r="F32" s="292"/>
      <c r="G32" s="292"/>
    </row>
    <row r="33" spans="2:7" ht="36" customHeight="1" x14ac:dyDescent="0.2">
      <c r="B33" s="33" t="s">
        <v>471</v>
      </c>
      <c r="C33" s="88" t="s">
        <v>472</v>
      </c>
      <c r="D33" s="89" t="s">
        <v>473</v>
      </c>
      <c r="E33" s="182" t="s">
        <v>474</v>
      </c>
      <c r="F33" s="87" t="s">
        <v>475</v>
      </c>
      <c r="G33" s="33" t="s">
        <v>476</v>
      </c>
    </row>
    <row r="34" spans="2:7" ht="52" customHeight="1" x14ac:dyDescent="0.2">
      <c r="B34" s="159" t="s">
        <v>316</v>
      </c>
      <c r="C34" s="230" t="s">
        <v>869</v>
      </c>
      <c r="D34" s="231" t="s">
        <v>478</v>
      </c>
      <c r="E34" s="232" t="s">
        <v>479</v>
      </c>
      <c r="F34" s="233" t="s">
        <v>480</v>
      </c>
      <c r="G34" s="59" t="s">
        <v>324</v>
      </c>
    </row>
    <row r="35" spans="2:7" ht="52" customHeight="1" x14ac:dyDescent="0.2">
      <c r="B35" s="159" t="s">
        <v>481</v>
      </c>
      <c r="C35" s="230" t="s">
        <v>870</v>
      </c>
      <c r="D35" s="231" t="s">
        <v>483</v>
      </c>
      <c r="E35" s="232" t="s">
        <v>484</v>
      </c>
      <c r="F35" s="233" t="s">
        <v>485</v>
      </c>
      <c r="G35" s="47" t="s">
        <v>324</v>
      </c>
    </row>
    <row r="36" spans="2:7" ht="52" customHeight="1" x14ac:dyDescent="0.2">
      <c r="B36" s="159" t="s">
        <v>486</v>
      </c>
      <c r="C36" s="230" t="s">
        <v>871</v>
      </c>
      <c r="D36" s="231" t="s">
        <v>488</v>
      </c>
      <c r="E36" s="232" t="s">
        <v>489</v>
      </c>
      <c r="F36" s="233" t="s">
        <v>490</v>
      </c>
      <c r="G36" s="59" t="s">
        <v>324</v>
      </c>
    </row>
    <row r="37" spans="2:7" ht="52" customHeight="1" x14ac:dyDescent="0.2">
      <c r="B37" s="159" t="s">
        <v>491</v>
      </c>
      <c r="C37" s="230" t="s">
        <v>872</v>
      </c>
      <c r="D37" s="231" t="s">
        <v>493</v>
      </c>
      <c r="E37" s="232" t="s">
        <v>494</v>
      </c>
      <c r="F37" s="233" t="s">
        <v>495</v>
      </c>
      <c r="G37" s="47" t="s">
        <v>324</v>
      </c>
    </row>
    <row r="38" spans="2:7" ht="52" customHeight="1" x14ac:dyDescent="0.2">
      <c r="B38" s="159" t="s">
        <v>496</v>
      </c>
      <c r="C38" s="230" t="s">
        <v>873</v>
      </c>
      <c r="D38" s="231" t="s">
        <v>498</v>
      </c>
      <c r="E38" s="232" t="s">
        <v>499</v>
      </c>
      <c r="F38" s="233" t="s">
        <v>500</v>
      </c>
      <c r="G38" s="59" t="s">
        <v>324</v>
      </c>
    </row>
    <row r="39" spans="2:7" ht="52" customHeight="1" x14ac:dyDescent="0.2">
      <c r="B39" s="159" t="s">
        <v>501</v>
      </c>
      <c r="C39" s="230" t="s">
        <v>874</v>
      </c>
      <c r="D39" s="231" t="s">
        <v>503</v>
      </c>
      <c r="E39" s="232" t="s">
        <v>504</v>
      </c>
      <c r="F39" s="233" t="s">
        <v>505</v>
      </c>
      <c r="G39" s="47" t="s">
        <v>324</v>
      </c>
    </row>
    <row r="40" spans="2:7" ht="52" customHeight="1" x14ac:dyDescent="0.2">
      <c r="B40" s="159" t="s">
        <v>506</v>
      </c>
      <c r="C40" s="230" t="s">
        <v>875</v>
      </c>
      <c r="D40" s="231" t="s">
        <v>508</v>
      </c>
      <c r="E40" s="232" t="s">
        <v>509</v>
      </c>
      <c r="F40" s="233" t="s">
        <v>510</v>
      </c>
      <c r="G40" s="59" t="s">
        <v>324</v>
      </c>
    </row>
    <row r="41" spans="2:7" ht="52" customHeight="1" x14ac:dyDescent="0.2">
      <c r="B41" s="159" t="s">
        <v>328</v>
      </c>
      <c r="C41" s="230" t="s">
        <v>876</v>
      </c>
      <c r="D41" s="231" t="s">
        <v>512</v>
      </c>
      <c r="E41" s="232" t="s">
        <v>513</v>
      </c>
      <c r="F41" s="233" t="s">
        <v>514</v>
      </c>
      <c r="G41" s="47" t="s">
        <v>324</v>
      </c>
    </row>
    <row r="42" spans="2:7" ht="16" customHeight="1" x14ac:dyDescent="0.2">
      <c r="B42" s="331" t="s">
        <v>515</v>
      </c>
      <c r="C42" s="292"/>
      <c r="D42" s="292"/>
      <c r="E42" s="292"/>
      <c r="F42" s="292"/>
      <c r="G42" s="140" t="s">
        <v>95</v>
      </c>
    </row>
    <row r="43" spans="2:7" ht="6" customHeight="1" x14ac:dyDescent="0.2">
      <c r="B43" s="1"/>
      <c r="C43" s="1"/>
      <c r="D43" s="1"/>
      <c r="E43" s="1"/>
      <c r="F43" s="1"/>
      <c r="G43" s="1"/>
    </row>
    <row r="44" spans="2:7" ht="20" customHeight="1" x14ac:dyDescent="0.2">
      <c r="B44" s="338" t="s">
        <v>877</v>
      </c>
      <c r="C44" s="292"/>
      <c r="D44" s="292"/>
      <c r="E44" s="292"/>
      <c r="F44" s="292"/>
      <c r="G44" s="292"/>
    </row>
    <row r="45" spans="2:7" ht="36" customHeight="1" x14ac:dyDescent="0.2">
      <c r="B45" s="33" t="s">
        <v>471</v>
      </c>
      <c r="C45" s="88" t="s">
        <v>472</v>
      </c>
      <c r="D45" s="89" t="s">
        <v>473</v>
      </c>
      <c r="E45" s="182" t="s">
        <v>474</v>
      </c>
      <c r="F45" s="87" t="s">
        <v>475</v>
      </c>
      <c r="G45" s="33" t="s">
        <v>476</v>
      </c>
    </row>
    <row r="46" spans="2:7" ht="52" customHeight="1" x14ac:dyDescent="0.2">
      <c r="B46" s="159" t="s">
        <v>316</v>
      </c>
      <c r="C46" s="230" t="s">
        <v>878</v>
      </c>
      <c r="D46" s="231" t="s">
        <v>478</v>
      </c>
      <c r="E46" s="232" t="s">
        <v>479</v>
      </c>
      <c r="F46" s="233" t="s">
        <v>480</v>
      </c>
      <c r="G46" s="61" t="s">
        <v>879</v>
      </c>
    </row>
    <row r="47" spans="2:7" ht="52" customHeight="1" x14ac:dyDescent="0.2">
      <c r="B47" s="159" t="s">
        <v>481</v>
      </c>
      <c r="C47" s="230" t="s">
        <v>880</v>
      </c>
      <c r="D47" s="231" t="s">
        <v>483</v>
      </c>
      <c r="E47" s="232" t="s">
        <v>484</v>
      </c>
      <c r="F47" s="233" t="s">
        <v>485</v>
      </c>
      <c r="G47" s="47" t="s">
        <v>879</v>
      </c>
    </row>
    <row r="48" spans="2:7" ht="52" customHeight="1" x14ac:dyDescent="0.2">
      <c r="B48" s="159" t="s">
        <v>486</v>
      </c>
      <c r="C48" s="230" t="s">
        <v>881</v>
      </c>
      <c r="D48" s="231" t="s">
        <v>488</v>
      </c>
      <c r="E48" s="232" t="s">
        <v>489</v>
      </c>
      <c r="F48" s="233" t="s">
        <v>490</v>
      </c>
      <c r="G48" s="61" t="s">
        <v>879</v>
      </c>
    </row>
    <row r="49" spans="2:7" ht="52" customHeight="1" x14ac:dyDescent="0.2">
      <c r="B49" s="159" t="s">
        <v>491</v>
      </c>
      <c r="C49" s="230" t="s">
        <v>882</v>
      </c>
      <c r="D49" s="231" t="s">
        <v>493</v>
      </c>
      <c r="E49" s="232" t="s">
        <v>494</v>
      </c>
      <c r="F49" s="233" t="s">
        <v>495</v>
      </c>
      <c r="G49" s="47" t="s">
        <v>879</v>
      </c>
    </row>
    <row r="50" spans="2:7" ht="52" customHeight="1" x14ac:dyDescent="0.2">
      <c r="B50" s="159" t="s">
        <v>496</v>
      </c>
      <c r="C50" s="230" t="s">
        <v>883</v>
      </c>
      <c r="D50" s="231" t="s">
        <v>498</v>
      </c>
      <c r="E50" s="232" t="s">
        <v>499</v>
      </c>
      <c r="F50" s="233" t="s">
        <v>500</v>
      </c>
      <c r="G50" s="61" t="s">
        <v>879</v>
      </c>
    </row>
    <row r="51" spans="2:7" ht="52" customHeight="1" x14ac:dyDescent="0.2">
      <c r="B51" s="159" t="s">
        <v>501</v>
      </c>
      <c r="C51" s="230" t="s">
        <v>884</v>
      </c>
      <c r="D51" s="231" t="s">
        <v>503</v>
      </c>
      <c r="E51" s="232" t="s">
        <v>504</v>
      </c>
      <c r="F51" s="233" t="s">
        <v>505</v>
      </c>
      <c r="G51" s="47" t="s">
        <v>879</v>
      </c>
    </row>
    <row r="52" spans="2:7" ht="52" customHeight="1" x14ac:dyDescent="0.2">
      <c r="B52" s="159" t="s">
        <v>506</v>
      </c>
      <c r="C52" s="230" t="s">
        <v>885</v>
      </c>
      <c r="D52" s="231" t="s">
        <v>508</v>
      </c>
      <c r="E52" s="232" t="s">
        <v>509</v>
      </c>
      <c r="F52" s="233" t="s">
        <v>510</v>
      </c>
      <c r="G52" s="61" t="s">
        <v>879</v>
      </c>
    </row>
    <row r="53" spans="2:7" ht="52" customHeight="1" x14ac:dyDescent="0.2">
      <c r="B53" s="159" t="s">
        <v>328</v>
      </c>
      <c r="C53" s="230" t="s">
        <v>886</v>
      </c>
      <c r="D53" s="231" t="s">
        <v>512</v>
      </c>
      <c r="E53" s="232" t="s">
        <v>513</v>
      </c>
      <c r="F53" s="233" t="s">
        <v>514</v>
      </c>
      <c r="G53" s="47" t="s">
        <v>879</v>
      </c>
    </row>
    <row r="54" spans="2:7" ht="52" customHeight="1" x14ac:dyDescent="0.2">
      <c r="B54" s="159" t="s">
        <v>526</v>
      </c>
      <c r="C54" s="230" t="s">
        <v>887</v>
      </c>
      <c r="D54" s="231" t="s">
        <v>528</v>
      </c>
      <c r="E54" s="232" t="s">
        <v>529</v>
      </c>
      <c r="F54" s="233" t="s">
        <v>530</v>
      </c>
      <c r="G54" s="61" t="s">
        <v>879</v>
      </c>
    </row>
    <row r="55" spans="2:7" ht="52" customHeight="1" x14ac:dyDescent="0.2">
      <c r="B55" s="159" t="s">
        <v>531</v>
      </c>
      <c r="C55" s="230" t="s">
        <v>888</v>
      </c>
      <c r="D55" s="231" t="s">
        <v>533</v>
      </c>
      <c r="E55" s="232" t="s">
        <v>534</v>
      </c>
      <c r="F55" s="233" t="s">
        <v>535</v>
      </c>
      <c r="G55" s="47" t="s">
        <v>879</v>
      </c>
    </row>
    <row r="56" spans="2:7" ht="52" customHeight="1" x14ac:dyDescent="0.2">
      <c r="B56" s="159" t="s">
        <v>536</v>
      </c>
      <c r="C56" s="230" t="s">
        <v>889</v>
      </c>
      <c r="D56" s="231" t="s">
        <v>538</v>
      </c>
      <c r="E56" s="232" t="s">
        <v>539</v>
      </c>
      <c r="F56" s="233" t="s">
        <v>540</v>
      </c>
      <c r="G56" s="61" t="s">
        <v>879</v>
      </c>
    </row>
    <row r="57" spans="2:7" ht="52" customHeight="1" x14ac:dyDescent="0.2">
      <c r="B57" s="159" t="s">
        <v>541</v>
      </c>
      <c r="C57" s="230" t="s">
        <v>890</v>
      </c>
      <c r="D57" s="231" t="s">
        <v>543</v>
      </c>
      <c r="E57" s="232" t="s">
        <v>544</v>
      </c>
      <c r="F57" s="233" t="s">
        <v>545</v>
      </c>
      <c r="G57" s="47" t="s">
        <v>879</v>
      </c>
    </row>
    <row r="58" spans="2:7" ht="16" customHeight="1" x14ac:dyDescent="0.2">
      <c r="B58" s="331" t="s">
        <v>891</v>
      </c>
      <c r="C58" s="292"/>
      <c r="D58" s="292"/>
      <c r="E58" s="292"/>
      <c r="F58" s="292"/>
      <c r="G58" s="218" t="s">
        <v>95</v>
      </c>
    </row>
    <row r="59" spans="2:7" ht="6" customHeight="1" x14ac:dyDescent="0.2">
      <c r="B59" s="1"/>
      <c r="C59" s="1"/>
      <c r="D59" s="1"/>
      <c r="E59" s="1"/>
      <c r="F59" s="1"/>
      <c r="G59" s="1"/>
    </row>
    <row r="60" spans="2:7" ht="20" customHeight="1" x14ac:dyDescent="0.2">
      <c r="B60" s="335" t="s">
        <v>892</v>
      </c>
      <c r="C60" s="292"/>
      <c r="D60" s="292"/>
      <c r="E60" s="292"/>
      <c r="F60" s="292"/>
      <c r="G60" s="292"/>
    </row>
    <row r="61" spans="2:7" ht="36" customHeight="1" x14ac:dyDescent="0.2">
      <c r="B61" s="33" t="s">
        <v>471</v>
      </c>
      <c r="C61" s="88" t="s">
        <v>472</v>
      </c>
      <c r="D61" s="89" t="s">
        <v>473</v>
      </c>
      <c r="E61" s="182" t="s">
        <v>474</v>
      </c>
      <c r="F61" s="87" t="s">
        <v>475</v>
      </c>
      <c r="G61" s="33" t="s">
        <v>476</v>
      </c>
    </row>
    <row r="62" spans="2:7" ht="52" customHeight="1" x14ac:dyDescent="0.2">
      <c r="B62" s="159" t="s">
        <v>316</v>
      </c>
      <c r="C62" s="230" t="s">
        <v>893</v>
      </c>
      <c r="D62" s="231" t="s">
        <v>478</v>
      </c>
      <c r="E62" s="232" t="s">
        <v>479</v>
      </c>
      <c r="F62" s="233" t="s">
        <v>480</v>
      </c>
      <c r="G62" s="63" t="s">
        <v>894</v>
      </c>
    </row>
    <row r="63" spans="2:7" ht="52" customHeight="1" x14ac:dyDescent="0.2">
      <c r="B63" s="159" t="s">
        <v>481</v>
      </c>
      <c r="C63" s="230" t="s">
        <v>895</v>
      </c>
      <c r="D63" s="231" t="s">
        <v>483</v>
      </c>
      <c r="E63" s="232" t="s">
        <v>484</v>
      </c>
      <c r="F63" s="233" t="s">
        <v>485</v>
      </c>
      <c r="G63" s="47" t="s">
        <v>894</v>
      </c>
    </row>
    <row r="64" spans="2:7" ht="52" customHeight="1" x14ac:dyDescent="0.2">
      <c r="B64" s="159" t="s">
        <v>486</v>
      </c>
      <c r="C64" s="230" t="s">
        <v>896</v>
      </c>
      <c r="D64" s="231" t="s">
        <v>488</v>
      </c>
      <c r="E64" s="232" t="s">
        <v>489</v>
      </c>
      <c r="F64" s="233" t="s">
        <v>490</v>
      </c>
      <c r="G64" s="63" t="s">
        <v>894</v>
      </c>
    </row>
    <row r="65" spans="2:7" ht="52" customHeight="1" x14ac:dyDescent="0.2">
      <c r="B65" s="159" t="s">
        <v>491</v>
      </c>
      <c r="C65" s="230" t="s">
        <v>897</v>
      </c>
      <c r="D65" s="231" t="s">
        <v>493</v>
      </c>
      <c r="E65" s="232" t="s">
        <v>494</v>
      </c>
      <c r="F65" s="233" t="s">
        <v>495</v>
      </c>
      <c r="G65" s="47" t="s">
        <v>894</v>
      </c>
    </row>
    <row r="66" spans="2:7" ht="52" customHeight="1" x14ac:dyDescent="0.2">
      <c r="B66" s="159" t="s">
        <v>496</v>
      </c>
      <c r="C66" s="230" t="s">
        <v>898</v>
      </c>
      <c r="D66" s="231" t="s">
        <v>498</v>
      </c>
      <c r="E66" s="232" t="s">
        <v>499</v>
      </c>
      <c r="F66" s="233" t="s">
        <v>500</v>
      </c>
      <c r="G66" s="63" t="s">
        <v>894</v>
      </c>
    </row>
    <row r="67" spans="2:7" ht="52" customHeight="1" x14ac:dyDescent="0.2">
      <c r="B67" s="159" t="s">
        <v>501</v>
      </c>
      <c r="C67" s="230" t="s">
        <v>899</v>
      </c>
      <c r="D67" s="231" t="s">
        <v>503</v>
      </c>
      <c r="E67" s="232" t="s">
        <v>504</v>
      </c>
      <c r="F67" s="233" t="s">
        <v>505</v>
      </c>
      <c r="G67" s="47" t="s">
        <v>894</v>
      </c>
    </row>
    <row r="68" spans="2:7" ht="16" customHeight="1" x14ac:dyDescent="0.2">
      <c r="B68" s="331" t="s">
        <v>900</v>
      </c>
      <c r="C68" s="292"/>
      <c r="D68" s="292"/>
      <c r="E68" s="292"/>
      <c r="F68" s="292"/>
      <c r="G68" s="219" t="s">
        <v>95</v>
      </c>
    </row>
    <row r="69" spans="2:7" ht="6" customHeight="1" x14ac:dyDescent="0.2">
      <c r="B69" s="1"/>
      <c r="C69" s="1"/>
      <c r="D69" s="1"/>
      <c r="E69" s="1"/>
      <c r="F69" s="1"/>
      <c r="G69" s="1"/>
    </row>
    <row r="70" spans="2:7" ht="20" customHeight="1" x14ac:dyDescent="0.2">
      <c r="B70" s="330" t="s">
        <v>901</v>
      </c>
      <c r="C70" s="292"/>
      <c r="D70" s="292"/>
      <c r="E70" s="292"/>
      <c r="F70" s="292"/>
      <c r="G70" s="292"/>
    </row>
    <row r="71" spans="2:7" ht="36" customHeight="1" x14ac:dyDescent="0.2">
      <c r="B71" s="33" t="s">
        <v>471</v>
      </c>
      <c r="C71" s="88" t="s">
        <v>472</v>
      </c>
      <c r="D71" s="89" t="s">
        <v>473</v>
      </c>
      <c r="E71" s="182" t="s">
        <v>474</v>
      </c>
      <c r="F71" s="87" t="s">
        <v>475</v>
      </c>
      <c r="G71" s="33" t="s">
        <v>476</v>
      </c>
    </row>
    <row r="72" spans="2:7" ht="52" customHeight="1" x14ac:dyDescent="0.2">
      <c r="B72" s="159" t="s">
        <v>316</v>
      </c>
      <c r="C72" s="230" t="s">
        <v>902</v>
      </c>
      <c r="D72" s="231" t="s">
        <v>478</v>
      </c>
      <c r="E72" s="232" t="s">
        <v>479</v>
      </c>
      <c r="F72" s="233" t="s">
        <v>480</v>
      </c>
      <c r="G72" s="65" t="s">
        <v>793</v>
      </c>
    </row>
    <row r="73" spans="2:7" ht="52" customHeight="1" x14ac:dyDescent="0.2">
      <c r="B73" s="159" t="s">
        <v>481</v>
      </c>
      <c r="C73" s="230" t="s">
        <v>903</v>
      </c>
      <c r="D73" s="231" t="s">
        <v>483</v>
      </c>
      <c r="E73" s="232" t="s">
        <v>484</v>
      </c>
      <c r="F73" s="233" t="s">
        <v>485</v>
      </c>
      <c r="G73" s="47" t="s">
        <v>793</v>
      </c>
    </row>
    <row r="74" spans="2:7" ht="52" customHeight="1" x14ac:dyDescent="0.2">
      <c r="B74" s="159" t="s">
        <v>486</v>
      </c>
      <c r="C74" s="230" t="s">
        <v>904</v>
      </c>
      <c r="D74" s="231" t="s">
        <v>488</v>
      </c>
      <c r="E74" s="232" t="s">
        <v>489</v>
      </c>
      <c r="F74" s="233" t="s">
        <v>490</v>
      </c>
      <c r="G74" s="65" t="s">
        <v>793</v>
      </c>
    </row>
    <row r="75" spans="2:7" ht="52" customHeight="1" x14ac:dyDescent="0.2">
      <c r="B75" s="159" t="s">
        <v>491</v>
      </c>
      <c r="C75" s="230" t="s">
        <v>905</v>
      </c>
      <c r="D75" s="231" t="s">
        <v>493</v>
      </c>
      <c r="E75" s="232" t="s">
        <v>494</v>
      </c>
      <c r="F75" s="233" t="s">
        <v>495</v>
      </c>
      <c r="G75" s="47" t="s">
        <v>793</v>
      </c>
    </row>
    <row r="76" spans="2:7" ht="52" customHeight="1" x14ac:dyDescent="0.2">
      <c r="B76" s="159" t="s">
        <v>496</v>
      </c>
      <c r="C76" s="230" t="s">
        <v>906</v>
      </c>
      <c r="D76" s="231" t="s">
        <v>498</v>
      </c>
      <c r="E76" s="232" t="s">
        <v>499</v>
      </c>
      <c r="F76" s="233" t="s">
        <v>500</v>
      </c>
      <c r="G76" s="65" t="s">
        <v>793</v>
      </c>
    </row>
    <row r="77" spans="2:7" ht="52" customHeight="1" x14ac:dyDescent="0.2">
      <c r="B77" s="159" t="s">
        <v>501</v>
      </c>
      <c r="C77" s="230" t="s">
        <v>907</v>
      </c>
      <c r="D77" s="231" t="s">
        <v>503</v>
      </c>
      <c r="E77" s="232" t="s">
        <v>504</v>
      </c>
      <c r="F77" s="233" t="s">
        <v>505</v>
      </c>
      <c r="G77" s="47" t="s">
        <v>793</v>
      </c>
    </row>
    <row r="78" spans="2:7" ht="52" customHeight="1" x14ac:dyDescent="0.2">
      <c r="B78" s="159" t="s">
        <v>506</v>
      </c>
      <c r="C78" s="230" t="s">
        <v>908</v>
      </c>
      <c r="D78" s="231" t="s">
        <v>508</v>
      </c>
      <c r="E78" s="232" t="s">
        <v>509</v>
      </c>
      <c r="F78" s="233" t="s">
        <v>510</v>
      </c>
      <c r="G78" s="65" t="s">
        <v>793</v>
      </c>
    </row>
    <row r="79" spans="2:7" ht="16" customHeight="1" x14ac:dyDescent="0.2">
      <c r="B79" s="331" t="s">
        <v>867</v>
      </c>
      <c r="C79" s="292"/>
      <c r="D79" s="292"/>
      <c r="E79" s="292"/>
      <c r="F79" s="292"/>
      <c r="G79" s="234" t="s">
        <v>95</v>
      </c>
    </row>
    <row r="80" spans="2:7" ht="6" customHeight="1" x14ac:dyDescent="0.2">
      <c r="B80" s="1"/>
      <c r="C80" s="1"/>
      <c r="D80" s="1"/>
      <c r="E80" s="1"/>
      <c r="F80" s="1"/>
      <c r="G80" s="1"/>
    </row>
  </sheetData>
  <mergeCells count="15">
    <mergeCell ref="B2:K2"/>
    <mergeCell ref="B70:G70"/>
    <mergeCell ref="B21:G21"/>
    <mergeCell ref="B58:F58"/>
    <mergeCell ref="B3:K3"/>
    <mergeCell ref="B9:G9"/>
    <mergeCell ref="B19:F19"/>
    <mergeCell ref="B8:G8"/>
    <mergeCell ref="B32:G32"/>
    <mergeCell ref="B79:F79"/>
    <mergeCell ref="B30:F30"/>
    <mergeCell ref="B68:F68"/>
    <mergeCell ref="B60:G60"/>
    <mergeCell ref="B44:G44"/>
    <mergeCell ref="B42:F4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AC55"/>
  <sheetViews>
    <sheetView workbookViewId="0">
      <pane xSplit="3" ySplit="23" topLeftCell="D2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0" customWidth="1"/>
    <col min="4" max="12" width="12" customWidth="1"/>
    <col min="13" max="14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909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910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3" t="s">
        <v>645</v>
      </c>
      <c r="O5" s="4" t="str">
        <f>HYPERLINK("#PAR · Boletín!A1","📄 Boletín")</f>
        <v>📄 Boletín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2" customHeight="1" x14ac:dyDescent="0.2">
      <c r="B8" s="340" t="s">
        <v>646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</row>
    <row r="9" spans="1:29" ht="20" customHeight="1" x14ac:dyDescent="0.2">
      <c r="B9" s="7" t="s">
        <v>647</v>
      </c>
      <c r="C9" s="235"/>
    </row>
    <row r="10" spans="1:29" ht="20" customHeight="1" x14ac:dyDescent="0.2">
      <c r="B10" s="9" t="s">
        <v>247</v>
      </c>
      <c r="C10" s="235"/>
    </row>
    <row r="11" spans="1:29" ht="20" customHeight="1" x14ac:dyDescent="0.2">
      <c r="B11" s="7" t="s">
        <v>648</v>
      </c>
      <c r="C11" s="236">
        <f>COUNTIF('PAR · 1ªORD'!K11:K40,"APTO")</f>
        <v>0</v>
      </c>
    </row>
    <row r="12" spans="1:29" ht="20" customHeight="1" x14ac:dyDescent="0.2">
      <c r="B12" s="9" t="s">
        <v>649</v>
      </c>
      <c r="C12" s="237">
        <f>COUNTIF('PAR · 1ªORD'!K11:K40,"NO APTO")</f>
        <v>0</v>
      </c>
    </row>
    <row r="13" spans="1:29" ht="20" customHeight="1" x14ac:dyDescent="0.2">
      <c r="B13" s="7" t="s">
        <v>650</v>
      </c>
      <c r="C13" s="238" t="str">
        <f>IFERROR(ROUND(AVERAGEIF('PAR · 1ªORD'!K11:K40,"&lt;&gt;",'PAR · 1ªORD'!J11:J40),2),"")</f>
        <v/>
      </c>
    </row>
    <row r="14" spans="1:29" ht="20" customHeight="1" x14ac:dyDescent="0.2">
      <c r="B14" s="9" t="s">
        <v>129</v>
      </c>
      <c r="C14" s="239">
        <f>IFERROR(MAX('PAR · 1ªORD'!J11:J40),"")</f>
        <v>0</v>
      </c>
    </row>
    <row r="15" spans="1:29" ht="20" customHeight="1" x14ac:dyDescent="0.2">
      <c r="B15" s="7" t="s">
        <v>651</v>
      </c>
      <c r="C15" s="240" t="str">
        <f ca="1">IFERROR(_xludf.MINIFS('PAR · 1ªORD'!J11:J40,'PAR · 1ªORD'!J11:J40,"&gt;0"),"")</f>
        <v/>
      </c>
    </row>
    <row r="16" spans="1:29" ht="20" customHeight="1" x14ac:dyDescent="0.2">
      <c r="B16" s="9" t="s">
        <v>652</v>
      </c>
      <c r="C16" s="241">
        <f>COUNTIFS('PAR · 1ªORD'!J11:J40,"&lt;4",'PAR · 1ªORD'!J11:J40,"&gt;0")</f>
        <v>0</v>
      </c>
    </row>
    <row r="18" spans="2:12" ht="20" customHeight="1" x14ac:dyDescent="0.2">
      <c r="B18" s="341" t="s">
        <v>653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</row>
    <row r="19" spans="2:12" ht="28" customHeight="1" x14ac:dyDescent="0.2">
      <c r="B19" s="182" t="s">
        <v>839</v>
      </c>
      <c r="C19" s="89" t="s">
        <v>840</v>
      </c>
      <c r="D19" s="192" t="s">
        <v>841</v>
      </c>
      <c r="E19" s="193" t="s">
        <v>842</v>
      </c>
      <c r="F19" s="172" t="s">
        <v>843</v>
      </c>
      <c r="G19" s="88" t="s">
        <v>911</v>
      </c>
    </row>
    <row r="20" spans="2:12" ht="20" customHeight="1" x14ac:dyDescent="0.2">
      <c r="B20" s="243" t="str">
        <f>IFERROR(ROUND(AVERAGEIF('PAR · 1ªORD'!D11:D40,"&gt;0",'PAR · 1ªORD'!D11:D40),2),"")</f>
        <v/>
      </c>
      <c r="C20" s="244" t="str">
        <f>IFERROR(ROUND(AVERAGEIF('PAR · 1ªORD'!E11:E40,"&gt;0",'PAR · 1ªORD'!E11:E40),2),"")</f>
        <v/>
      </c>
      <c r="D20" s="245" t="str">
        <f>IFERROR(ROUND(AVERAGEIF('PAR · 1ªORD'!F11:F40,"&gt;0",'PAR · 1ªORD'!F11:F40),2),"")</f>
        <v/>
      </c>
      <c r="E20" s="246" t="str">
        <f>IFERROR(ROUND(AVERAGEIF('PAR · 1ªORD'!G11:G40,"&gt;0",'PAR · 1ªORD'!G11:G40),2),"")</f>
        <v/>
      </c>
      <c r="F20" s="247" t="str">
        <f>IFERROR(ROUND(AVERAGEIF('PAR · 1ªORD'!H11:H40,"&gt;0",'PAR · 1ªORD'!H11:H40),2),"")</f>
        <v/>
      </c>
      <c r="G20" s="248" t="str">
        <f>IFERROR(ROUND(AVERAGEIF('PAR · 1ªORD'!I11:I40,"&gt;0",'PAR · 1ªORD'!I11:I40),2),"")</f>
        <v/>
      </c>
    </row>
    <row r="22" spans="2:12" ht="20" customHeight="1" x14ac:dyDescent="0.2">
      <c r="B22" s="340" t="s">
        <v>655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</row>
    <row r="23" spans="2:12" ht="30" customHeight="1" x14ac:dyDescent="0.2">
      <c r="B23" s="33" t="s">
        <v>352</v>
      </c>
      <c r="C23" s="33" t="s">
        <v>391</v>
      </c>
      <c r="D23" s="182" t="s">
        <v>26</v>
      </c>
      <c r="E23" s="89" t="s">
        <v>31</v>
      </c>
      <c r="F23" s="192" t="s">
        <v>36</v>
      </c>
      <c r="G23" s="193" t="s">
        <v>40</v>
      </c>
      <c r="H23" s="172" t="s">
        <v>44</v>
      </c>
      <c r="I23" s="88" t="s">
        <v>47</v>
      </c>
      <c r="J23" s="33" t="s">
        <v>452</v>
      </c>
      <c r="K23" s="33" t="s">
        <v>413</v>
      </c>
    </row>
    <row r="24" spans="2:12" ht="18" customHeight="1" x14ac:dyDescent="0.2">
      <c r="B24" s="173">
        <v>1</v>
      </c>
      <c r="C24" s="174" t="str">
        <f>IFERROR(INDEX('PAR · 1ªORD'!C:C,11),"")</f>
        <v/>
      </c>
      <c r="D24" s="184" t="str">
        <f>IFERROR(INDEX('PAR · 1ªORD'!D:D,11),"")</f>
        <v/>
      </c>
      <c r="E24" s="185" t="str">
        <f>IFERROR(INDEX('PAR · 1ªORD'!E:E,11),"")</f>
        <v/>
      </c>
      <c r="F24" s="194" t="str">
        <f>IFERROR(INDEX('PAR · 1ªORD'!F:F,11),"")</f>
        <v/>
      </c>
      <c r="G24" s="195" t="str">
        <f>IFERROR(INDEX('PAR · 1ªORD'!G:G,11),"")</f>
        <v/>
      </c>
      <c r="H24" s="196" t="str">
        <f>IFERROR(INDEX('PAR · 1ªORD'!H:H,11),"")</f>
        <v/>
      </c>
      <c r="I24" s="201" t="str">
        <f>IFERROR(INDEX('PAR · 1ªORD'!I:I,11),"")</f>
        <v/>
      </c>
      <c r="J24" s="251" t="str">
        <f>IFERROR(INDEX('PAR · 1ªORD'!J:J,11),"")</f>
        <v/>
      </c>
      <c r="K24" s="252" t="str">
        <f>IFERROR(INDEX('PAR · 1ªORD'!K:K,11),"")</f>
        <v/>
      </c>
    </row>
    <row r="25" spans="2:12" ht="18" customHeight="1" x14ac:dyDescent="0.2">
      <c r="B25" s="173">
        <v>2</v>
      </c>
      <c r="C25" s="174" t="str">
        <f>IFERROR(INDEX('PAR · 1ªORD'!C:C,12),"")</f>
        <v/>
      </c>
      <c r="D25" s="184" t="str">
        <f>IFERROR(INDEX('PAR · 1ªORD'!D:D,12),"")</f>
        <v/>
      </c>
      <c r="E25" s="185" t="str">
        <f>IFERROR(INDEX('PAR · 1ªORD'!E:E,12),"")</f>
        <v/>
      </c>
      <c r="F25" s="194" t="str">
        <f>IFERROR(INDEX('PAR · 1ªORD'!F:F,12),"")</f>
        <v/>
      </c>
      <c r="G25" s="195" t="str">
        <f>IFERROR(INDEX('PAR · 1ªORD'!G:G,12),"")</f>
        <v/>
      </c>
      <c r="H25" s="196" t="str">
        <f>IFERROR(INDEX('PAR · 1ªORD'!H:H,12),"")</f>
        <v/>
      </c>
      <c r="I25" s="201" t="str">
        <f>IFERROR(INDEX('PAR · 1ªORD'!I:I,12),"")</f>
        <v/>
      </c>
      <c r="J25" s="215" t="str">
        <f>IFERROR(INDEX('PAR · 1ªORD'!J:J,12),"")</f>
        <v/>
      </c>
      <c r="K25" s="77" t="str">
        <f>IFERROR(INDEX('PAR · 1ªORD'!K:K,12),"")</f>
        <v/>
      </c>
    </row>
    <row r="26" spans="2:12" ht="18" customHeight="1" x14ac:dyDescent="0.2">
      <c r="B26" s="173">
        <v>3</v>
      </c>
      <c r="C26" s="174" t="str">
        <f>IFERROR(INDEX('PAR · 1ªORD'!C:C,13),"")</f>
        <v/>
      </c>
      <c r="D26" s="184" t="str">
        <f>IFERROR(INDEX('PAR · 1ªORD'!D:D,13),"")</f>
        <v/>
      </c>
      <c r="E26" s="185" t="str">
        <f>IFERROR(INDEX('PAR · 1ªORD'!E:E,13),"")</f>
        <v/>
      </c>
      <c r="F26" s="194" t="str">
        <f>IFERROR(INDEX('PAR · 1ªORD'!F:F,13),"")</f>
        <v/>
      </c>
      <c r="G26" s="195" t="str">
        <f>IFERROR(INDEX('PAR · 1ªORD'!G:G,13),"")</f>
        <v/>
      </c>
      <c r="H26" s="196" t="str">
        <f>IFERROR(INDEX('PAR · 1ªORD'!H:H,13),"")</f>
        <v/>
      </c>
      <c r="I26" s="201" t="str">
        <f>IFERROR(INDEX('PAR · 1ªORD'!I:I,13),"")</f>
        <v/>
      </c>
      <c r="J26" s="251" t="str">
        <f>IFERROR(INDEX('PAR · 1ªORD'!J:J,13),"")</f>
        <v/>
      </c>
      <c r="K26" s="252" t="str">
        <f>IFERROR(INDEX('PAR · 1ªORD'!K:K,13),"")</f>
        <v/>
      </c>
    </row>
    <row r="27" spans="2:12" ht="18" customHeight="1" x14ac:dyDescent="0.2">
      <c r="B27" s="173">
        <v>4</v>
      </c>
      <c r="C27" s="174" t="str">
        <f>IFERROR(INDEX('PAR · 1ªORD'!C:C,14),"")</f>
        <v/>
      </c>
      <c r="D27" s="184" t="str">
        <f>IFERROR(INDEX('PAR · 1ªORD'!D:D,14),"")</f>
        <v/>
      </c>
      <c r="E27" s="185" t="str">
        <f>IFERROR(INDEX('PAR · 1ªORD'!E:E,14),"")</f>
        <v/>
      </c>
      <c r="F27" s="194" t="str">
        <f>IFERROR(INDEX('PAR · 1ªORD'!F:F,14),"")</f>
        <v/>
      </c>
      <c r="G27" s="195" t="str">
        <f>IFERROR(INDEX('PAR · 1ªORD'!G:G,14),"")</f>
        <v/>
      </c>
      <c r="H27" s="196" t="str">
        <f>IFERROR(INDEX('PAR · 1ªORD'!H:H,14),"")</f>
        <v/>
      </c>
      <c r="I27" s="201" t="str">
        <f>IFERROR(INDEX('PAR · 1ªORD'!I:I,14),"")</f>
        <v/>
      </c>
      <c r="J27" s="215" t="str">
        <f>IFERROR(INDEX('PAR · 1ªORD'!J:J,14),"")</f>
        <v/>
      </c>
      <c r="K27" s="77" t="str">
        <f>IFERROR(INDEX('PAR · 1ªORD'!K:K,14),"")</f>
        <v/>
      </c>
    </row>
    <row r="28" spans="2:12" ht="18" customHeight="1" x14ac:dyDescent="0.2">
      <c r="B28" s="173">
        <v>5</v>
      </c>
      <c r="C28" s="174" t="str">
        <f>IFERROR(INDEX('PAR · 1ªORD'!C:C,15),"")</f>
        <v/>
      </c>
      <c r="D28" s="184" t="str">
        <f>IFERROR(INDEX('PAR · 1ªORD'!D:D,15),"")</f>
        <v/>
      </c>
      <c r="E28" s="185" t="str">
        <f>IFERROR(INDEX('PAR · 1ªORD'!E:E,15),"")</f>
        <v/>
      </c>
      <c r="F28" s="194" t="str">
        <f>IFERROR(INDEX('PAR · 1ªORD'!F:F,15),"")</f>
        <v/>
      </c>
      <c r="G28" s="195" t="str">
        <f>IFERROR(INDEX('PAR · 1ªORD'!G:G,15),"")</f>
        <v/>
      </c>
      <c r="H28" s="196" t="str">
        <f>IFERROR(INDEX('PAR · 1ªORD'!H:H,15),"")</f>
        <v/>
      </c>
      <c r="I28" s="201" t="str">
        <f>IFERROR(INDEX('PAR · 1ªORD'!I:I,15),"")</f>
        <v/>
      </c>
      <c r="J28" s="251" t="str">
        <f>IFERROR(INDEX('PAR · 1ªORD'!J:J,15),"")</f>
        <v/>
      </c>
      <c r="K28" s="252" t="str">
        <f>IFERROR(INDEX('PAR · 1ªORD'!K:K,15),"")</f>
        <v/>
      </c>
    </row>
    <row r="29" spans="2:12" ht="18" customHeight="1" x14ac:dyDescent="0.2">
      <c r="B29" s="173">
        <v>6</v>
      </c>
      <c r="C29" s="174" t="str">
        <f>IFERROR(INDEX('PAR · 1ªORD'!C:C,16),"")</f>
        <v/>
      </c>
      <c r="D29" s="184" t="str">
        <f>IFERROR(INDEX('PAR · 1ªORD'!D:D,16),"")</f>
        <v/>
      </c>
      <c r="E29" s="185" t="str">
        <f>IFERROR(INDEX('PAR · 1ªORD'!E:E,16),"")</f>
        <v/>
      </c>
      <c r="F29" s="194" t="str">
        <f>IFERROR(INDEX('PAR · 1ªORD'!F:F,16),"")</f>
        <v/>
      </c>
      <c r="G29" s="195" t="str">
        <f>IFERROR(INDEX('PAR · 1ªORD'!G:G,16),"")</f>
        <v/>
      </c>
      <c r="H29" s="196" t="str">
        <f>IFERROR(INDEX('PAR · 1ªORD'!H:H,16),"")</f>
        <v/>
      </c>
      <c r="I29" s="201" t="str">
        <f>IFERROR(INDEX('PAR · 1ªORD'!I:I,16),"")</f>
        <v/>
      </c>
      <c r="J29" s="215" t="str">
        <f>IFERROR(INDEX('PAR · 1ªORD'!J:J,16),"")</f>
        <v/>
      </c>
      <c r="K29" s="77" t="str">
        <f>IFERROR(INDEX('PAR · 1ªORD'!K:K,16),"")</f>
        <v/>
      </c>
    </row>
    <row r="30" spans="2:12" ht="18" customHeight="1" x14ac:dyDescent="0.2">
      <c r="B30" s="173">
        <v>7</v>
      </c>
      <c r="C30" s="174" t="str">
        <f>IFERROR(INDEX('PAR · 1ªORD'!C:C,17),"")</f>
        <v/>
      </c>
      <c r="D30" s="184" t="str">
        <f>IFERROR(INDEX('PAR · 1ªORD'!D:D,17),"")</f>
        <v/>
      </c>
      <c r="E30" s="185" t="str">
        <f>IFERROR(INDEX('PAR · 1ªORD'!E:E,17),"")</f>
        <v/>
      </c>
      <c r="F30" s="194" t="str">
        <f>IFERROR(INDEX('PAR · 1ªORD'!F:F,17),"")</f>
        <v/>
      </c>
      <c r="G30" s="195" t="str">
        <f>IFERROR(INDEX('PAR · 1ªORD'!G:G,17),"")</f>
        <v/>
      </c>
      <c r="H30" s="196" t="str">
        <f>IFERROR(INDEX('PAR · 1ªORD'!H:H,17),"")</f>
        <v/>
      </c>
      <c r="I30" s="201" t="str">
        <f>IFERROR(INDEX('PAR · 1ªORD'!I:I,17),"")</f>
        <v/>
      </c>
      <c r="J30" s="251" t="str">
        <f>IFERROR(INDEX('PAR · 1ªORD'!J:J,17),"")</f>
        <v/>
      </c>
      <c r="K30" s="252" t="str">
        <f>IFERROR(INDEX('PAR · 1ªORD'!K:K,17),"")</f>
        <v/>
      </c>
    </row>
    <row r="31" spans="2:12" ht="18" customHeight="1" x14ac:dyDescent="0.2">
      <c r="B31" s="173">
        <v>8</v>
      </c>
      <c r="C31" s="174" t="str">
        <f>IFERROR(INDEX('PAR · 1ªORD'!C:C,18),"")</f>
        <v/>
      </c>
      <c r="D31" s="184" t="str">
        <f>IFERROR(INDEX('PAR · 1ªORD'!D:D,18),"")</f>
        <v/>
      </c>
      <c r="E31" s="185" t="str">
        <f>IFERROR(INDEX('PAR · 1ªORD'!E:E,18),"")</f>
        <v/>
      </c>
      <c r="F31" s="194" t="str">
        <f>IFERROR(INDEX('PAR · 1ªORD'!F:F,18),"")</f>
        <v/>
      </c>
      <c r="G31" s="195" t="str">
        <f>IFERROR(INDEX('PAR · 1ªORD'!G:G,18),"")</f>
        <v/>
      </c>
      <c r="H31" s="196" t="str">
        <f>IFERROR(INDEX('PAR · 1ªORD'!H:H,18),"")</f>
        <v/>
      </c>
      <c r="I31" s="201" t="str">
        <f>IFERROR(INDEX('PAR · 1ªORD'!I:I,18),"")</f>
        <v/>
      </c>
      <c r="J31" s="215" t="str">
        <f>IFERROR(INDEX('PAR · 1ªORD'!J:J,18),"")</f>
        <v/>
      </c>
      <c r="K31" s="77" t="str">
        <f>IFERROR(INDEX('PAR · 1ªORD'!K:K,18),"")</f>
        <v/>
      </c>
    </row>
    <row r="32" spans="2:12" ht="18" customHeight="1" x14ac:dyDescent="0.2">
      <c r="B32" s="173">
        <v>9</v>
      </c>
      <c r="C32" s="174" t="str">
        <f>IFERROR(INDEX('PAR · 1ªORD'!C:C,19),"")</f>
        <v/>
      </c>
      <c r="D32" s="184" t="str">
        <f>IFERROR(INDEX('PAR · 1ªORD'!D:D,19),"")</f>
        <v/>
      </c>
      <c r="E32" s="185" t="str">
        <f>IFERROR(INDEX('PAR · 1ªORD'!E:E,19),"")</f>
        <v/>
      </c>
      <c r="F32" s="194" t="str">
        <f>IFERROR(INDEX('PAR · 1ªORD'!F:F,19),"")</f>
        <v/>
      </c>
      <c r="G32" s="195" t="str">
        <f>IFERROR(INDEX('PAR · 1ªORD'!G:G,19),"")</f>
        <v/>
      </c>
      <c r="H32" s="196" t="str">
        <f>IFERROR(INDEX('PAR · 1ªORD'!H:H,19),"")</f>
        <v/>
      </c>
      <c r="I32" s="201" t="str">
        <f>IFERROR(INDEX('PAR · 1ªORD'!I:I,19),"")</f>
        <v/>
      </c>
      <c r="J32" s="251" t="str">
        <f>IFERROR(INDEX('PAR · 1ªORD'!J:J,19),"")</f>
        <v/>
      </c>
      <c r="K32" s="252" t="str">
        <f>IFERROR(INDEX('PAR · 1ªORD'!K:K,19),"")</f>
        <v/>
      </c>
    </row>
    <row r="33" spans="2:11" ht="18" customHeight="1" x14ac:dyDescent="0.2">
      <c r="B33" s="173">
        <v>10</v>
      </c>
      <c r="C33" s="174" t="str">
        <f>IFERROR(INDEX('PAR · 1ªORD'!C:C,20),"")</f>
        <v/>
      </c>
      <c r="D33" s="184" t="str">
        <f>IFERROR(INDEX('PAR · 1ªORD'!D:D,20),"")</f>
        <v/>
      </c>
      <c r="E33" s="185" t="str">
        <f>IFERROR(INDEX('PAR · 1ªORD'!E:E,20),"")</f>
        <v/>
      </c>
      <c r="F33" s="194" t="str">
        <f>IFERROR(INDEX('PAR · 1ªORD'!F:F,20),"")</f>
        <v/>
      </c>
      <c r="G33" s="195" t="str">
        <f>IFERROR(INDEX('PAR · 1ªORD'!G:G,20),"")</f>
        <v/>
      </c>
      <c r="H33" s="196" t="str">
        <f>IFERROR(INDEX('PAR · 1ªORD'!H:H,20),"")</f>
        <v/>
      </c>
      <c r="I33" s="201" t="str">
        <f>IFERROR(INDEX('PAR · 1ªORD'!I:I,20),"")</f>
        <v/>
      </c>
      <c r="J33" s="215" t="str">
        <f>IFERROR(INDEX('PAR · 1ªORD'!J:J,20),"")</f>
        <v/>
      </c>
      <c r="K33" s="77" t="str">
        <f>IFERROR(INDEX('PAR · 1ªORD'!K:K,20),"")</f>
        <v/>
      </c>
    </row>
    <row r="34" spans="2:11" ht="18" customHeight="1" x14ac:dyDescent="0.2">
      <c r="B34" s="173">
        <v>11</v>
      </c>
      <c r="C34" s="174" t="str">
        <f>IFERROR(INDEX('PAR · 1ªORD'!C:C,21),"")</f>
        <v/>
      </c>
      <c r="D34" s="184" t="str">
        <f>IFERROR(INDEX('PAR · 1ªORD'!D:D,21),"")</f>
        <v/>
      </c>
      <c r="E34" s="185" t="str">
        <f>IFERROR(INDEX('PAR · 1ªORD'!E:E,21),"")</f>
        <v/>
      </c>
      <c r="F34" s="194" t="str">
        <f>IFERROR(INDEX('PAR · 1ªORD'!F:F,21),"")</f>
        <v/>
      </c>
      <c r="G34" s="195" t="str">
        <f>IFERROR(INDEX('PAR · 1ªORD'!G:G,21),"")</f>
        <v/>
      </c>
      <c r="H34" s="196" t="str">
        <f>IFERROR(INDEX('PAR · 1ªORD'!H:H,21),"")</f>
        <v/>
      </c>
      <c r="I34" s="201" t="str">
        <f>IFERROR(INDEX('PAR · 1ªORD'!I:I,21),"")</f>
        <v/>
      </c>
      <c r="J34" s="251" t="str">
        <f>IFERROR(INDEX('PAR · 1ªORD'!J:J,21),"")</f>
        <v/>
      </c>
      <c r="K34" s="252" t="str">
        <f>IFERROR(INDEX('PAR · 1ªORD'!K:K,21),"")</f>
        <v/>
      </c>
    </row>
    <row r="35" spans="2:11" ht="18" customHeight="1" x14ac:dyDescent="0.2">
      <c r="B35" s="173">
        <v>12</v>
      </c>
      <c r="C35" s="174" t="str">
        <f>IFERROR(INDEX('PAR · 1ªORD'!C:C,22),"")</f>
        <v/>
      </c>
      <c r="D35" s="184" t="str">
        <f>IFERROR(INDEX('PAR · 1ªORD'!D:D,22),"")</f>
        <v/>
      </c>
      <c r="E35" s="185" t="str">
        <f>IFERROR(INDEX('PAR · 1ªORD'!E:E,22),"")</f>
        <v/>
      </c>
      <c r="F35" s="194" t="str">
        <f>IFERROR(INDEX('PAR · 1ªORD'!F:F,22),"")</f>
        <v/>
      </c>
      <c r="G35" s="195" t="str">
        <f>IFERROR(INDEX('PAR · 1ªORD'!G:G,22),"")</f>
        <v/>
      </c>
      <c r="H35" s="196" t="str">
        <f>IFERROR(INDEX('PAR · 1ªORD'!H:H,22),"")</f>
        <v/>
      </c>
      <c r="I35" s="201" t="str">
        <f>IFERROR(INDEX('PAR · 1ªORD'!I:I,22),"")</f>
        <v/>
      </c>
      <c r="J35" s="215" t="str">
        <f>IFERROR(INDEX('PAR · 1ªORD'!J:J,22),"")</f>
        <v/>
      </c>
      <c r="K35" s="77" t="str">
        <f>IFERROR(INDEX('PAR · 1ªORD'!K:K,22),"")</f>
        <v/>
      </c>
    </row>
    <row r="36" spans="2:11" ht="18" customHeight="1" x14ac:dyDescent="0.2">
      <c r="B36" s="173">
        <v>13</v>
      </c>
      <c r="C36" s="174" t="str">
        <f>IFERROR(INDEX('PAR · 1ªORD'!C:C,23),"")</f>
        <v/>
      </c>
      <c r="D36" s="184" t="str">
        <f>IFERROR(INDEX('PAR · 1ªORD'!D:D,23),"")</f>
        <v/>
      </c>
      <c r="E36" s="185" t="str">
        <f>IFERROR(INDEX('PAR · 1ªORD'!E:E,23),"")</f>
        <v/>
      </c>
      <c r="F36" s="194" t="str">
        <f>IFERROR(INDEX('PAR · 1ªORD'!F:F,23),"")</f>
        <v/>
      </c>
      <c r="G36" s="195" t="str">
        <f>IFERROR(INDEX('PAR · 1ªORD'!G:G,23),"")</f>
        <v/>
      </c>
      <c r="H36" s="196" t="str">
        <f>IFERROR(INDEX('PAR · 1ªORD'!H:H,23),"")</f>
        <v/>
      </c>
      <c r="I36" s="201" t="str">
        <f>IFERROR(INDEX('PAR · 1ªORD'!I:I,23),"")</f>
        <v/>
      </c>
      <c r="J36" s="251" t="str">
        <f>IFERROR(INDEX('PAR · 1ªORD'!J:J,23),"")</f>
        <v/>
      </c>
      <c r="K36" s="252" t="str">
        <f>IFERROR(INDEX('PAR · 1ªORD'!K:K,23),"")</f>
        <v/>
      </c>
    </row>
    <row r="37" spans="2:11" ht="18" customHeight="1" x14ac:dyDescent="0.2">
      <c r="B37" s="173">
        <v>14</v>
      </c>
      <c r="C37" s="174" t="str">
        <f>IFERROR(INDEX('PAR · 1ªORD'!C:C,24),"")</f>
        <v/>
      </c>
      <c r="D37" s="184" t="str">
        <f>IFERROR(INDEX('PAR · 1ªORD'!D:D,24),"")</f>
        <v/>
      </c>
      <c r="E37" s="185" t="str">
        <f>IFERROR(INDEX('PAR · 1ªORD'!E:E,24),"")</f>
        <v/>
      </c>
      <c r="F37" s="194" t="str">
        <f>IFERROR(INDEX('PAR · 1ªORD'!F:F,24),"")</f>
        <v/>
      </c>
      <c r="G37" s="195" t="str">
        <f>IFERROR(INDEX('PAR · 1ªORD'!G:G,24),"")</f>
        <v/>
      </c>
      <c r="H37" s="196" t="str">
        <f>IFERROR(INDEX('PAR · 1ªORD'!H:H,24),"")</f>
        <v/>
      </c>
      <c r="I37" s="201" t="str">
        <f>IFERROR(INDEX('PAR · 1ªORD'!I:I,24),"")</f>
        <v/>
      </c>
      <c r="J37" s="215" t="str">
        <f>IFERROR(INDEX('PAR · 1ªORD'!J:J,24),"")</f>
        <v/>
      </c>
      <c r="K37" s="77" t="str">
        <f>IFERROR(INDEX('PAR · 1ªORD'!K:K,24),"")</f>
        <v/>
      </c>
    </row>
    <row r="38" spans="2:11" ht="18" customHeight="1" x14ac:dyDescent="0.2">
      <c r="B38" s="173">
        <v>15</v>
      </c>
      <c r="C38" s="174" t="str">
        <f>IFERROR(INDEX('PAR · 1ªORD'!C:C,25),"")</f>
        <v/>
      </c>
      <c r="D38" s="184" t="str">
        <f>IFERROR(INDEX('PAR · 1ªORD'!D:D,25),"")</f>
        <v/>
      </c>
      <c r="E38" s="185" t="str">
        <f>IFERROR(INDEX('PAR · 1ªORD'!E:E,25),"")</f>
        <v/>
      </c>
      <c r="F38" s="194" t="str">
        <f>IFERROR(INDEX('PAR · 1ªORD'!F:F,25),"")</f>
        <v/>
      </c>
      <c r="G38" s="195" t="str">
        <f>IFERROR(INDEX('PAR · 1ªORD'!G:G,25),"")</f>
        <v/>
      </c>
      <c r="H38" s="196" t="str">
        <f>IFERROR(INDEX('PAR · 1ªORD'!H:H,25),"")</f>
        <v/>
      </c>
      <c r="I38" s="201" t="str">
        <f>IFERROR(INDEX('PAR · 1ªORD'!I:I,25),"")</f>
        <v/>
      </c>
      <c r="J38" s="251" t="str">
        <f>IFERROR(INDEX('PAR · 1ªORD'!J:J,25),"")</f>
        <v/>
      </c>
      <c r="K38" s="252" t="str">
        <f>IFERROR(INDEX('PAR · 1ªORD'!K:K,25),"")</f>
        <v/>
      </c>
    </row>
    <row r="39" spans="2:11" ht="18" customHeight="1" x14ac:dyDescent="0.2">
      <c r="B39" s="173">
        <v>16</v>
      </c>
      <c r="C39" s="174" t="str">
        <f>IFERROR(INDEX('PAR · 1ªORD'!C:C,26),"")</f>
        <v/>
      </c>
      <c r="D39" s="184" t="str">
        <f>IFERROR(INDEX('PAR · 1ªORD'!D:D,26),"")</f>
        <v/>
      </c>
      <c r="E39" s="185" t="str">
        <f>IFERROR(INDEX('PAR · 1ªORD'!E:E,26),"")</f>
        <v/>
      </c>
      <c r="F39" s="194" t="str">
        <f>IFERROR(INDEX('PAR · 1ªORD'!F:F,26),"")</f>
        <v/>
      </c>
      <c r="G39" s="195" t="str">
        <f>IFERROR(INDEX('PAR · 1ªORD'!G:G,26),"")</f>
        <v/>
      </c>
      <c r="H39" s="196" t="str">
        <f>IFERROR(INDEX('PAR · 1ªORD'!H:H,26),"")</f>
        <v/>
      </c>
      <c r="I39" s="201" t="str">
        <f>IFERROR(INDEX('PAR · 1ªORD'!I:I,26),"")</f>
        <v/>
      </c>
      <c r="J39" s="215" t="str">
        <f>IFERROR(INDEX('PAR · 1ªORD'!J:J,26),"")</f>
        <v/>
      </c>
      <c r="K39" s="77" t="str">
        <f>IFERROR(INDEX('PAR · 1ªORD'!K:K,26),"")</f>
        <v/>
      </c>
    </row>
    <row r="40" spans="2:11" ht="18" customHeight="1" x14ac:dyDescent="0.2">
      <c r="B40" s="173">
        <v>17</v>
      </c>
      <c r="C40" s="174" t="str">
        <f>IFERROR(INDEX('PAR · 1ªORD'!C:C,27),"")</f>
        <v/>
      </c>
      <c r="D40" s="184" t="str">
        <f>IFERROR(INDEX('PAR · 1ªORD'!D:D,27),"")</f>
        <v/>
      </c>
      <c r="E40" s="185" t="str">
        <f>IFERROR(INDEX('PAR · 1ªORD'!E:E,27),"")</f>
        <v/>
      </c>
      <c r="F40" s="194" t="str">
        <f>IFERROR(INDEX('PAR · 1ªORD'!F:F,27),"")</f>
        <v/>
      </c>
      <c r="G40" s="195" t="str">
        <f>IFERROR(INDEX('PAR · 1ªORD'!G:G,27),"")</f>
        <v/>
      </c>
      <c r="H40" s="196" t="str">
        <f>IFERROR(INDEX('PAR · 1ªORD'!H:H,27),"")</f>
        <v/>
      </c>
      <c r="I40" s="201" t="str">
        <f>IFERROR(INDEX('PAR · 1ªORD'!I:I,27),"")</f>
        <v/>
      </c>
      <c r="J40" s="251" t="str">
        <f>IFERROR(INDEX('PAR · 1ªORD'!J:J,27),"")</f>
        <v/>
      </c>
      <c r="K40" s="252" t="str">
        <f>IFERROR(INDEX('PAR · 1ªORD'!K:K,27),"")</f>
        <v/>
      </c>
    </row>
    <row r="41" spans="2:11" ht="18" customHeight="1" x14ac:dyDescent="0.2">
      <c r="B41" s="173">
        <v>18</v>
      </c>
      <c r="C41" s="174" t="str">
        <f>IFERROR(INDEX('PAR · 1ªORD'!C:C,28),"")</f>
        <v/>
      </c>
      <c r="D41" s="184" t="str">
        <f>IFERROR(INDEX('PAR · 1ªORD'!D:D,28),"")</f>
        <v/>
      </c>
      <c r="E41" s="185" t="str">
        <f>IFERROR(INDEX('PAR · 1ªORD'!E:E,28),"")</f>
        <v/>
      </c>
      <c r="F41" s="194" t="str">
        <f>IFERROR(INDEX('PAR · 1ªORD'!F:F,28),"")</f>
        <v/>
      </c>
      <c r="G41" s="195" t="str">
        <f>IFERROR(INDEX('PAR · 1ªORD'!G:G,28),"")</f>
        <v/>
      </c>
      <c r="H41" s="196" t="str">
        <f>IFERROR(INDEX('PAR · 1ªORD'!H:H,28),"")</f>
        <v/>
      </c>
      <c r="I41" s="201" t="str">
        <f>IFERROR(INDEX('PAR · 1ªORD'!I:I,28),"")</f>
        <v/>
      </c>
      <c r="J41" s="215" t="str">
        <f>IFERROR(INDEX('PAR · 1ªORD'!J:J,28),"")</f>
        <v/>
      </c>
      <c r="K41" s="77" t="str">
        <f>IFERROR(INDEX('PAR · 1ªORD'!K:K,28),"")</f>
        <v/>
      </c>
    </row>
    <row r="42" spans="2:11" ht="18" customHeight="1" x14ac:dyDescent="0.2">
      <c r="B42" s="173">
        <v>19</v>
      </c>
      <c r="C42" s="174" t="str">
        <f>IFERROR(INDEX('PAR · 1ªORD'!C:C,29),"")</f>
        <v/>
      </c>
      <c r="D42" s="184" t="str">
        <f>IFERROR(INDEX('PAR · 1ªORD'!D:D,29),"")</f>
        <v/>
      </c>
      <c r="E42" s="185" t="str">
        <f>IFERROR(INDEX('PAR · 1ªORD'!E:E,29),"")</f>
        <v/>
      </c>
      <c r="F42" s="194" t="str">
        <f>IFERROR(INDEX('PAR · 1ªORD'!F:F,29),"")</f>
        <v/>
      </c>
      <c r="G42" s="195" t="str">
        <f>IFERROR(INDEX('PAR · 1ªORD'!G:G,29),"")</f>
        <v/>
      </c>
      <c r="H42" s="196" t="str">
        <f>IFERROR(INDEX('PAR · 1ªORD'!H:H,29),"")</f>
        <v/>
      </c>
      <c r="I42" s="201" t="str">
        <f>IFERROR(INDEX('PAR · 1ªORD'!I:I,29),"")</f>
        <v/>
      </c>
      <c r="J42" s="251" t="str">
        <f>IFERROR(INDEX('PAR · 1ªORD'!J:J,29),"")</f>
        <v/>
      </c>
      <c r="K42" s="252" t="str">
        <f>IFERROR(INDEX('PAR · 1ªORD'!K:K,29),"")</f>
        <v/>
      </c>
    </row>
    <row r="43" spans="2:11" ht="18" customHeight="1" x14ac:dyDescent="0.2">
      <c r="B43" s="173">
        <v>20</v>
      </c>
      <c r="C43" s="174" t="str">
        <f>IFERROR(INDEX('PAR · 1ªORD'!C:C,30),"")</f>
        <v/>
      </c>
      <c r="D43" s="184" t="str">
        <f>IFERROR(INDEX('PAR · 1ªORD'!D:D,30),"")</f>
        <v/>
      </c>
      <c r="E43" s="185" t="str">
        <f>IFERROR(INDEX('PAR · 1ªORD'!E:E,30),"")</f>
        <v/>
      </c>
      <c r="F43" s="194" t="str">
        <f>IFERROR(INDEX('PAR · 1ªORD'!F:F,30),"")</f>
        <v/>
      </c>
      <c r="G43" s="195" t="str">
        <f>IFERROR(INDEX('PAR · 1ªORD'!G:G,30),"")</f>
        <v/>
      </c>
      <c r="H43" s="196" t="str">
        <f>IFERROR(INDEX('PAR · 1ªORD'!H:H,30),"")</f>
        <v/>
      </c>
      <c r="I43" s="201" t="str">
        <f>IFERROR(INDEX('PAR · 1ªORD'!I:I,30),"")</f>
        <v/>
      </c>
      <c r="J43" s="215" t="str">
        <f>IFERROR(INDEX('PAR · 1ªORD'!J:J,30),"")</f>
        <v/>
      </c>
      <c r="K43" s="77" t="str">
        <f>IFERROR(INDEX('PAR · 1ªORD'!K:K,30),"")</f>
        <v/>
      </c>
    </row>
    <row r="44" spans="2:11" ht="18" customHeight="1" x14ac:dyDescent="0.2">
      <c r="B44" s="173">
        <v>21</v>
      </c>
      <c r="C44" s="174" t="str">
        <f>IFERROR(INDEX('PAR · 1ªORD'!C:C,31),"")</f>
        <v/>
      </c>
      <c r="D44" s="184" t="str">
        <f>IFERROR(INDEX('PAR · 1ªORD'!D:D,31),"")</f>
        <v/>
      </c>
      <c r="E44" s="185" t="str">
        <f>IFERROR(INDEX('PAR · 1ªORD'!E:E,31),"")</f>
        <v/>
      </c>
      <c r="F44" s="194" t="str">
        <f>IFERROR(INDEX('PAR · 1ªORD'!F:F,31),"")</f>
        <v/>
      </c>
      <c r="G44" s="195" t="str">
        <f>IFERROR(INDEX('PAR · 1ªORD'!G:G,31),"")</f>
        <v/>
      </c>
      <c r="H44" s="196" t="str">
        <f>IFERROR(INDEX('PAR · 1ªORD'!H:H,31),"")</f>
        <v/>
      </c>
      <c r="I44" s="201" t="str">
        <f>IFERROR(INDEX('PAR · 1ªORD'!I:I,31),"")</f>
        <v/>
      </c>
      <c r="J44" s="251" t="str">
        <f>IFERROR(INDEX('PAR · 1ªORD'!J:J,31),"")</f>
        <v/>
      </c>
      <c r="K44" s="252" t="str">
        <f>IFERROR(INDEX('PAR · 1ªORD'!K:K,31),"")</f>
        <v/>
      </c>
    </row>
    <row r="45" spans="2:11" ht="18" customHeight="1" x14ac:dyDescent="0.2">
      <c r="B45" s="173">
        <v>22</v>
      </c>
      <c r="C45" s="174" t="str">
        <f>IFERROR(INDEX('PAR · 1ªORD'!C:C,32),"")</f>
        <v/>
      </c>
      <c r="D45" s="184" t="str">
        <f>IFERROR(INDEX('PAR · 1ªORD'!D:D,32),"")</f>
        <v/>
      </c>
      <c r="E45" s="185" t="str">
        <f>IFERROR(INDEX('PAR · 1ªORD'!E:E,32),"")</f>
        <v/>
      </c>
      <c r="F45" s="194" t="str">
        <f>IFERROR(INDEX('PAR · 1ªORD'!F:F,32),"")</f>
        <v/>
      </c>
      <c r="G45" s="195" t="str">
        <f>IFERROR(INDEX('PAR · 1ªORD'!G:G,32),"")</f>
        <v/>
      </c>
      <c r="H45" s="196" t="str">
        <f>IFERROR(INDEX('PAR · 1ªORD'!H:H,32),"")</f>
        <v/>
      </c>
      <c r="I45" s="201" t="str">
        <f>IFERROR(INDEX('PAR · 1ªORD'!I:I,32),"")</f>
        <v/>
      </c>
      <c r="J45" s="215" t="str">
        <f>IFERROR(INDEX('PAR · 1ªORD'!J:J,32),"")</f>
        <v/>
      </c>
      <c r="K45" s="77" t="str">
        <f>IFERROR(INDEX('PAR · 1ªORD'!K:K,32),"")</f>
        <v/>
      </c>
    </row>
    <row r="46" spans="2:11" ht="18" customHeight="1" x14ac:dyDescent="0.2">
      <c r="B46" s="173">
        <v>23</v>
      </c>
      <c r="C46" s="174" t="str">
        <f>IFERROR(INDEX('PAR · 1ªORD'!C:C,33),"")</f>
        <v/>
      </c>
      <c r="D46" s="184" t="str">
        <f>IFERROR(INDEX('PAR · 1ªORD'!D:D,33),"")</f>
        <v/>
      </c>
      <c r="E46" s="185" t="str">
        <f>IFERROR(INDEX('PAR · 1ªORD'!E:E,33),"")</f>
        <v/>
      </c>
      <c r="F46" s="194" t="str">
        <f>IFERROR(INDEX('PAR · 1ªORD'!F:F,33),"")</f>
        <v/>
      </c>
      <c r="G46" s="195" t="str">
        <f>IFERROR(INDEX('PAR · 1ªORD'!G:G,33),"")</f>
        <v/>
      </c>
      <c r="H46" s="196" t="str">
        <f>IFERROR(INDEX('PAR · 1ªORD'!H:H,33),"")</f>
        <v/>
      </c>
      <c r="I46" s="201" t="str">
        <f>IFERROR(INDEX('PAR · 1ªORD'!I:I,33),"")</f>
        <v/>
      </c>
      <c r="J46" s="251" t="str">
        <f>IFERROR(INDEX('PAR · 1ªORD'!J:J,33),"")</f>
        <v/>
      </c>
      <c r="K46" s="252" t="str">
        <f>IFERROR(INDEX('PAR · 1ªORD'!K:K,33),"")</f>
        <v/>
      </c>
    </row>
    <row r="47" spans="2:11" ht="18" customHeight="1" x14ac:dyDescent="0.2">
      <c r="B47" s="173">
        <v>24</v>
      </c>
      <c r="C47" s="174" t="str">
        <f>IFERROR(INDEX('PAR · 1ªORD'!C:C,34),"")</f>
        <v/>
      </c>
      <c r="D47" s="184" t="str">
        <f>IFERROR(INDEX('PAR · 1ªORD'!D:D,34),"")</f>
        <v/>
      </c>
      <c r="E47" s="185" t="str">
        <f>IFERROR(INDEX('PAR · 1ªORD'!E:E,34),"")</f>
        <v/>
      </c>
      <c r="F47" s="194" t="str">
        <f>IFERROR(INDEX('PAR · 1ªORD'!F:F,34),"")</f>
        <v/>
      </c>
      <c r="G47" s="195" t="str">
        <f>IFERROR(INDEX('PAR · 1ªORD'!G:G,34),"")</f>
        <v/>
      </c>
      <c r="H47" s="196" t="str">
        <f>IFERROR(INDEX('PAR · 1ªORD'!H:H,34),"")</f>
        <v/>
      </c>
      <c r="I47" s="201" t="str">
        <f>IFERROR(INDEX('PAR · 1ªORD'!I:I,34),"")</f>
        <v/>
      </c>
      <c r="J47" s="215" t="str">
        <f>IFERROR(INDEX('PAR · 1ªORD'!J:J,34),"")</f>
        <v/>
      </c>
      <c r="K47" s="77" t="str">
        <f>IFERROR(INDEX('PAR · 1ªORD'!K:K,34),"")</f>
        <v/>
      </c>
    </row>
    <row r="48" spans="2:11" ht="18" customHeight="1" x14ac:dyDescent="0.2">
      <c r="B48" s="173">
        <v>25</v>
      </c>
      <c r="C48" s="174" t="str">
        <f>IFERROR(INDEX('PAR · 1ªORD'!C:C,35),"")</f>
        <v/>
      </c>
      <c r="D48" s="184" t="str">
        <f>IFERROR(INDEX('PAR · 1ªORD'!D:D,35),"")</f>
        <v/>
      </c>
      <c r="E48" s="185" t="str">
        <f>IFERROR(INDEX('PAR · 1ªORD'!E:E,35),"")</f>
        <v/>
      </c>
      <c r="F48" s="194" t="str">
        <f>IFERROR(INDEX('PAR · 1ªORD'!F:F,35),"")</f>
        <v/>
      </c>
      <c r="G48" s="195" t="str">
        <f>IFERROR(INDEX('PAR · 1ªORD'!G:G,35),"")</f>
        <v/>
      </c>
      <c r="H48" s="196" t="str">
        <f>IFERROR(INDEX('PAR · 1ªORD'!H:H,35),"")</f>
        <v/>
      </c>
      <c r="I48" s="201" t="str">
        <f>IFERROR(INDEX('PAR · 1ªORD'!I:I,35),"")</f>
        <v/>
      </c>
      <c r="J48" s="251" t="str">
        <f>IFERROR(INDEX('PAR · 1ªORD'!J:J,35),"")</f>
        <v/>
      </c>
      <c r="K48" s="252" t="str">
        <f>IFERROR(INDEX('PAR · 1ªORD'!K:K,35),"")</f>
        <v/>
      </c>
    </row>
    <row r="49" spans="2:12" ht="18" customHeight="1" x14ac:dyDescent="0.2">
      <c r="B49" s="173">
        <v>26</v>
      </c>
      <c r="C49" s="174" t="str">
        <f>IFERROR(INDEX('PAR · 1ªORD'!C:C,36),"")</f>
        <v/>
      </c>
      <c r="D49" s="184" t="str">
        <f>IFERROR(INDEX('PAR · 1ªORD'!D:D,36),"")</f>
        <v/>
      </c>
      <c r="E49" s="185" t="str">
        <f>IFERROR(INDEX('PAR · 1ªORD'!E:E,36),"")</f>
        <v/>
      </c>
      <c r="F49" s="194" t="str">
        <f>IFERROR(INDEX('PAR · 1ªORD'!F:F,36),"")</f>
        <v/>
      </c>
      <c r="G49" s="195" t="str">
        <f>IFERROR(INDEX('PAR · 1ªORD'!G:G,36),"")</f>
        <v/>
      </c>
      <c r="H49" s="196" t="str">
        <f>IFERROR(INDEX('PAR · 1ªORD'!H:H,36),"")</f>
        <v/>
      </c>
      <c r="I49" s="201" t="str">
        <f>IFERROR(INDEX('PAR · 1ªORD'!I:I,36),"")</f>
        <v/>
      </c>
      <c r="J49" s="215" t="str">
        <f>IFERROR(INDEX('PAR · 1ªORD'!J:J,36),"")</f>
        <v/>
      </c>
      <c r="K49" s="77" t="str">
        <f>IFERROR(INDEX('PAR · 1ªORD'!K:K,36),"")</f>
        <v/>
      </c>
    </row>
    <row r="50" spans="2:12" ht="18" customHeight="1" x14ac:dyDescent="0.2">
      <c r="B50" s="173">
        <v>27</v>
      </c>
      <c r="C50" s="174" t="str">
        <f>IFERROR(INDEX('PAR · 1ªORD'!C:C,37),"")</f>
        <v/>
      </c>
      <c r="D50" s="184" t="str">
        <f>IFERROR(INDEX('PAR · 1ªORD'!D:D,37),"")</f>
        <v/>
      </c>
      <c r="E50" s="185" t="str">
        <f>IFERROR(INDEX('PAR · 1ªORD'!E:E,37),"")</f>
        <v/>
      </c>
      <c r="F50" s="194" t="str">
        <f>IFERROR(INDEX('PAR · 1ªORD'!F:F,37),"")</f>
        <v/>
      </c>
      <c r="G50" s="195" t="str">
        <f>IFERROR(INDEX('PAR · 1ªORD'!G:G,37),"")</f>
        <v/>
      </c>
      <c r="H50" s="196" t="str">
        <f>IFERROR(INDEX('PAR · 1ªORD'!H:H,37),"")</f>
        <v/>
      </c>
      <c r="I50" s="201" t="str">
        <f>IFERROR(INDEX('PAR · 1ªORD'!I:I,37),"")</f>
        <v/>
      </c>
      <c r="J50" s="251" t="str">
        <f>IFERROR(INDEX('PAR · 1ªORD'!J:J,37),"")</f>
        <v/>
      </c>
      <c r="K50" s="252" t="str">
        <f>IFERROR(INDEX('PAR · 1ªORD'!K:K,37),"")</f>
        <v/>
      </c>
    </row>
    <row r="51" spans="2:12" ht="18" customHeight="1" x14ac:dyDescent="0.2">
      <c r="B51" s="173">
        <v>28</v>
      </c>
      <c r="C51" s="174" t="str">
        <f>IFERROR(INDEX('PAR · 1ªORD'!C:C,38),"")</f>
        <v/>
      </c>
      <c r="D51" s="184" t="str">
        <f>IFERROR(INDEX('PAR · 1ªORD'!D:D,38),"")</f>
        <v/>
      </c>
      <c r="E51" s="185" t="str">
        <f>IFERROR(INDEX('PAR · 1ªORD'!E:E,38),"")</f>
        <v/>
      </c>
      <c r="F51" s="194" t="str">
        <f>IFERROR(INDEX('PAR · 1ªORD'!F:F,38),"")</f>
        <v/>
      </c>
      <c r="G51" s="195" t="str">
        <f>IFERROR(INDEX('PAR · 1ªORD'!G:G,38),"")</f>
        <v/>
      </c>
      <c r="H51" s="196" t="str">
        <f>IFERROR(INDEX('PAR · 1ªORD'!H:H,38),"")</f>
        <v/>
      </c>
      <c r="I51" s="201" t="str">
        <f>IFERROR(INDEX('PAR · 1ªORD'!I:I,38),"")</f>
        <v/>
      </c>
      <c r="J51" s="215" t="str">
        <f>IFERROR(INDEX('PAR · 1ªORD'!J:J,38),"")</f>
        <v/>
      </c>
      <c r="K51" s="77" t="str">
        <f>IFERROR(INDEX('PAR · 1ªORD'!K:K,38),"")</f>
        <v/>
      </c>
    </row>
    <row r="52" spans="2:12" ht="18" customHeight="1" x14ac:dyDescent="0.2">
      <c r="B52" s="173">
        <v>29</v>
      </c>
      <c r="C52" s="174" t="str">
        <f>IFERROR(INDEX('PAR · 1ªORD'!C:C,39),"")</f>
        <v/>
      </c>
      <c r="D52" s="184" t="str">
        <f>IFERROR(INDEX('PAR · 1ªORD'!D:D,39),"")</f>
        <v/>
      </c>
      <c r="E52" s="185" t="str">
        <f>IFERROR(INDEX('PAR · 1ªORD'!E:E,39),"")</f>
        <v/>
      </c>
      <c r="F52" s="194" t="str">
        <f>IFERROR(INDEX('PAR · 1ªORD'!F:F,39),"")</f>
        <v/>
      </c>
      <c r="G52" s="195" t="str">
        <f>IFERROR(INDEX('PAR · 1ªORD'!G:G,39),"")</f>
        <v/>
      </c>
      <c r="H52" s="196" t="str">
        <f>IFERROR(INDEX('PAR · 1ªORD'!H:H,39),"")</f>
        <v/>
      </c>
      <c r="I52" s="201" t="str">
        <f>IFERROR(INDEX('PAR · 1ªORD'!I:I,39),"")</f>
        <v/>
      </c>
      <c r="J52" s="251" t="str">
        <f>IFERROR(INDEX('PAR · 1ªORD'!J:J,39),"")</f>
        <v/>
      </c>
      <c r="K52" s="252" t="str">
        <f>IFERROR(INDEX('PAR · 1ªORD'!K:K,39),"")</f>
        <v/>
      </c>
    </row>
    <row r="53" spans="2:12" ht="18" customHeight="1" x14ac:dyDescent="0.2">
      <c r="B53" s="173">
        <v>30</v>
      </c>
      <c r="C53" s="174" t="str">
        <f>IFERROR(INDEX('PAR · 1ªORD'!C:C,40),"")</f>
        <v/>
      </c>
      <c r="D53" s="184" t="str">
        <f>IFERROR(INDEX('PAR · 1ªORD'!D:D,40),"")</f>
        <v/>
      </c>
      <c r="E53" s="185" t="str">
        <f>IFERROR(INDEX('PAR · 1ªORD'!E:E,40),"")</f>
        <v/>
      </c>
      <c r="F53" s="194" t="str">
        <f>IFERROR(INDEX('PAR · 1ªORD'!F:F,40),"")</f>
        <v/>
      </c>
      <c r="G53" s="195" t="str">
        <f>IFERROR(INDEX('PAR · 1ªORD'!G:G,40),"")</f>
        <v/>
      </c>
      <c r="H53" s="196" t="str">
        <f>IFERROR(INDEX('PAR · 1ªORD'!H:H,40),"")</f>
        <v/>
      </c>
      <c r="I53" s="201" t="str">
        <f>IFERROR(INDEX('PAR · 1ªORD'!I:I,40),"")</f>
        <v/>
      </c>
      <c r="J53" s="215" t="str">
        <f>IFERROR(INDEX('PAR · 1ªORD'!J:J,40),"")</f>
        <v/>
      </c>
      <c r="K53" s="77" t="str">
        <f>IFERROR(INDEX('PAR · 1ªORD'!K:K,40),"")</f>
        <v/>
      </c>
    </row>
    <row r="55" spans="2:12" ht="14" customHeight="1" x14ac:dyDescent="0.2">
      <c r="B55" s="331" t="s">
        <v>912</v>
      </c>
      <c r="C55" s="292"/>
      <c r="D55" s="292"/>
      <c r="E55" s="292"/>
      <c r="F55" s="292"/>
      <c r="G55" s="292"/>
      <c r="H55" s="292"/>
      <c r="I55" s="292"/>
      <c r="J55" s="292"/>
      <c r="K55" s="292"/>
      <c r="L55" s="292"/>
    </row>
  </sheetData>
  <mergeCells count="6">
    <mergeCell ref="B55:L55"/>
    <mergeCell ref="B2:K2"/>
    <mergeCell ref="B18:L18"/>
    <mergeCell ref="B22:L22"/>
    <mergeCell ref="B3:K3"/>
    <mergeCell ref="B8:L8"/>
  </mergeCells>
  <pageMargins left="0.75" right="0.75" top="1" bottom="1" header="0.5" footer="0.5"/>
  <pageSetup fitToHeight="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C28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18" customWidth="1"/>
    <col min="3" max="12" width="14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657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913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3" t="s">
        <v>659</v>
      </c>
      <c r="P5" s="4" t="str">
        <f>HYPERLINK("#PAR · Dashboard!A1","📊 Dashboard")</f>
        <v>📊 Dashboard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26" customHeight="1" x14ac:dyDescent="0.2">
      <c r="B8" s="178" t="s">
        <v>660</v>
      </c>
      <c r="C8" s="253">
        <v>1</v>
      </c>
      <c r="D8" s="343"/>
      <c r="E8" s="292"/>
      <c r="F8" s="292"/>
      <c r="G8" s="292"/>
      <c r="H8" s="292"/>
    </row>
    <row r="9" spans="1:29" ht="18" customHeight="1" x14ac:dyDescent="0.2">
      <c r="B9" s="254" t="s">
        <v>661</v>
      </c>
      <c r="C9" s="255">
        <f>IFERROR(INDEX('PAR · Alumnos'!E:E,9+C8),"")</f>
        <v>0</v>
      </c>
      <c r="D9" s="254" t="s">
        <v>356</v>
      </c>
      <c r="E9" s="255">
        <f>IFERROR(INDEX('PAR · Alumnos'!G:G,9+C8),"")</f>
        <v>0</v>
      </c>
      <c r="F9" s="254" t="s">
        <v>662</v>
      </c>
      <c r="G9" s="255">
        <f>IFERROR(INDEX('PAR · Alumnos'!H:H,9+C8),"")</f>
        <v>0</v>
      </c>
      <c r="H9" s="254" t="s">
        <v>232</v>
      </c>
      <c r="I9" s="255" t="str">
        <f>IFERROR(INDEX('PAR · Alumnos'!J:J,9+C8),"")</f>
        <v>Activo</v>
      </c>
    </row>
    <row r="11" spans="1:29" ht="20" customHeight="1" x14ac:dyDescent="0.2">
      <c r="B11" s="347" t="s">
        <v>914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</row>
    <row r="12" spans="1:29" ht="16" customHeight="1" x14ac:dyDescent="0.2">
      <c r="B12" s="75" t="s">
        <v>664</v>
      </c>
      <c r="C12" s="75" t="s">
        <v>665</v>
      </c>
      <c r="D12" s="75" t="s">
        <v>666</v>
      </c>
      <c r="E12" s="75" t="s">
        <v>915</v>
      </c>
      <c r="F12" s="256" t="s">
        <v>668</v>
      </c>
      <c r="G12" s="256" t="s">
        <v>669</v>
      </c>
      <c r="H12" s="256" t="s">
        <v>670</v>
      </c>
    </row>
    <row r="13" spans="1:29" ht="18" customHeight="1" x14ac:dyDescent="0.2">
      <c r="B13" s="257" t="s">
        <v>671</v>
      </c>
      <c r="C13" s="258">
        <f>IFERROR(INDEX('PAR · Reg. Notas'!L:L,10+C$8),"")</f>
        <v>0</v>
      </c>
      <c r="D13" s="258">
        <f>IFERROR(INDEX('PAR · Reg. Notas'!D:D,10+C$8),"")</f>
        <v>0</v>
      </c>
      <c r="E13" s="258">
        <f>IFERROR(INDEX('PAR · Reg. Notas'!E:E,10+C$8),"")</f>
        <v>0</v>
      </c>
      <c r="F13" s="258">
        <f>IFERROR(INDEX('PAR · Reg. Notas'!F:F,10+C$8),"")</f>
        <v>0</v>
      </c>
      <c r="G13" s="258" t="str">
        <f>IFERROR(INDEX('PAR · Reg. Notas'!O:O,10+C$8),"")</f>
        <v/>
      </c>
      <c r="H13" s="258" t="str">
        <f>IFERROR(INDEX('PAR · Reg. Notas'!P:P,10+C$8),"")</f>
        <v/>
      </c>
    </row>
    <row r="14" spans="1:29" ht="20" customHeight="1" x14ac:dyDescent="0.2">
      <c r="B14" s="345" t="s">
        <v>672</v>
      </c>
      <c r="C14" s="292"/>
      <c r="D14" s="292"/>
      <c r="E14" s="292"/>
      <c r="F14" s="292"/>
      <c r="G14" s="292"/>
      <c r="H14" s="259" t="str">
        <f>IFERROR(INDEX('PAR · Evaluación 1'!H:H,10+C$8),"")</f>
        <v/>
      </c>
      <c r="I14" s="77" t="str">
        <f>IFERROR(INDEX('PAR · Evaluación 1'!I:I,10+C$8),"")</f>
        <v/>
      </c>
    </row>
    <row r="16" spans="1:29" ht="20" customHeight="1" x14ac:dyDescent="0.2">
      <c r="B16" s="346" t="s">
        <v>916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</row>
    <row r="17" spans="2:12" ht="16" customHeight="1" x14ac:dyDescent="0.2">
      <c r="B17" s="75" t="s">
        <v>674</v>
      </c>
      <c r="C17" s="75" t="s">
        <v>675</v>
      </c>
      <c r="D17" s="75" t="s">
        <v>676</v>
      </c>
      <c r="E17" s="75" t="s">
        <v>677</v>
      </c>
      <c r="F17" s="75" t="s">
        <v>917</v>
      </c>
      <c r="G17" s="260" t="s">
        <v>678</v>
      </c>
      <c r="H17" s="260" t="s">
        <v>679</v>
      </c>
      <c r="I17" s="260" t="s">
        <v>680</v>
      </c>
      <c r="J17" s="260" t="s">
        <v>681</v>
      </c>
    </row>
    <row r="18" spans="2:12" ht="18" customHeight="1" x14ac:dyDescent="0.2">
      <c r="B18" s="257" t="s">
        <v>671</v>
      </c>
      <c r="C18" s="258">
        <f>IFERROR(INDEX('PAR · Reg. Notas'!M:M,10+C$8),"")</f>
        <v>0</v>
      </c>
      <c r="D18" s="258">
        <f>IFERROR(INDEX('PAR · Reg. Notas'!G:G,10+C$8),"")</f>
        <v>0</v>
      </c>
      <c r="E18" s="258">
        <f>IFERROR(INDEX('PAR · Reg. Notas'!H:H,10+C$8),"")</f>
        <v>0</v>
      </c>
      <c r="F18" s="258">
        <f>IFERROR(INDEX('PAR · Reg. Notas'!I:I,10+C$8),"")</f>
        <v>0</v>
      </c>
      <c r="G18" s="258">
        <f>IFERROR(INDEX('PAR · Reg. Notas'!J:J,10+C$8),"")</f>
        <v>0</v>
      </c>
      <c r="H18" s="258" t="str">
        <f>IFERROR(INDEX('PAR · Reg. Notas'!Q:Q,10+C$8),"")</f>
        <v/>
      </c>
      <c r="I18" s="258" t="str">
        <f>IFERROR(INDEX('PAR · Reg. Notas'!R:R,10+C$8),"")</f>
        <v/>
      </c>
      <c r="J18" s="258" t="str">
        <f>IFERROR(INDEX('PAR · Reg. Notas'!S:S,10+C$8),"")</f>
        <v/>
      </c>
    </row>
    <row r="19" spans="2:12" ht="20" customHeight="1" x14ac:dyDescent="0.2">
      <c r="B19" s="349" t="s">
        <v>682</v>
      </c>
      <c r="C19" s="292"/>
      <c r="D19" s="292"/>
      <c r="E19" s="292"/>
      <c r="F19" s="292"/>
      <c r="G19" s="292"/>
      <c r="H19" s="292"/>
      <c r="I19" s="292"/>
      <c r="J19" s="261" t="str">
        <f>IFERROR(INDEX('PAR · Evaluación 2'!J:J,10+C$8),"")</f>
        <v/>
      </c>
      <c r="K19" s="77" t="str">
        <f>IFERROR(INDEX('PAR · Evaluación 2'!K:K,10+C$8),"")</f>
        <v/>
      </c>
    </row>
    <row r="21" spans="2:12" ht="20" customHeight="1" x14ac:dyDescent="0.2">
      <c r="B21" s="344" t="s">
        <v>918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</row>
    <row r="22" spans="2:12" ht="16" customHeight="1" x14ac:dyDescent="0.2">
      <c r="B22" s="75" t="s">
        <v>684</v>
      </c>
      <c r="C22" s="75" t="s">
        <v>919</v>
      </c>
      <c r="D22" s="262" t="s">
        <v>688</v>
      </c>
      <c r="E22" s="82" t="s">
        <v>691</v>
      </c>
    </row>
    <row r="23" spans="2:12" ht="18" customHeight="1" x14ac:dyDescent="0.2">
      <c r="B23" s="257" t="s">
        <v>671</v>
      </c>
      <c r="C23" s="258">
        <f>IFERROR(INDEX('PAR · Reg. Notas'!N:N,10+C$8),"")</f>
        <v>0</v>
      </c>
      <c r="D23" s="258">
        <f>IFERROR(INDEX('PAR · Reg. Notas'!K:K,10+C$8),"")</f>
        <v>0</v>
      </c>
      <c r="E23" s="258" t="str">
        <f>IFERROR(INDEX('PAR · Reg. Notas'!T:T,10+C$8),"")</f>
        <v/>
      </c>
    </row>
    <row r="24" spans="2:12" ht="20" customHeight="1" x14ac:dyDescent="0.2">
      <c r="B24" s="348" t="s">
        <v>692</v>
      </c>
      <c r="C24" s="292"/>
      <c r="D24" s="292"/>
      <c r="E24" s="263" t="str">
        <f>IFERROR(INDEX('PAR · Evaluación 3'!G:G,10+C$8),"")</f>
        <v/>
      </c>
      <c r="F24" s="77" t="str">
        <f>IFERROR(INDEX('PAR · Evaluación 3'!H:H,10+C$8),"")</f>
        <v/>
      </c>
    </row>
    <row r="26" spans="2:12" ht="20" customHeight="1" x14ac:dyDescent="0.2">
      <c r="B26" s="342" t="s">
        <v>693</v>
      </c>
      <c r="C26" s="292"/>
      <c r="D26" s="292"/>
      <c r="E26" s="292"/>
      <c r="F26" s="292"/>
      <c r="G26" s="292"/>
      <c r="H26" s="292"/>
      <c r="I26" s="292"/>
      <c r="J26" s="292"/>
      <c r="K26" s="292"/>
      <c r="L26" s="292"/>
    </row>
    <row r="27" spans="2:12" ht="32" customHeight="1" x14ac:dyDescent="0.2">
      <c r="B27" s="264" t="s">
        <v>839</v>
      </c>
      <c r="C27" s="265" t="s">
        <v>840</v>
      </c>
      <c r="D27" s="266" t="s">
        <v>841</v>
      </c>
      <c r="E27" s="267" t="s">
        <v>842</v>
      </c>
      <c r="F27" s="268" t="s">
        <v>843</v>
      </c>
      <c r="G27" s="269" t="s">
        <v>911</v>
      </c>
      <c r="H27" s="12" t="s">
        <v>392</v>
      </c>
      <c r="I27" s="12" t="s">
        <v>694</v>
      </c>
    </row>
    <row r="28" spans="2:12" ht="26" customHeight="1" x14ac:dyDescent="0.2">
      <c r="B28" s="272" t="str">
        <f>IFERROR(INDEX('PAR · 1ªORD'!D:D,10+C$8),"")</f>
        <v/>
      </c>
      <c r="C28" s="273" t="str">
        <f>IFERROR(INDEX('PAR · 1ªORD'!E:E,10+C$8),"")</f>
        <v/>
      </c>
      <c r="D28" s="274" t="str">
        <f>IFERROR(INDEX('PAR · 1ªORD'!F:F,10+C$8),"")</f>
        <v/>
      </c>
      <c r="E28" s="275" t="str">
        <f>IFERROR(INDEX('PAR · 1ªORD'!G:G,10+C$8),"")</f>
        <v/>
      </c>
      <c r="F28" s="276" t="str">
        <f>IFERROR(INDEX('PAR · 1ªORD'!H:H,10+C$8),"")</f>
        <v/>
      </c>
      <c r="G28" s="277" t="str">
        <f>IFERROR(INDEX('PAR · 1ªORD'!I:I,10+C$8),"")</f>
        <v/>
      </c>
      <c r="H28" s="279" t="str">
        <f>IFERROR(INDEX('PAR · 1ªORD'!J:J,10+C$8),"")</f>
        <v/>
      </c>
      <c r="I28" s="280" t="str">
        <f>IFERROR(INDEX('PAR · 1ªORD'!K:K,10+C$8),"")</f>
        <v/>
      </c>
    </row>
  </sheetData>
  <mergeCells count="10">
    <mergeCell ref="B2:K2"/>
    <mergeCell ref="B24:D24"/>
    <mergeCell ref="B3:K3"/>
    <mergeCell ref="B26:L26"/>
    <mergeCell ref="D8:H8"/>
    <mergeCell ref="B21:L21"/>
    <mergeCell ref="B14:G14"/>
    <mergeCell ref="B16:L16"/>
    <mergeCell ref="B11:L11"/>
    <mergeCell ref="B19:I19"/>
  </mergeCells>
  <dataValidations count="1">
    <dataValidation type="whole" errorTitle="Número inválido" error="Introduce un número entre 1 y 30" sqref="C8" xr:uid="{00000000-0002-0000-2B00-000000000000}">
      <formula1>1</formula1>
      <formula2>30</formula2>
    </dataValidation>
  </dataValidations>
  <pageMargins left="0.75" right="0.75" top="1" bottom="1" header="0.5" footer="0.5"/>
  <pageSetup fitToHeight="0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C53"/>
  <sheetViews>
    <sheetView workbookViewId="0">
      <pane xSplit="3" ySplit="17" topLeftCell="D1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5" customWidth="1"/>
    <col min="3" max="3" width="32" customWidth="1"/>
    <col min="4" max="6" width="10" customWidth="1"/>
    <col min="7" max="7" width="12" customWidth="1"/>
    <col min="8" max="8" width="16" customWidth="1"/>
    <col min="9" max="9" width="12" customWidth="1"/>
  </cols>
  <sheetData>
    <row r="1" spans="1:29" ht="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6" customHeight="1" x14ac:dyDescent="0.2">
      <c r="A2" s="2"/>
      <c r="B2" s="293" t="s">
        <v>695</v>
      </c>
      <c r="C2" s="292"/>
      <c r="D2" s="292"/>
      <c r="E2" s="292"/>
      <c r="F2" s="292"/>
      <c r="G2" s="292"/>
      <c r="H2" s="292"/>
      <c r="I2" s="292"/>
      <c r="J2" s="292"/>
      <c r="K2" s="29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 customHeight="1" x14ac:dyDescent="0.2">
      <c r="A3" s="2"/>
      <c r="B3" s="291" t="s">
        <v>920</v>
      </c>
      <c r="C3" s="292"/>
      <c r="D3" s="292"/>
      <c r="E3" s="292"/>
      <c r="F3" s="292"/>
      <c r="G3" s="292"/>
      <c r="H3" s="292"/>
      <c r="I3" s="292"/>
      <c r="J3" s="292"/>
      <c r="K3" s="29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2" customHeight="1" x14ac:dyDescent="0.2">
      <c r="A5" s="2"/>
      <c r="B5" s="4" t="str">
        <f>HYPERLINK("#Mis Módulos!A1","← Módulos")</f>
        <v>← Módulos</v>
      </c>
      <c r="C5" s="4" t="str">
        <f>HYPERLINK("#PAR · Programación!A1","📋 Programa")</f>
        <v>📋 Programa</v>
      </c>
      <c r="D5" s="4" t="str">
        <f>HYPERLINK("#PAR · Alumnos!A1","👥 Alumnos")</f>
        <v>👥 Alumnos</v>
      </c>
      <c r="E5" s="4" t="str">
        <f>HYPERLINK("#PAR · Actividades!A1","📝 Actividades")</f>
        <v>📝 Actividades</v>
      </c>
      <c r="F5" s="4" t="str">
        <f>HYPERLINK("#PAR · Reg. Notas!A1","📊 Reg. Notas")</f>
        <v>📊 Reg. Notas</v>
      </c>
      <c r="G5" s="4" t="str">
        <f>HYPERLINK("#PAR · Resumen!A1","📈 Resumen")</f>
        <v>📈 Resumen</v>
      </c>
      <c r="H5" s="4" t="str">
        <f>HYPERLINK("#PAR · Evaluación 1!A1","Eval 1")</f>
        <v>Eval 1</v>
      </c>
      <c r="I5" s="4" t="str">
        <f>HYPERLINK("#PAR · Evaluación 2!A1","Eval 2")</f>
        <v>Eval 2</v>
      </c>
      <c r="J5" s="4" t="str">
        <f>HYPERLINK("#PAR · Evaluación 3!A1","Eval 3")</f>
        <v>Eval 3</v>
      </c>
      <c r="K5" s="4" t="str">
        <f>HYPERLINK("#PAR · 1ªORD!A1","1ª ORD")</f>
        <v>1ª ORD</v>
      </c>
      <c r="L5" s="4" t="str">
        <f>HYPERLINK("#PAR · 2ªORD!A1","2ª ORD")</f>
        <v>2ª ORD</v>
      </c>
      <c r="M5" s="4" t="str">
        <f>HYPERLINK("#PAR · Rúbricas!A1","🎯 Rúbricas")</f>
        <v>🎯 Rúbricas</v>
      </c>
      <c r="N5" s="4" t="str">
        <f>HYPERLINK("#PAR · Informe Grupo!A1","📊 Inf.Grupo")</f>
        <v>📊 Inf.Grupo</v>
      </c>
      <c r="O5" s="4" t="str">
        <f>HYPERLINK("#PAR · Boletín!A1","📄 Boletín")</f>
        <v>📄 Boletín</v>
      </c>
      <c r="P5" s="3" t="s">
        <v>697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8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8" spans="1:29" ht="14" customHeight="1" x14ac:dyDescent="0.2">
      <c r="B8" s="295" t="s">
        <v>698</v>
      </c>
      <c r="C8" s="292"/>
      <c r="D8" s="292"/>
      <c r="E8" s="292"/>
      <c r="F8" s="292"/>
      <c r="G8" s="292"/>
      <c r="H8" s="292"/>
      <c r="I8" s="292"/>
    </row>
    <row r="9" spans="1:29" ht="13" customHeight="1" x14ac:dyDescent="0.2">
      <c r="B9" s="358" t="s">
        <v>699</v>
      </c>
      <c r="C9" s="292"/>
      <c r="D9" s="359" t="s">
        <v>700</v>
      </c>
      <c r="E9" s="292"/>
      <c r="F9" s="353" t="s">
        <v>701</v>
      </c>
      <c r="G9" s="292"/>
    </row>
    <row r="10" spans="1:29" ht="30" customHeight="1" x14ac:dyDescent="0.2">
      <c r="B10" s="356">
        <f>COUNTA('PAR · Alumnos'!C10:C39)</f>
        <v>0</v>
      </c>
      <c r="C10" s="292"/>
      <c r="D10" s="352">
        <f>COUNTIF('PAR · 1ªORD'!K11:K40,"APTO")</f>
        <v>0</v>
      </c>
      <c r="E10" s="292"/>
      <c r="F10" s="354">
        <f>COUNTIF('PAR · 1ªORD'!K11:K40,"NO APTO")</f>
        <v>0</v>
      </c>
      <c r="G10" s="292"/>
    </row>
    <row r="11" spans="1:29" ht="5" customHeight="1" x14ac:dyDescent="0.2"/>
    <row r="12" spans="1:29" ht="13" customHeight="1" x14ac:dyDescent="0.2">
      <c r="B12" s="361" t="s">
        <v>702</v>
      </c>
      <c r="C12" s="292"/>
      <c r="D12" s="360" t="s">
        <v>703</v>
      </c>
      <c r="E12" s="292"/>
      <c r="F12" s="351" t="s">
        <v>704</v>
      </c>
      <c r="G12" s="292"/>
    </row>
    <row r="13" spans="1:29" ht="30" customHeight="1" x14ac:dyDescent="0.2">
      <c r="B13" s="350" t="str">
        <f>IFERROR(ROUND(AVERAGE('PAR · 1ªORD'!J11:J40),2),"–")</f>
        <v>–</v>
      </c>
      <c r="C13" s="292"/>
      <c r="D13" s="355">
        <f>IFERROR(MAX('PAR · 1ªORD'!J11:J40),"–")</f>
        <v>0</v>
      </c>
      <c r="E13" s="292"/>
      <c r="F13" s="357">
        <f>COUNTIFS('PAR · 1ªORD'!J11:J40,"&gt;0",'PAR · 1ªORD'!J11:J40,"&lt;4")</f>
        <v>0</v>
      </c>
      <c r="G13" s="292"/>
    </row>
    <row r="14" spans="1:29" ht="5" customHeight="1" x14ac:dyDescent="0.2"/>
    <row r="15" spans="1:29" ht="5" customHeight="1" x14ac:dyDescent="0.2">
      <c r="B15" s="1"/>
      <c r="C15" s="1"/>
      <c r="D15" s="1"/>
      <c r="E15" s="1"/>
      <c r="F15" s="1"/>
      <c r="G15" s="1"/>
      <c r="H15" s="1"/>
      <c r="I15" s="1"/>
    </row>
    <row r="16" spans="1:29" ht="14" customHeight="1" x14ac:dyDescent="0.2">
      <c r="B16" s="295" t="s">
        <v>705</v>
      </c>
      <c r="C16" s="292"/>
      <c r="D16" s="292"/>
      <c r="E16" s="292"/>
      <c r="F16" s="292"/>
      <c r="G16" s="292"/>
      <c r="H16" s="292"/>
      <c r="I16" s="292"/>
    </row>
    <row r="17" spans="2:9" ht="30" customHeight="1" x14ac:dyDescent="0.2">
      <c r="B17" s="33" t="s">
        <v>352</v>
      </c>
      <c r="C17" s="33" t="s">
        <v>391</v>
      </c>
      <c r="D17" s="182" t="s">
        <v>706</v>
      </c>
      <c r="E17" s="89" t="s">
        <v>707</v>
      </c>
      <c r="F17" s="87" t="s">
        <v>708</v>
      </c>
      <c r="G17" s="33" t="s">
        <v>452</v>
      </c>
      <c r="H17" s="33" t="s">
        <v>232</v>
      </c>
      <c r="I17" s="34" t="s">
        <v>709</v>
      </c>
    </row>
    <row r="18" spans="2:9" ht="18" customHeight="1" x14ac:dyDescent="0.2">
      <c r="B18" s="154">
        <v>1</v>
      </c>
      <c r="C18" s="174" t="str">
        <f>IFERROR('PAR · Alumnos'!C17&amp;IF('PAR · Alumnos'!D17&lt;&gt;"",", "&amp;'PAR · Alumnos'!D17,""),"")</f>
        <v/>
      </c>
      <c r="D18" s="184" t="str">
        <f>IFERROR(INDEX('PAR · Evaluación 1'!H:H,10+1),"")</f>
        <v/>
      </c>
      <c r="E18" s="185" t="str">
        <f>IFERROR(INDEX('PAR · Evaluación 2'!J:J,10+1),"")</f>
        <v/>
      </c>
      <c r="F18" s="194" t="str">
        <f>IFERROR(INDEX('PAR · Evaluación 3'!G:G,10+1),"")</f>
        <v/>
      </c>
      <c r="G18" s="251" t="str">
        <f>IFERROR(INDEX('PAR · 1ªORD'!J:J,10+1),"")</f>
        <v/>
      </c>
      <c r="H18" s="281" t="str">
        <f t="shared" ref="H18:H47" si="0">IF(G18="","–",IF(G18&gt;=7,"🟢 NOTABLE",IF(G18&gt;=5,"🟡 APTO","🔴 NO APTO")))</f>
        <v>–</v>
      </c>
      <c r="I18" s="51" t="str">
        <f t="shared" ref="I18:I47" si="1">IFERROR(TEXT(COUNTIF(D18:F18,"&gt;0")/3,"0%"),"–")</f>
        <v>0%</v>
      </c>
    </row>
    <row r="19" spans="2:9" ht="18" customHeight="1" x14ac:dyDescent="0.2">
      <c r="B19" s="154">
        <v>2</v>
      </c>
      <c r="C19" s="174" t="str">
        <f>IFERROR('PAR · Alumnos'!C18&amp;IF('PAR · Alumnos'!D18&lt;&gt;"",", "&amp;'PAR · Alumnos'!D18,""),"")</f>
        <v/>
      </c>
      <c r="D19" s="184" t="str">
        <f>IFERROR(INDEX('PAR · Evaluación 1'!H:H,10+2),"")</f>
        <v/>
      </c>
      <c r="E19" s="185" t="str">
        <f>IFERROR(INDEX('PAR · Evaluación 2'!J:J,10+2),"")</f>
        <v/>
      </c>
      <c r="F19" s="194" t="str">
        <f>IFERROR(INDEX('PAR · Evaluación 3'!G:G,10+2),"")</f>
        <v/>
      </c>
      <c r="G19" s="215" t="str">
        <f>IFERROR(INDEX('PAR · 1ªORD'!J:J,10+2),"")</f>
        <v/>
      </c>
      <c r="H19" s="282" t="str">
        <f t="shared" si="0"/>
        <v>–</v>
      </c>
      <c r="I19" s="57" t="str">
        <f t="shared" si="1"/>
        <v>0%</v>
      </c>
    </row>
    <row r="20" spans="2:9" ht="18" customHeight="1" x14ac:dyDescent="0.2">
      <c r="B20" s="154">
        <v>3</v>
      </c>
      <c r="C20" s="174" t="str">
        <f>IFERROR('PAR · Alumnos'!C19&amp;IF('PAR · Alumnos'!D19&lt;&gt;"",", "&amp;'PAR · Alumnos'!D19,""),"")</f>
        <v/>
      </c>
      <c r="D20" s="184" t="str">
        <f>IFERROR(INDEX('PAR · Evaluación 1'!H:H,10+3),"")</f>
        <v/>
      </c>
      <c r="E20" s="185" t="str">
        <f>IFERROR(INDEX('PAR · Evaluación 2'!J:J,10+3),"")</f>
        <v/>
      </c>
      <c r="F20" s="194" t="str">
        <f>IFERROR(INDEX('PAR · Evaluación 3'!G:G,10+3),"")</f>
        <v/>
      </c>
      <c r="G20" s="251" t="str">
        <f>IFERROR(INDEX('PAR · 1ªORD'!J:J,10+3),"")</f>
        <v/>
      </c>
      <c r="H20" s="281" t="str">
        <f t="shared" si="0"/>
        <v>–</v>
      </c>
      <c r="I20" s="51" t="str">
        <f t="shared" si="1"/>
        <v>0%</v>
      </c>
    </row>
    <row r="21" spans="2:9" ht="18" customHeight="1" x14ac:dyDescent="0.2">
      <c r="B21" s="154">
        <v>4</v>
      </c>
      <c r="C21" s="174" t="str">
        <f>IFERROR('PAR · Alumnos'!C20&amp;IF('PAR · Alumnos'!D20&lt;&gt;"",", "&amp;'PAR · Alumnos'!D20,""),"")</f>
        <v/>
      </c>
      <c r="D21" s="184" t="str">
        <f>IFERROR(INDEX('PAR · Evaluación 1'!H:H,10+4),"")</f>
        <v/>
      </c>
      <c r="E21" s="185" t="str">
        <f>IFERROR(INDEX('PAR · Evaluación 2'!J:J,10+4),"")</f>
        <v/>
      </c>
      <c r="F21" s="194" t="str">
        <f>IFERROR(INDEX('PAR · Evaluación 3'!G:G,10+4),"")</f>
        <v/>
      </c>
      <c r="G21" s="215" t="str">
        <f>IFERROR(INDEX('PAR · 1ªORD'!J:J,10+4),"")</f>
        <v/>
      </c>
      <c r="H21" s="282" t="str">
        <f t="shared" si="0"/>
        <v>–</v>
      </c>
      <c r="I21" s="57" t="str">
        <f t="shared" si="1"/>
        <v>0%</v>
      </c>
    </row>
    <row r="22" spans="2:9" ht="18" customHeight="1" x14ac:dyDescent="0.2">
      <c r="B22" s="154">
        <v>5</v>
      </c>
      <c r="C22" s="174" t="str">
        <f>IFERROR('PAR · Alumnos'!C21&amp;IF('PAR · Alumnos'!D21&lt;&gt;"",", "&amp;'PAR · Alumnos'!D21,""),"")</f>
        <v/>
      </c>
      <c r="D22" s="184" t="str">
        <f>IFERROR(INDEX('PAR · Evaluación 1'!H:H,10+5),"")</f>
        <v/>
      </c>
      <c r="E22" s="185" t="str">
        <f>IFERROR(INDEX('PAR · Evaluación 2'!J:J,10+5),"")</f>
        <v/>
      </c>
      <c r="F22" s="194" t="str">
        <f>IFERROR(INDEX('PAR · Evaluación 3'!G:G,10+5),"")</f>
        <v/>
      </c>
      <c r="G22" s="251" t="str">
        <f>IFERROR(INDEX('PAR · 1ªORD'!J:J,10+5),"")</f>
        <v/>
      </c>
      <c r="H22" s="281" t="str">
        <f t="shared" si="0"/>
        <v>–</v>
      </c>
      <c r="I22" s="51" t="str">
        <f t="shared" si="1"/>
        <v>0%</v>
      </c>
    </row>
    <row r="23" spans="2:9" ht="18" customHeight="1" x14ac:dyDescent="0.2">
      <c r="B23" s="154">
        <v>6</v>
      </c>
      <c r="C23" s="174" t="str">
        <f>IFERROR('PAR · Alumnos'!C22&amp;IF('PAR · Alumnos'!D22&lt;&gt;"",", "&amp;'PAR · Alumnos'!D22,""),"")</f>
        <v/>
      </c>
      <c r="D23" s="184" t="str">
        <f>IFERROR(INDEX('PAR · Evaluación 1'!H:H,10+6),"")</f>
        <v/>
      </c>
      <c r="E23" s="185" t="str">
        <f>IFERROR(INDEX('PAR · Evaluación 2'!J:J,10+6),"")</f>
        <v/>
      </c>
      <c r="F23" s="194" t="str">
        <f>IFERROR(INDEX('PAR · Evaluación 3'!G:G,10+6),"")</f>
        <v/>
      </c>
      <c r="G23" s="215" t="str">
        <f>IFERROR(INDEX('PAR · 1ªORD'!J:J,10+6),"")</f>
        <v/>
      </c>
      <c r="H23" s="282" t="str">
        <f t="shared" si="0"/>
        <v>–</v>
      </c>
      <c r="I23" s="57" t="str">
        <f t="shared" si="1"/>
        <v>0%</v>
      </c>
    </row>
    <row r="24" spans="2:9" ht="18" customHeight="1" x14ac:dyDescent="0.2">
      <c r="B24" s="154">
        <v>7</v>
      </c>
      <c r="C24" s="174" t="str">
        <f>IFERROR('PAR · Alumnos'!C23&amp;IF('PAR · Alumnos'!D23&lt;&gt;"",", "&amp;'PAR · Alumnos'!D23,""),"")</f>
        <v/>
      </c>
      <c r="D24" s="184" t="str">
        <f>IFERROR(INDEX('PAR · Evaluación 1'!H:H,10+7),"")</f>
        <v/>
      </c>
      <c r="E24" s="185" t="str">
        <f>IFERROR(INDEX('PAR · Evaluación 2'!J:J,10+7),"")</f>
        <v/>
      </c>
      <c r="F24" s="194" t="str">
        <f>IFERROR(INDEX('PAR · Evaluación 3'!G:G,10+7),"")</f>
        <v/>
      </c>
      <c r="G24" s="251" t="str">
        <f>IFERROR(INDEX('PAR · 1ªORD'!J:J,10+7),"")</f>
        <v/>
      </c>
      <c r="H24" s="281" t="str">
        <f t="shared" si="0"/>
        <v>–</v>
      </c>
      <c r="I24" s="51" t="str">
        <f t="shared" si="1"/>
        <v>0%</v>
      </c>
    </row>
    <row r="25" spans="2:9" ht="18" customHeight="1" x14ac:dyDescent="0.2">
      <c r="B25" s="154">
        <v>8</v>
      </c>
      <c r="C25" s="174" t="str">
        <f>IFERROR('PAR · Alumnos'!C24&amp;IF('PAR · Alumnos'!D24&lt;&gt;"",", "&amp;'PAR · Alumnos'!D24,""),"")</f>
        <v/>
      </c>
      <c r="D25" s="184" t="str">
        <f>IFERROR(INDEX('PAR · Evaluación 1'!H:H,10+8),"")</f>
        <v/>
      </c>
      <c r="E25" s="185" t="str">
        <f>IFERROR(INDEX('PAR · Evaluación 2'!J:J,10+8),"")</f>
        <v/>
      </c>
      <c r="F25" s="194" t="str">
        <f>IFERROR(INDEX('PAR · Evaluación 3'!G:G,10+8),"")</f>
        <v/>
      </c>
      <c r="G25" s="215" t="str">
        <f>IFERROR(INDEX('PAR · 1ªORD'!J:J,10+8),"")</f>
        <v/>
      </c>
      <c r="H25" s="282" t="str">
        <f t="shared" si="0"/>
        <v>–</v>
      </c>
      <c r="I25" s="57" t="str">
        <f t="shared" si="1"/>
        <v>0%</v>
      </c>
    </row>
    <row r="26" spans="2:9" ht="18" customHeight="1" x14ac:dyDescent="0.2">
      <c r="B26" s="154">
        <v>9</v>
      </c>
      <c r="C26" s="174" t="str">
        <f>IFERROR('PAR · Alumnos'!C25&amp;IF('PAR · Alumnos'!D25&lt;&gt;"",", "&amp;'PAR · Alumnos'!D25,""),"")</f>
        <v/>
      </c>
      <c r="D26" s="184" t="str">
        <f>IFERROR(INDEX('PAR · Evaluación 1'!H:H,10+9),"")</f>
        <v/>
      </c>
      <c r="E26" s="185" t="str">
        <f>IFERROR(INDEX('PAR · Evaluación 2'!J:J,10+9),"")</f>
        <v/>
      </c>
      <c r="F26" s="194" t="str">
        <f>IFERROR(INDEX('PAR · Evaluación 3'!G:G,10+9),"")</f>
        <v/>
      </c>
      <c r="G26" s="251" t="str">
        <f>IFERROR(INDEX('PAR · 1ªORD'!J:J,10+9),"")</f>
        <v/>
      </c>
      <c r="H26" s="281" t="str">
        <f t="shared" si="0"/>
        <v>–</v>
      </c>
      <c r="I26" s="51" t="str">
        <f t="shared" si="1"/>
        <v>0%</v>
      </c>
    </row>
    <row r="27" spans="2:9" ht="18" customHeight="1" x14ac:dyDescent="0.2">
      <c r="B27" s="154">
        <v>10</v>
      </c>
      <c r="C27" s="174" t="str">
        <f>IFERROR('PAR · Alumnos'!C26&amp;IF('PAR · Alumnos'!D26&lt;&gt;"",", "&amp;'PAR · Alumnos'!D26,""),"")</f>
        <v/>
      </c>
      <c r="D27" s="184" t="str">
        <f>IFERROR(INDEX('PAR · Evaluación 1'!H:H,10+10),"")</f>
        <v/>
      </c>
      <c r="E27" s="185" t="str">
        <f>IFERROR(INDEX('PAR · Evaluación 2'!J:J,10+10),"")</f>
        <v/>
      </c>
      <c r="F27" s="194" t="str">
        <f>IFERROR(INDEX('PAR · Evaluación 3'!G:G,10+10),"")</f>
        <v/>
      </c>
      <c r="G27" s="215" t="str">
        <f>IFERROR(INDEX('PAR · 1ªORD'!J:J,10+10),"")</f>
        <v/>
      </c>
      <c r="H27" s="282" t="str">
        <f t="shared" si="0"/>
        <v>–</v>
      </c>
      <c r="I27" s="57" t="str">
        <f t="shared" si="1"/>
        <v>0%</v>
      </c>
    </row>
    <row r="28" spans="2:9" ht="18" customHeight="1" x14ac:dyDescent="0.2">
      <c r="B28" s="154">
        <v>11</v>
      </c>
      <c r="C28" s="174" t="str">
        <f>IFERROR('PAR · Alumnos'!C27&amp;IF('PAR · Alumnos'!D27&lt;&gt;"",", "&amp;'PAR · Alumnos'!D27,""),"")</f>
        <v/>
      </c>
      <c r="D28" s="184" t="str">
        <f>IFERROR(INDEX('PAR · Evaluación 1'!H:H,10+11),"")</f>
        <v/>
      </c>
      <c r="E28" s="185" t="str">
        <f>IFERROR(INDEX('PAR · Evaluación 2'!J:J,10+11),"")</f>
        <v/>
      </c>
      <c r="F28" s="194" t="str">
        <f>IFERROR(INDEX('PAR · Evaluación 3'!G:G,10+11),"")</f>
        <v/>
      </c>
      <c r="G28" s="251" t="str">
        <f>IFERROR(INDEX('PAR · 1ªORD'!J:J,10+11),"")</f>
        <v/>
      </c>
      <c r="H28" s="281" t="str">
        <f t="shared" si="0"/>
        <v>–</v>
      </c>
      <c r="I28" s="51" t="str">
        <f t="shared" si="1"/>
        <v>0%</v>
      </c>
    </row>
    <row r="29" spans="2:9" ht="18" customHeight="1" x14ac:dyDescent="0.2">
      <c r="B29" s="154">
        <v>12</v>
      </c>
      <c r="C29" s="174" t="str">
        <f>IFERROR('PAR · Alumnos'!C28&amp;IF('PAR · Alumnos'!D28&lt;&gt;"",", "&amp;'PAR · Alumnos'!D28,""),"")</f>
        <v/>
      </c>
      <c r="D29" s="184" t="str">
        <f>IFERROR(INDEX('PAR · Evaluación 1'!H:H,10+12),"")</f>
        <v/>
      </c>
      <c r="E29" s="185" t="str">
        <f>IFERROR(INDEX('PAR · Evaluación 2'!J:J,10+12),"")</f>
        <v/>
      </c>
      <c r="F29" s="194" t="str">
        <f>IFERROR(INDEX('PAR · Evaluación 3'!G:G,10+12),"")</f>
        <v/>
      </c>
      <c r="G29" s="215" t="str">
        <f>IFERROR(INDEX('PAR · 1ªORD'!J:J,10+12),"")</f>
        <v/>
      </c>
      <c r="H29" s="282" t="str">
        <f t="shared" si="0"/>
        <v>–</v>
      </c>
      <c r="I29" s="57" t="str">
        <f t="shared" si="1"/>
        <v>0%</v>
      </c>
    </row>
    <row r="30" spans="2:9" ht="18" customHeight="1" x14ac:dyDescent="0.2">
      <c r="B30" s="154">
        <v>13</v>
      </c>
      <c r="C30" s="174" t="str">
        <f>IFERROR('PAR · Alumnos'!C29&amp;IF('PAR · Alumnos'!D29&lt;&gt;"",", "&amp;'PAR · Alumnos'!D29,""),"")</f>
        <v/>
      </c>
      <c r="D30" s="184" t="str">
        <f>IFERROR(INDEX('PAR · Evaluación 1'!H:H,10+13),"")</f>
        <v/>
      </c>
      <c r="E30" s="185" t="str">
        <f>IFERROR(INDEX('PAR · Evaluación 2'!J:J,10+13),"")</f>
        <v/>
      </c>
      <c r="F30" s="194" t="str">
        <f>IFERROR(INDEX('PAR · Evaluación 3'!G:G,10+13),"")</f>
        <v/>
      </c>
      <c r="G30" s="251" t="str">
        <f>IFERROR(INDEX('PAR · 1ªORD'!J:J,10+13),"")</f>
        <v/>
      </c>
      <c r="H30" s="281" t="str">
        <f t="shared" si="0"/>
        <v>–</v>
      </c>
      <c r="I30" s="51" t="str">
        <f t="shared" si="1"/>
        <v>0%</v>
      </c>
    </row>
    <row r="31" spans="2:9" ht="18" customHeight="1" x14ac:dyDescent="0.2">
      <c r="B31" s="154">
        <v>14</v>
      </c>
      <c r="C31" s="174" t="str">
        <f>IFERROR('PAR · Alumnos'!C30&amp;IF('PAR · Alumnos'!D30&lt;&gt;"",", "&amp;'PAR · Alumnos'!D30,""),"")</f>
        <v/>
      </c>
      <c r="D31" s="184" t="str">
        <f>IFERROR(INDEX('PAR · Evaluación 1'!H:H,10+14),"")</f>
        <v/>
      </c>
      <c r="E31" s="185" t="str">
        <f>IFERROR(INDEX('PAR · Evaluación 2'!J:J,10+14),"")</f>
        <v/>
      </c>
      <c r="F31" s="194" t="str">
        <f>IFERROR(INDEX('PAR · Evaluación 3'!G:G,10+14),"")</f>
        <v/>
      </c>
      <c r="G31" s="215" t="str">
        <f>IFERROR(INDEX('PAR · 1ªORD'!J:J,10+14),"")</f>
        <v/>
      </c>
      <c r="H31" s="282" t="str">
        <f t="shared" si="0"/>
        <v>–</v>
      </c>
      <c r="I31" s="57" t="str">
        <f t="shared" si="1"/>
        <v>0%</v>
      </c>
    </row>
    <row r="32" spans="2:9" ht="18" customHeight="1" x14ac:dyDescent="0.2">
      <c r="B32" s="154">
        <v>15</v>
      </c>
      <c r="C32" s="174" t="str">
        <f>IFERROR('PAR · Alumnos'!C31&amp;IF('PAR · Alumnos'!D31&lt;&gt;"",", "&amp;'PAR · Alumnos'!D31,""),"")</f>
        <v/>
      </c>
      <c r="D32" s="184" t="str">
        <f>IFERROR(INDEX('PAR · Evaluación 1'!H:H,10+15),"")</f>
        <v/>
      </c>
      <c r="E32" s="185" t="str">
        <f>IFERROR(INDEX('PAR · Evaluación 2'!J:J,10+15),"")</f>
        <v/>
      </c>
      <c r="F32" s="194" t="str">
        <f>IFERROR(INDEX('PAR · Evaluación 3'!G:G,10+15),"")</f>
        <v/>
      </c>
      <c r="G32" s="251" t="str">
        <f>IFERROR(INDEX('PAR · 1ªORD'!J:J,10+15),"")</f>
        <v/>
      </c>
      <c r="H32" s="281" t="str">
        <f t="shared" si="0"/>
        <v>–</v>
      </c>
      <c r="I32" s="51" t="str">
        <f t="shared" si="1"/>
        <v>0%</v>
      </c>
    </row>
    <row r="33" spans="2:9" ht="18" customHeight="1" x14ac:dyDescent="0.2">
      <c r="B33" s="154">
        <v>16</v>
      </c>
      <c r="C33" s="174" t="str">
        <f>IFERROR('PAR · Alumnos'!C32&amp;IF('PAR · Alumnos'!D32&lt;&gt;"",", "&amp;'PAR · Alumnos'!D32,""),"")</f>
        <v/>
      </c>
      <c r="D33" s="184" t="str">
        <f>IFERROR(INDEX('PAR · Evaluación 1'!H:H,10+16),"")</f>
        <v/>
      </c>
      <c r="E33" s="185" t="str">
        <f>IFERROR(INDEX('PAR · Evaluación 2'!J:J,10+16),"")</f>
        <v/>
      </c>
      <c r="F33" s="194" t="str">
        <f>IFERROR(INDEX('PAR · Evaluación 3'!G:G,10+16),"")</f>
        <v/>
      </c>
      <c r="G33" s="215" t="str">
        <f>IFERROR(INDEX('PAR · 1ªORD'!J:J,10+16),"")</f>
        <v/>
      </c>
      <c r="H33" s="282" t="str">
        <f t="shared" si="0"/>
        <v>–</v>
      </c>
      <c r="I33" s="57" t="str">
        <f t="shared" si="1"/>
        <v>0%</v>
      </c>
    </row>
    <row r="34" spans="2:9" ht="18" customHeight="1" x14ac:dyDescent="0.2">
      <c r="B34" s="154">
        <v>17</v>
      </c>
      <c r="C34" s="174" t="str">
        <f>IFERROR('PAR · Alumnos'!C33&amp;IF('PAR · Alumnos'!D33&lt;&gt;"",", "&amp;'PAR · Alumnos'!D33,""),"")</f>
        <v/>
      </c>
      <c r="D34" s="184" t="str">
        <f>IFERROR(INDEX('PAR · Evaluación 1'!H:H,10+17),"")</f>
        <v/>
      </c>
      <c r="E34" s="185" t="str">
        <f>IFERROR(INDEX('PAR · Evaluación 2'!J:J,10+17),"")</f>
        <v/>
      </c>
      <c r="F34" s="194" t="str">
        <f>IFERROR(INDEX('PAR · Evaluación 3'!G:G,10+17),"")</f>
        <v/>
      </c>
      <c r="G34" s="251" t="str">
        <f>IFERROR(INDEX('PAR · 1ªORD'!J:J,10+17),"")</f>
        <v/>
      </c>
      <c r="H34" s="281" t="str">
        <f t="shared" si="0"/>
        <v>–</v>
      </c>
      <c r="I34" s="51" t="str">
        <f t="shared" si="1"/>
        <v>0%</v>
      </c>
    </row>
    <row r="35" spans="2:9" ht="18" customHeight="1" x14ac:dyDescent="0.2">
      <c r="B35" s="154">
        <v>18</v>
      </c>
      <c r="C35" s="174" t="str">
        <f>IFERROR('PAR · Alumnos'!C34&amp;IF('PAR · Alumnos'!D34&lt;&gt;"",", "&amp;'PAR · Alumnos'!D34,""),"")</f>
        <v/>
      </c>
      <c r="D35" s="184" t="str">
        <f>IFERROR(INDEX('PAR · Evaluación 1'!H:H,10+18),"")</f>
        <v/>
      </c>
      <c r="E35" s="185" t="str">
        <f>IFERROR(INDEX('PAR · Evaluación 2'!J:J,10+18),"")</f>
        <v/>
      </c>
      <c r="F35" s="194" t="str">
        <f>IFERROR(INDEX('PAR · Evaluación 3'!G:G,10+18),"")</f>
        <v/>
      </c>
      <c r="G35" s="215" t="str">
        <f>IFERROR(INDEX('PAR · 1ªORD'!J:J,10+18),"")</f>
        <v/>
      </c>
      <c r="H35" s="282" t="str">
        <f t="shared" si="0"/>
        <v>–</v>
      </c>
      <c r="I35" s="57" t="str">
        <f t="shared" si="1"/>
        <v>0%</v>
      </c>
    </row>
    <row r="36" spans="2:9" ht="18" customHeight="1" x14ac:dyDescent="0.2">
      <c r="B36" s="154">
        <v>19</v>
      </c>
      <c r="C36" s="174" t="str">
        <f>IFERROR('PAR · Alumnos'!C35&amp;IF('PAR · Alumnos'!D35&lt;&gt;"",", "&amp;'PAR · Alumnos'!D35,""),"")</f>
        <v/>
      </c>
      <c r="D36" s="184" t="str">
        <f>IFERROR(INDEX('PAR · Evaluación 1'!H:H,10+19),"")</f>
        <v/>
      </c>
      <c r="E36" s="185" t="str">
        <f>IFERROR(INDEX('PAR · Evaluación 2'!J:J,10+19),"")</f>
        <v/>
      </c>
      <c r="F36" s="194" t="str">
        <f>IFERROR(INDEX('PAR · Evaluación 3'!G:G,10+19),"")</f>
        <v/>
      </c>
      <c r="G36" s="251" t="str">
        <f>IFERROR(INDEX('PAR · 1ªORD'!J:J,10+19),"")</f>
        <v/>
      </c>
      <c r="H36" s="281" t="str">
        <f t="shared" si="0"/>
        <v>–</v>
      </c>
      <c r="I36" s="51" t="str">
        <f t="shared" si="1"/>
        <v>0%</v>
      </c>
    </row>
    <row r="37" spans="2:9" ht="18" customHeight="1" x14ac:dyDescent="0.2">
      <c r="B37" s="154">
        <v>20</v>
      </c>
      <c r="C37" s="174" t="str">
        <f>IFERROR('PAR · Alumnos'!C36&amp;IF('PAR · Alumnos'!D36&lt;&gt;"",", "&amp;'PAR · Alumnos'!D36,""),"")</f>
        <v/>
      </c>
      <c r="D37" s="184" t="str">
        <f>IFERROR(INDEX('PAR · Evaluación 1'!H:H,10+20),"")</f>
        <v/>
      </c>
      <c r="E37" s="185" t="str">
        <f>IFERROR(INDEX('PAR · Evaluación 2'!J:J,10+20),"")</f>
        <v/>
      </c>
      <c r="F37" s="194" t="str">
        <f>IFERROR(INDEX('PAR · Evaluación 3'!G:G,10+20),"")</f>
        <v/>
      </c>
      <c r="G37" s="215" t="str">
        <f>IFERROR(INDEX('PAR · 1ªORD'!J:J,10+20),"")</f>
        <v/>
      </c>
      <c r="H37" s="282" t="str">
        <f t="shared" si="0"/>
        <v>–</v>
      </c>
      <c r="I37" s="57" t="str">
        <f t="shared" si="1"/>
        <v>0%</v>
      </c>
    </row>
    <row r="38" spans="2:9" ht="18" customHeight="1" x14ac:dyDescent="0.2">
      <c r="B38" s="154">
        <v>21</v>
      </c>
      <c r="C38" s="174" t="str">
        <f>IFERROR('PAR · Alumnos'!C37&amp;IF('PAR · Alumnos'!D37&lt;&gt;"",", "&amp;'PAR · Alumnos'!D37,""),"")</f>
        <v/>
      </c>
      <c r="D38" s="184" t="str">
        <f>IFERROR(INDEX('PAR · Evaluación 1'!H:H,10+21),"")</f>
        <v/>
      </c>
      <c r="E38" s="185" t="str">
        <f>IFERROR(INDEX('PAR · Evaluación 2'!J:J,10+21),"")</f>
        <v/>
      </c>
      <c r="F38" s="194" t="str">
        <f>IFERROR(INDEX('PAR · Evaluación 3'!G:G,10+21),"")</f>
        <v/>
      </c>
      <c r="G38" s="251" t="str">
        <f>IFERROR(INDEX('PAR · 1ªORD'!J:J,10+21),"")</f>
        <v/>
      </c>
      <c r="H38" s="281" t="str">
        <f t="shared" si="0"/>
        <v>–</v>
      </c>
      <c r="I38" s="51" t="str">
        <f t="shared" si="1"/>
        <v>0%</v>
      </c>
    </row>
    <row r="39" spans="2:9" ht="18" customHeight="1" x14ac:dyDescent="0.2">
      <c r="B39" s="154">
        <v>22</v>
      </c>
      <c r="C39" s="174" t="str">
        <f>IFERROR('PAR · Alumnos'!C38&amp;IF('PAR · Alumnos'!D38&lt;&gt;"",", "&amp;'PAR · Alumnos'!D38,""),"")</f>
        <v/>
      </c>
      <c r="D39" s="184" t="str">
        <f>IFERROR(INDEX('PAR · Evaluación 1'!H:H,10+22),"")</f>
        <v/>
      </c>
      <c r="E39" s="185" t="str">
        <f>IFERROR(INDEX('PAR · Evaluación 2'!J:J,10+22),"")</f>
        <v/>
      </c>
      <c r="F39" s="194" t="str">
        <f>IFERROR(INDEX('PAR · Evaluación 3'!G:G,10+22),"")</f>
        <v/>
      </c>
      <c r="G39" s="215" t="str">
        <f>IFERROR(INDEX('PAR · 1ªORD'!J:J,10+22),"")</f>
        <v/>
      </c>
      <c r="H39" s="282" t="str">
        <f t="shared" si="0"/>
        <v>–</v>
      </c>
      <c r="I39" s="57" t="str">
        <f t="shared" si="1"/>
        <v>0%</v>
      </c>
    </row>
    <row r="40" spans="2:9" ht="18" customHeight="1" x14ac:dyDescent="0.2">
      <c r="B40" s="154">
        <v>23</v>
      </c>
      <c r="C40" s="174" t="str">
        <f>IFERROR('PAR · Alumnos'!C39&amp;IF('PAR · Alumnos'!D39&lt;&gt;"",", "&amp;'PAR · Alumnos'!D39,""),"")</f>
        <v/>
      </c>
      <c r="D40" s="184" t="str">
        <f>IFERROR(INDEX('PAR · Evaluación 1'!H:H,10+23),"")</f>
        <v/>
      </c>
      <c r="E40" s="185" t="str">
        <f>IFERROR(INDEX('PAR · Evaluación 2'!J:J,10+23),"")</f>
        <v/>
      </c>
      <c r="F40" s="194" t="str">
        <f>IFERROR(INDEX('PAR · Evaluación 3'!G:G,10+23),"")</f>
        <v/>
      </c>
      <c r="G40" s="251" t="str">
        <f>IFERROR(INDEX('PAR · 1ªORD'!J:J,10+23),"")</f>
        <v/>
      </c>
      <c r="H40" s="281" t="str">
        <f t="shared" si="0"/>
        <v>–</v>
      </c>
      <c r="I40" s="51" t="str">
        <f t="shared" si="1"/>
        <v>0%</v>
      </c>
    </row>
    <row r="41" spans="2:9" ht="18" customHeight="1" x14ac:dyDescent="0.2">
      <c r="B41" s="154">
        <v>24</v>
      </c>
      <c r="C41" s="174" t="str">
        <f>IFERROR('PAR · Alumnos'!C40&amp;IF('PAR · Alumnos'!D40&lt;&gt;"",", "&amp;'PAR · Alumnos'!D40,""),"")</f>
        <v/>
      </c>
      <c r="D41" s="184" t="str">
        <f>IFERROR(INDEX('PAR · Evaluación 1'!H:H,10+24),"")</f>
        <v/>
      </c>
      <c r="E41" s="185" t="str">
        <f>IFERROR(INDEX('PAR · Evaluación 2'!J:J,10+24),"")</f>
        <v/>
      </c>
      <c r="F41" s="194" t="str">
        <f>IFERROR(INDEX('PAR · Evaluación 3'!G:G,10+24),"")</f>
        <v/>
      </c>
      <c r="G41" s="215" t="str">
        <f>IFERROR(INDEX('PAR · 1ªORD'!J:J,10+24),"")</f>
        <v/>
      </c>
      <c r="H41" s="282" t="str">
        <f t="shared" si="0"/>
        <v>–</v>
      </c>
      <c r="I41" s="57" t="str">
        <f t="shared" si="1"/>
        <v>0%</v>
      </c>
    </row>
    <row r="42" spans="2:9" ht="18" customHeight="1" x14ac:dyDescent="0.2">
      <c r="B42" s="154">
        <v>25</v>
      </c>
      <c r="C42" s="174" t="str">
        <f>IFERROR('PAR · Alumnos'!C41&amp;IF('PAR · Alumnos'!D41&lt;&gt;"",", "&amp;'PAR · Alumnos'!D41,""),"")</f>
        <v/>
      </c>
      <c r="D42" s="184" t="str">
        <f>IFERROR(INDEX('PAR · Evaluación 1'!H:H,10+25),"")</f>
        <v/>
      </c>
      <c r="E42" s="185" t="str">
        <f>IFERROR(INDEX('PAR · Evaluación 2'!J:J,10+25),"")</f>
        <v/>
      </c>
      <c r="F42" s="194" t="str">
        <f>IFERROR(INDEX('PAR · Evaluación 3'!G:G,10+25),"")</f>
        <v/>
      </c>
      <c r="G42" s="251" t="str">
        <f>IFERROR(INDEX('PAR · 1ªORD'!J:J,10+25),"")</f>
        <v/>
      </c>
      <c r="H42" s="281" t="str">
        <f t="shared" si="0"/>
        <v>–</v>
      </c>
      <c r="I42" s="51" t="str">
        <f t="shared" si="1"/>
        <v>0%</v>
      </c>
    </row>
    <row r="43" spans="2:9" ht="18" customHeight="1" x14ac:dyDescent="0.2">
      <c r="B43" s="154">
        <v>26</v>
      </c>
      <c r="C43" s="174" t="str">
        <f>IFERROR('PAR · Alumnos'!C42&amp;IF('PAR · Alumnos'!D42&lt;&gt;"",", "&amp;'PAR · Alumnos'!D42,""),"")</f>
        <v/>
      </c>
      <c r="D43" s="184" t="str">
        <f>IFERROR(INDEX('PAR · Evaluación 1'!H:H,10+26),"")</f>
        <v/>
      </c>
      <c r="E43" s="185" t="str">
        <f>IFERROR(INDEX('PAR · Evaluación 2'!J:J,10+26),"")</f>
        <v/>
      </c>
      <c r="F43" s="194" t="str">
        <f>IFERROR(INDEX('PAR · Evaluación 3'!G:G,10+26),"")</f>
        <v/>
      </c>
      <c r="G43" s="215" t="str">
        <f>IFERROR(INDEX('PAR · 1ªORD'!J:J,10+26),"")</f>
        <v/>
      </c>
      <c r="H43" s="282" t="str">
        <f t="shared" si="0"/>
        <v>–</v>
      </c>
      <c r="I43" s="57" t="str">
        <f t="shared" si="1"/>
        <v>0%</v>
      </c>
    </row>
    <row r="44" spans="2:9" ht="18" customHeight="1" x14ac:dyDescent="0.2">
      <c r="B44" s="154">
        <v>27</v>
      </c>
      <c r="C44" s="174" t="str">
        <f>IFERROR('PAR · Alumnos'!C43&amp;IF('PAR · Alumnos'!D43&lt;&gt;"",", "&amp;'PAR · Alumnos'!D43,""),"")</f>
        <v/>
      </c>
      <c r="D44" s="184" t="str">
        <f>IFERROR(INDEX('PAR · Evaluación 1'!H:H,10+27),"")</f>
        <v/>
      </c>
      <c r="E44" s="185" t="str">
        <f>IFERROR(INDEX('PAR · Evaluación 2'!J:J,10+27),"")</f>
        <v/>
      </c>
      <c r="F44" s="194" t="str">
        <f>IFERROR(INDEX('PAR · Evaluación 3'!G:G,10+27),"")</f>
        <v/>
      </c>
      <c r="G44" s="251" t="str">
        <f>IFERROR(INDEX('PAR · 1ªORD'!J:J,10+27),"")</f>
        <v/>
      </c>
      <c r="H44" s="281" t="str">
        <f t="shared" si="0"/>
        <v>–</v>
      </c>
      <c r="I44" s="51" t="str">
        <f t="shared" si="1"/>
        <v>0%</v>
      </c>
    </row>
    <row r="45" spans="2:9" ht="18" customHeight="1" x14ac:dyDescent="0.2">
      <c r="B45" s="154">
        <v>28</v>
      </c>
      <c r="C45" s="174" t="str">
        <f>IFERROR('PAR · Alumnos'!C44&amp;IF('PAR · Alumnos'!D44&lt;&gt;"",", "&amp;'PAR · Alumnos'!D44,""),"")</f>
        <v/>
      </c>
      <c r="D45" s="184" t="str">
        <f>IFERROR(INDEX('PAR · Evaluación 1'!H:H,10+28),"")</f>
        <v/>
      </c>
      <c r="E45" s="185" t="str">
        <f>IFERROR(INDEX('PAR · Evaluación 2'!J:J,10+28),"")</f>
        <v/>
      </c>
      <c r="F45" s="194" t="str">
        <f>IFERROR(INDEX('PAR · Evaluación 3'!G:G,10+28),"")</f>
        <v/>
      </c>
      <c r="G45" s="215" t="str">
        <f>IFERROR(INDEX('PAR · 1ªORD'!J:J,10+28),"")</f>
        <v/>
      </c>
      <c r="H45" s="282" t="str">
        <f t="shared" si="0"/>
        <v>–</v>
      </c>
      <c r="I45" s="57" t="str">
        <f t="shared" si="1"/>
        <v>0%</v>
      </c>
    </row>
    <row r="46" spans="2:9" ht="18" customHeight="1" x14ac:dyDescent="0.2">
      <c r="B46" s="154">
        <v>29</v>
      </c>
      <c r="C46" s="174" t="str">
        <f>IFERROR('PAR · Alumnos'!C45&amp;IF('PAR · Alumnos'!D45&lt;&gt;"",", "&amp;'PAR · Alumnos'!D45,""),"")</f>
        <v/>
      </c>
      <c r="D46" s="184" t="str">
        <f>IFERROR(INDEX('PAR · Evaluación 1'!H:H,10+29),"")</f>
        <v/>
      </c>
      <c r="E46" s="185" t="str">
        <f>IFERROR(INDEX('PAR · Evaluación 2'!J:J,10+29),"")</f>
        <v/>
      </c>
      <c r="F46" s="194" t="str">
        <f>IFERROR(INDEX('PAR · Evaluación 3'!G:G,10+29),"")</f>
        <v/>
      </c>
      <c r="G46" s="251" t="str">
        <f>IFERROR(INDEX('PAR · 1ªORD'!J:J,10+29),"")</f>
        <v/>
      </c>
      <c r="H46" s="281" t="str">
        <f t="shared" si="0"/>
        <v>–</v>
      </c>
      <c r="I46" s="51" t="str">
        <f t="shared" si="1"/>
        <v>0%</v>
      </c>
    </row>
    <row r="47" spans="2:9" ht="18" customHeight="1" x14ac:dyDescent="0.2">
      <c r="B47" s="154">
        <v>30</v>
      </c>
      <c r="C47" s="174" t="str">
        <f>IFERROR('PAR · Alumnos'!C46&amp;IF('PAR · Alumnos'!D46&lt;&gt;"",", "&amp;'PAR · Alumnos'!D46,""),"")</f>
        <v/>
      </c>
      <c r="D47" s="184" t="str">
        <f>IFERROR(INDEX('PAR · Evaluación 1'!H:H,10+30),"")</f>
        <v/>
      </c>
      <c r="E47" s="185" t="str">
        <f>IFERROR(INDEX('PAR · Evaluación 2'!J:J,10+30),"")</f>
        <v/>
      </c>
      <c r="F47" s="194" t="str">
        <f>IFERROR(INDEX('PAR · Evaluación 3'!G:G,10+30),"")</f>
        <v/>
      </c>
      <c r="G47" s="215" t="str">
        <f>IFERROR(INDEX('PAR · 1ªORD'!J:J,10+30),"")</f>
        <v/>
      </c>
      <c r="H47" s="282" t="str">
        <f t="shared" si="0"/>
        <v>–</v>
      </c>
      <c r="I47" s="57" t="str">
        <f t="shared" si="1"/>
        <v>0%</v>
      </c>
    </row>
    <row r="48" spans="2:9" ht="5" customHeight="1" x14ac:dyDescent="0.2">
      <c r="B48" s="1"/>
      <c r="C48" s="1"/>
      <c r="D48" s="1"/>
      <c r="E48" s="1"/>
      <c r="F48" s="1"/>
      <c r="G48" s="1"/>
      <c r="H48" s="1"/>
      <c r="I48" s="1"/>
    </row>
    <row r="49" spans="2:9" ht="14" customHeight="1" x14ac:dyDescent="0.2">
      <c r="B49" s="295" t="s">
        <v>710</v>
      </c>
      <c r="C49" s="292"/>
      <c r="D49" s="292"/>
      <c r="E49" s="292"/>
      <c r="F49" s="292"/>
      <c r="G49" s="292"/>
      <c r="H49" s="292"/>
      <c r="I49" s="292"/>
    </row>
    <row r="50" spans="2:9" ht="26" customHeight="1" x14ac:dyDescent="0.2">
      <c r="B50" s="264" t="s">
        <v>921</v>
      </c>
      <c r="C50" s="265" t="s">
        <v>922</v>
      </c>
      <c r="D50" s="266" t="s">
        <v>923</v>
      </c>
      <c r="E50" s="267" t="s">
        <v>924</v>
      </c>
      <c r="F50" s="268" t="s">
        <v>925</v>
      </c>
      <c r="G50" s="269" t="s">
        <v>926</v>
      </c>
    </row>
    <row r="51" spans="2:9" ht="24" customHeight="1" x14ac:dyDescent="0.2">
      <c r="B51" s="283" t="str">
        <f>IFERROR(ROUND(AVERAGE('PAR · Reg. Notas'!O11:O40),2),"–")</f>
        <v>–</v>
      </c>
      <c r="C51" s="284" t="str">
        <f>IFERROR(ROUND(AVERAGE('PAR · Reg. Notas'!P11:P40),2),"–")</f>
        <v>–</v>
      </c>
      <c r="D51" s="285" t="str">
        <f>IFERROR(ROUND(AVERAGE('PAR · Reg. Notas'!Q11:Q40),2),"–")</f>
        <v>–</v>
      </c>
      <c r="E51" s="286" t="str">
        <f>IFERROR(ROUND(AVERAGE('PAR · Reg. Notas'!R11:R40),2),"–")</f>
        <v>–</v>
      </c>
      <c r="F51" s="287" t="str">
        <f>IFERROR(ROUND(AVERAGE('PAR · Reg. Notas'!S11:S40),2),"–")</f>
        <v>–</v>
      </c>
      <c r="G51" s="288" t="str">
        <f>IFERROR(ROUND(AVERAGE('PAR · Reg. Notas'!T11:T40),2),"–")</f>
        <v>–</v>
      </c>
    </row>
    <row r="53" spans="2:9" ht="14" customHeight="1" x14ac:dyDescent="0.2">
      <c r="B53" s="294" t="s">
        <v>719</v>
      </c>
      <c r="C53" s="292"/>
      <c r="D53" s="292"/>
      <c r="E53" s="292"/>
      <c r="F53" s="292"/>
      <c r="G53" s="292"/>
      <c r="H53" s="292"/>
      <c r="I53" s="292"/>
    </row>
  </sheetData>
  <mergeCells count="18">
    <mergeCell ref="B2:K2"/>
    <mergeCell ref="B9:C9"/>
    <mergeCell ref="D9:E9"/>
    <mergeCell ref="B8:I8"/>
    <mergeCell ref="B49:I49"/>
    <mergeCell ref="B3:K3"/>
    <mergeCell ref="D12:E12"/>
    <mergeCell ref="B12:C12"/>
    <mergeCell ref="B13:C13"/>
    <mergeCell ref="F12:G12"/>
    <mergeCell ref="B53:I53"/>
    <mergeCell ref="D10:E10"/>
    <mergeCell ref="F9:G9"/>
    <mergeCell ref="F10:G10"/>
    <mergeCell ref="D13:E13"/>
    <mergeCell ref="B16:I16"/>
    <mergeCell ref="B10:C10"/>
    <mergeCell ref="F13:G1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720</v>
      </c>
      <c r="B1" s="290" t="s">
        <v>721</v>
      </c>
      <c r="C1" s="290" t="s">
        <v>722</v>
      </c>
      <c r="D1" s="290" t="s">
        <v>723</v>
      </c>
      <c r="E1" s="290" t="s">
        <v>724</v>
      </c>
      <c r="F1" s="290" t="s">
        <v>725</v>
      </c>
    </row>
    <row r="2" spans="1:6" x14ac:dyDescent="0.2">
      <c r="A2" t="s">
        <v>66</v>
      </c>
      <c r="B2" t="s">
        <v>777</v>
      </c>
      <c r="C2">
        <v>20</v>
      </c>
      <c r="D2">
        <v>1</v>
      </c>
      <c r="E2">
        <v>12.9</v>
      </c>
      <c r="F2" t="s">
        <v>205</v>
      </c>
    </row>
    <row r="3" spans="1:6" x14ac:dyDescent="0.2">
      <c r="A3" t="s">
        <v>71</v>
      </c>
      <c r="B3" t="s">
        <v>781</v>
      </c>
      <c r="C3">
        <v>22</v>
      </c>
      <c r="D3">
        <v>1</v>
      </c>
      <c r="E3">
        <v>14.19</v>
      </c>
      <c r="F3" t="s">
        <v>207</v>
      </c>
    </row>
    <row r="4" spans="1:6" x14ac:dyDescent="0.2">
      <c r="A4" t="s">
        <v>75</v>
      </c>
      <c r="B4" t="s">
        <v>786</v>
      </c>
      <c r="C4">
        <v>22</v>
      </c>
      <c r="D4">
        <v>2</v>
      </c>
      <c r="E4">
        <v>14.19</v>
      </c>
      <c r="F4" t="s">
        <v>210</v>
      </c>
    </row>
    <row r="5" spans="1:6" x14ac:dyDescent="0.2">
      <c r="A5" t="s">
        <v>80</v>
      </c>
      <c r="B5" t="s">
        <v>787</v>
      </c>
      <c r="C5">
        <v>28</v>
      </c>
      <c r="D5">
        <v>2</v>
      </c>
      <c r="E5">
        <v>18.059999999999999</v>
      </c>
      <c r="F5" t="s">
        <v>212</v>
      </c>
    </row>
    <row r="6" spans="1:6" x14ac:dyDescent="0.2">
      <c r="A6" t="s">
        <v>82</v>
      </c>
      <c r="B6" t="s">
        <v>790</v>
      </c>
      <c r="C6">
        <v>20</v>
      </c>
      <c r="D6">
        <v>2</v>
      </c>
      <c r="E6">
        <v>12.9</v>
      </c>
      <c r="F6" t="s">
        <v>214</v>
      </c>
    </row>
    <row r="7" spans="1:6" x14ac:dyDescent="0.2">
      <c r="A7" t="s">
        <v>84</v>
      </c>
      <c r="B7" t="s">
        <v>794</v>
      </c>
      <c r="C7">
        <v>22</v>
      </c>
      <c r="D7">
        <v>3</v>
      </c>
      <c r="E7">
        <v>14.19</v>
      </c>
      <c r="F7" t="s">
        <v>927</v>
      </c>
    </row>
    <row r="8" spans="1:6" x14ac:dyDescent="0.2">
      <c r="A8" t="s">
        <v>87</v>
      </c>
      <c r="B8" t="s">
        <v>796</v>
      </c>
      <c r="C8">
        <v>21</v>
      </c>
      <c r="D8">
        <v>3</v>
      </c>
      <c r="E8">
        <v>13.55</v>
      </c>
      <c r="F8" t="s">
        <v>217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290" t="s">
        <v>720</v>
      </c>
      <c r="B1" s="290" t="s">
        <v>721</v>
      </c>
      <c r="C1" s="290" t="s">
        <v>724</v>
      </c>
      <c r="D1" s="290" t="s">
        <v>726</v>
      </c>
      <c r="E1" s="290" t="s">
        <v>727</v>
      </c>
    </row>
    <row r="2" spans="1:5" x14ac:dyDescent="0.2">
      <c r="A2" t="s">
        <v>26</v>
      </c>
      <c r="B2" t="s">
        <v>799</v>
      </c>
      <c r="C2">
        <v>15</v>
      </c>
      <c r="D2">
        <v>8</v>
      </c>
      <c r="E2">
        <v>24.89</v>
      </c>
    </row>
    <row r="3" spans="1:5" x14ac:dyDescent="0.2">
      <c r="A3" t="s">
        <v>31</v>
      </c>
      <c r="B3" t="s">
        <v>801</v>
      </c>
      <c r="C3">
        <v>20</v>
      </c>
      <c r="D3">
        <v>7</v>
      </c>
      <c r="E3">
        <v>17.11</v>
      </c>
    </row>
    <row r="4" spans="1:5" x14ac:dyDescent="0.2">
      <c r="A4" t="s">
        <v>36</v>
      </c>
      <c r="B4" t="s">
        <v>803</v>
      </c>
      <c r="C4">
        <v>20</v>
      </c>
      <c r="D4">
        <v>8</v>
      </c>
      <c r="E4">
        <v>22</v>
      </c>
    </row>
    <row r="5" spans="1:5" x14ac:dyDescent="0.2">
      <c r="A5" t="s">
        <v>40</v>
      </c>
      <c r="B5" t="s">
        <v>804</v>
      </c>
      <c r="C5">
        <v>25</v>
      </c>
      <c r="D5">
        <v>12</v>
      </c>
      <c r="E5">
        <v>52.86</v>
      </c>
    </row>
    <row r="6" spans="1:5" x14ac:dyDescent="0.2">
      <c r="A6" t="s">
        <v>44</v>
      </c>
      <c r="B6" t="s">
        <v>806</v>
      </c>
      <c r="C6">
        <v>10</v>
      </c>
      <c r="D6">
        <v>6</v>
      </c>
      <c r="E6">
        <v>17.14</v>
      </c>
    </row>
    <row r="7" spans="1:5" x14ac:dyDescent="0.2">
      <c r="A7" t="s">
        <v>47</v>
      </c>
      <c r="B7" t="s">
        <v>807</v>
      </c>
      <c r="C7">
        <v>10</v>
      </c>
      <c r="D7">
        <v>7</v>
      </c>
      <c r="E7">
        <v>21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49"/>
  <sheetViews>
    <sheetView workbookViewId="0"/>
  </sheetViews>
  <sheetFormatPr baseColWidth="10" defaultColWidth="8.83203125" defaultRowHeight="15" x14ac:dyDescent="0.2"/>
  <sheetData>
    <row r="1" spans="1:3" x14ac:dyDescent="0.2">
      <c r="A1" s="290" t="s">
        <v>728</v>
      </c>
      <c r="B1" s="290" t="s">
        <v>729</v>
      </c>
      <c r="C1" s="290" t="s">
        <v>730</v>
      </c>
    </row>
    <row r="2" spans="1:3" x14ac:dyDescent="0.2">
      <c r="A2" t="s">
        <v>26</v>
      </c>
      <c r="B2" t="s">
        <v>316</v>
      </c>
      <c r="C2">
        <v>1</v>
      </c>
    </row>
    <row r="3" spans="1:3" x14ac:dyDescent="0.2">
      <c r="A3" t="s">
        <v>26</v>
      </c>
      <c r="B3" t="s">
        <v>481</v>
      </c>
      <c r="C3">
        <v>2</v>
      </c>
    </row>
    <row r="4" spans="1:3" x14ac:dyDescent="0.2">
      <c r="A4" t="s">
        <v>26</v>
      </c>
      <c r="B4" t="s">
        <v>486</v>
      </c>
      <c r="C4">
        <v>3</v>
      </c>
    </row>
    <row r="5" spans="1:3" x14ac:dyDescent="0.2">
      <c r="A5" t="s">
        <v>26</v>
      </c>
      <c r="B5" t="s">
        <v>491</v>
      </c>
      <c r="C5">
        <v>4</v>
      </c>
    </row>
    <row r="6" spans="1:3" x14ac:dyDescent="0.2">
      <c r="A6" t="s">
        <v>26</v>
      </c>
      <c r="B6" t="s">
        <v>496</v>
      </c>
      <c r="C6">
        <v>5</v>
      </c>
    </row>
    <row r="7" spans="1:3" x14ac:dyDescent="0.2">
      <c r="A7" t="s">
        <v>26</v>
      </c>
      <c r="B7" t="s">
        <v>501</v>
      </c>
      <c r="C7">
        <v>6</v>
      </c>
    </row>
    <row r="8" spans="1:3" x14ac:dyDescent="0.2">
      <c r="A8" t="s">
        <v>26</v>
      </c>
      <c r="B8" t="s">
        <v>506</v>
      </c>
      <c r="C8">
        <v>7</v>
      </c>
    </row>
    <row r="9" spans="1:3" x14ac:dyDescent="0.2">
      <c r="A9" t="s">
        <v>26</v>
      </c>
      <c r="B9" t="s">
        <v>328</v>
      </c>
      <c r="C9">
        <v>8</v>
      </c>
    </row>
    <row r="10" spans="1:3" x14ac:dyDescent="0.2">
      <c r="A10" t="s">
        <v>31</v>
      </c>
      <c r="B10" t="s">
        <v>316</v>
      </c>
      <c r="C10">
        <v>1</v>
      </c>
    </row>
    <row r="11" spans="1:3" x14ac:dyDescent="0.2">
      <c r="A11" t="s">
        <v>31</v>
      </c>
      <c r="B11" t="s">
        <v>481</v>
      </c>
      <c r="C11">
        <v>2</v>
      </c>
    </row>
    <row r="12" spans="1:3" x14ac:dyDescent="0.2">
      <c r="A12" t="s">
        <v>31</v>
      </c>
      <c r="B12" t="s">
        <v>486</v>
      </c>
      <c r="C12">
        <v>3</v>
      </c>
    </row>
    <row r="13" spans="1:3" x14ac:dyDescent="0.2">
      <c r="A13" t="s">
        <v>31</v>
      </c>
      <c r="B13" t="s">
        <v>491</v>
      </c>
      <c r="C13">
        <v>4</v>
      </c>
    </row>
    <row r="14" spans="1:3" x14ac:dyDescent="0.2">
      <c r="A14" t="s">
        <v>31</v>
      </c>
      <c r="B14" t="s">
        <v>496</v>
      </c>
      <c r="C14">
        <v>5</v>
      </c>
    </row>
    <row r="15" spans="1:3" x14ac:dyDescent="0.2">
      <c r="A15" t="s">
        <v>31</v>
      </c>
      <c r="B15" t="s">
        <v>501</v>
      </c>
      <c r="C15">
        <v>6</v>
      </c>
    </row>
    <row r="16" spans="1:3" x14ac:dyDescent="0.2">
      <c r="A16" t="s">
        <v>31</v>
      </c>
      <c r="B16" t="s">
        <v>506</v>
      </c>
      <c r="C16">
        <v>7</v>
      </c>
    </row>
    <row r="17" spans="1:3" x14ac:dyDescent="0.2">
      <c r="A17" t="s">
        <v>36</v>
      </c>
      <c r="B17" t="s">
        <v>316</v>
      </c>
      <c r="C17">
        <v>1</v>
      </c>
    </row>
    <row r="18" spans="1:3" x14ac:dyDescent="0.2">
      <c r="A18" t="s">
        <v>36</v>
      </c>
      <c r="B18" t="s">
        <v>481</v>
      </c>
      <c r="C18">
        <v>2</v>
      </c>
    </row>
    <row r="19" spans="1:3" x14ac:dyDescent="0.2">
      <c r="A19" t="s">
        <v>36</v>
      </c>
      <c r="B19" t="s">
        <v>486</v>
      </c>
      <c r="C19">
        <v>3</v>
      </c>
    </row>
    <row r="20" spans="1:3" x14ac:dyDescent="0.2">
      <c r="A20" t="s">
        <v>36</v>
      </c>
      <c r="B20" t="s">
        <v>491</v>
      </c>
      <c r="C20">
        <v>4</v>
      </c>
    </row>
    <row r="21" spans="1:3" x14ac:dyDescent="0.2">
      <c r="A21" t="s">
        <v>36</v>
      </c>
      <c r="B21" t="s">
        <v>496</v>
      </c>
      <c r="C21">
        <v>5</v>
      </c>
    </row>
    <row r="22" spans="1:3" x14ac:dyDescent="0.2">
      <c r="A22" t="s">
        <v>36</v>
      </c>
      <c r="B22" t="s">
        <v>501</v>
      </c>
      <c r="C22">
        <v>6</v>
      </c>
    </row>
    <row r="23" spans="1:3" x14ac:dyDescent="0.2">
      <c r="A23" t="s">
        <v>36</v>
      </c>
      <c r="B23" t="s">
        <v>506</v>
      </c>
      <c r="C23">
        <v>7</v>
      </c>
    </row>
    <row r="24" spans="1:3" x14ac:dyDescent="0.2">
      <c r="A24" t="s">
        <v>36</v>
      </c>
      <c r="B24" t="s">
        <v>328</v>
      </c>
      <c r="C24">
        <v>8</v>
      </c>
    </row>
    <row r="25" spans="1:3" x14ac:dyDescent="0.2">
      <c r="A25" t="s">
        <v>40</v>
      </c>
      <c r="B25" t="s">
        <v>316</v>
      </c>
      <c r="C25">
        <v>1</v>
      </c>
    </row>
    <row r="26" spans="1:3" x14ac:dyDescent="0.2">
      <c r="A26" t="s">
        <v>40</v>
      </c>
      <c r="B26" t="s">
        <v>481</v>
      </c>
      <c r="C26">
        <v>2</v>
      </c>
    </row>
    <row r="27" spans="1:3" x14ac:dyDescent="0.2">
      <c r="A27" t="s">
        <v>40</v>
      </c>
      <c r="B27" t="s">
        <v>486</v>
      </c>
      <c r="C27">
        <v>3</v>
      </c>
    </row>
    <row r="28" spans="1:3" x14ac:dyDescent="0.2">
      <c r="A28" t="s">
        <v>40</v>
      </c>
      <c r="B28" t="s">
        <v>491</v>
      </c>
      <c r="C28">
        <v>4</v>
      </c>
    </row>
    <row r="29" spans="1:3" x14ac:dyDescent="0.2">
      <c r="A29" t="s">
        <v>40</v>
      </c>
      <c r="B29" t="s">
        <v>496</v>
      </c>
      <c r="C29">
        <v>5</v>
      </c>
    </row>
    <row r="30" spans="1:3" x14ac:dyDescent="0.2">
      <c r="A30" t="s">
        <v>40</v>
      </c>
      <c r="B30" t="s">
        <v>501</v>
      </c>
      <c r="C30">
        <v>6</v>
      </c>
    </row>
    <row r="31" spans="1:3" x14ac:dyDescent="0.2">
      <c r="A31" t="s">
        <v>40</v>
      </c>
      <c r="B31" t="s">
        <v>506</v>
      </c>
      <c r="C31">
        <v>7</v>
      </c>
    </row>
    <row r="32" spans="1:3" x14ac:dyDescent="0.2">
      <c r="A32" t="s">
        <v>40</v>
      </c>
      <c r="B32" t="s">
        <v>328</v>
      </c>
      <c r="C32">
        <v>8</v>
      </c>
    </row>
    <row r="33" spans="1:3" x14ac:dyDescent="0.2">
      <c r="A33" t="s">
        <v>40</v>
      </c>
      <c r="B33" t="s">
        <v>526</v>
      </c>
      <c r="C33">
        <v>9</v>
      </c>
    </row>
    <row r="34" spans="1:3" x14ac:dyDescent="0.2">
      <c r="A34" t="s">
        <v>40</v>
      </c>
      <c r="B34" t="s">
        <v>531</v>
      </c>
      <c r="C34">
        <v>10</v>
      </c>
    </row>
    <row r="35" spans="1:3" x14ac:dyDescent="0.2">
      <c r="A35" t="s">
        <v>40</v>
      </c>
      <c r="B35" t="s">
        <v>536</v>
      </c>
      <c r="C35">
        <v>11</v>
      </c>
    </row>
    <row r="36" spans="1:3" x14ac:dyDescent="0.2">
      <c r="A36" t="s">
        <v>40</v>
      </c>
      <c r="B36" t="s">
        <v>541</v>
      </c>
      <c r="C36">
        <v>12</v>
      </c>
    </row>
    <row r="37" spans="1:3" x14ac:dyDescent="0.2">
      <c r="A37" t="s">
        <v>44</v>
      </c>
      <c r="B37" t="s">
        <v>316</v>
      </c>
      <c r="C37">
        <v>1</v>
      </c>
    </row>
    <row r="38" spans="1:3" x14ac:dyDescent="0.2">
      <c r="A38" t="s">
        <v>44</v>
      </c>
      <c r="B38" t="s">
        <v>481</v>
      </c>
      <c r="C38">
        <v>2</v>
      </c>
    </row>
    <row r="39" spans="1:3" x14ac:dyDescent="0.2">
      <c r="A39" t="s">
        <v>44</v>
      </c>
      <c r="B39" t="s">
        <v>486</v>
      </c>
      <c r="C39">
        <v>3</v>
      </c>
    </row>
    <row r="40" spans="1:3" x14ac:dyDescent="0.2">
      <c r="A40" t="s">
        <v>44</v>
      </c>
      <c r="B40" t="s">
        <v>491</v>
      </c>
      <c r="C40">
        <v>4</v>
      </c>
    </row>
    <row r="41" spans="1:3" x14ac:dyDescent="0.2">
      <c r="A41" t="s">
        <v>44</v>
      </c>
      <c r="B41" t="s">
        <v>496</v>
      </c>
      <c r="C41">
        <v>5</v>
      </c>
    </row>
    <row r="42" spans="1:3" x14ac:dyDescent="0.2">
      <c r="A42" t="s">
        <v>44</v>
      </c>
      <c r="B42" t="s">
        <v>501</v>
      </c>
      <c r="C42">
        <v>6</v>
      </c>
    </row>
    <row r="43" spans="1:3" x14ac:dyDescent="0.2">
      <c r="A43" t="s">
        <v>47</v>
      </c>
      <c r="B43" t="s">
        <v>316</v>
      </c>
      <c r="C43">
        <v>1</v>
      </c>
    </row>
    <row r="44" spans="1:3" x14ac:dyDescent="0.2">
      <c r="A44" t="s">
        <v>47</v>
      </c>
      <c r="B44" t="s">
        <v>481</v>
      </c>
      <c r="C44">
        <v>2</v>
      </c>
    </row>
    <row r="45" spans="1:3" x14ac:dyDescent="0.2">
      <c r="A45" t="s">
        <v>47</v>
      </c>
      <c r="B45" t="s">
        <v>486</v>
      </c>
      <c r="C45">
        <v>3</v>
      </c>
    </row>
    <row r="46" spans="1:3" x14ac:dyDescent="0.2">
      <c r="A46" t="s">
        <v>47</v>
      </c>
      <c r="B46" t="s">
        <v>491</v>
      </c>
      <c r="C46">
        <v>4</v>
      </c>
    </row>
    <row r="47" spans="1:3" x14ac:dyDescent="0.2">
      <c r="A47" t="s">
        <v>47</v>
      </c>
      <c r="B47" t="s">
        <v>496</v>
      </c>
      <c r="C47">
        <v>5</v>
      </c>
    </row>
    <row r="48" spans="1:3" x14ac:dyDescent="0.2">
      <c r="A48" t="s">
        <v>47</v>
      </c>
      <c r="B48" t="s">
        <v>501</v>
      </c>
      <c r="C48">
        <v>6</v>
      </c>
    </row>
    <row r="49" spans="1:3" x14ac:dyDescent="0.2">
      <c r="A49" t="s">
        <v>47</v>
      </c>
      <c r="B49" t="s">
        <v>506</v>
      </c>
      <c r="C49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0"/>
  <sheetViews>
    <sheetView workbookViewId="0"/>
  </sheetViews>
  <sheetFormatPr baseColWidth="10" defaultColWidth="8.83203125" defaultRowHeight="15" x14ac:dyDescent="0.2"/>
  <sheetData>
    <row r="1" spans="1:7" x14ac:dyDescent="0.2">
      <c r="A1" s="290" t="s">
        <v>731</v>
      </c>
      <c r="B1" s="290" t="s">
        <v>728</v>
      </c>
      <c r="C1" s="290" t="s">
        <v>732</v>
      </c>
      <c r="D1" s="290" t="s">
        <v>733</v>
      </c>
      <c r="E1" s="290" t="s">
        <v>734</v>
      </c>
      <c r="F1" s="290" t="s">
        <v>735</v>
      </c>
      <c r="G1" s="290" t="s">
        <v>736</v>
      </c>
    </row>
    <row r="2" spans="1:7" x14ac:dyDescent="0.2">
      <c r="A2" t="s">
        <v>66</v>
      </c>
      <c r="B2" t="s">
        <v>26</v>
      </c>
      <c r="C2" t="s">
        <v>928</v>
      </c>
      <c r="D2">
        <v>6</v>
      </c>
      <c r="E2">
        <v>20</v>
      </c>
      <c r="F2">
        <v>12.9</v>
      </c>
      <c r="G2">
        <v>20</v>
      </c>
    </row>
    <row r="3" spans="1:7" x14ac:dyDescent="0.2">
      <c r="A3" t="s">
        <v>71</v>
      </c>
      <c r="B3" t="s">
        <v>31</v>
      </c>
      <c r="C3" t="s">
        <v>741</v>
      </c>
      <c r="D3">
        <v>7</v>
      </c>
      <c r="E3">
        <v>22</v>
      </c>
      <c r="F3">
        <v>14.19</v>
      </c>
      <c r="G3">
        <v>17.11</v>
      </c>
    </row>
    <row r="4" spans="1:7" x14ac:dyDescent="0.2">
      <c r="A4" t="s">
        <v>71</v>
      </c>
      <c r="B4" t="s">
        <v>26</v>
      </c>
      <c r="C4" t="s">
        <v>738</v>
      </c>
      <c r="D4">
        <v>2</v>
      </c>
      <c r="E4">
        <v>22</v>
      </c>
      <c r="F4">
        <v>14.19</v>
      </c>
      <c r="G4">
        <v>4.8899999999999997</v>
      </c>
    </row>
    <row r="5" spans="1:7" x14ac:dyDescent="0.2">
      <c r="A5" t="s">
        <v>75</v>
      </c>
      <c r="B5" t="s">
        <v>36</v>
      </c>
      <c r="C5" t="s">
        <v>737</v>
      </c>
      <c r="D5">
        <v>8</v>
      </c>
      <c r="E5">
        <v>22</v>
      </c>
      <c r="F5">
        <v>14.19</v>
      </c>
      <c r="G5">
        <v>22</v>
      </c>
    </row>
    <row r="6" spans="1:7" x14ac:dyDescent="0.2">
      <c r="A6" t="s">
        <v>80</v>
      </c>
      <c r="B6" t="s">
        <v>40</v>
      </c>
      <c r="C6" t="s">
        <v>743</v>
      </c>
      <c r="D6">
        <v>9</v>
      </c>
      <c r="E6">
        <v>28</v>
      </c>
      <c r="F6">
        <v>18.059999999999999</v>
      </c>
      <c r="G6">
        <v>28</v>
      </c>
    </row>
    <row r="7" spans="1:7" x14ac:dyDescent="0.2">
      <c r="A7" t="s">
        <v>82</v>
      </c>
      <c r="B7" t="s">
        <v>44</v>
      </c>
      <c r="C7" t="s">
        <v>928</v>
      </c>
      <c r="D7">
        <v>6</v>
      </c>
      <c r="E7">
        <v>20</v>
      </c>
      <c r="F7">
        <v>12.9</v>
      </c>
      <c r="G7">
        <v>17.14</v>
      </c>
    </row>
    <row r="8" spans="1:7" x14ac:dyDescent="0.2">
      <c r="A8" t="s">
        <v>82</v>
      </c>
      <c r="B8" t="s">
        <v>40</v>
      </c>
      <c r="C8" t="s">
        <v>531</v>
      </c>
      <c r="D8">
        <v>1</v>
      </c>
      <c r="E8">
        <v>20</v>
      </c>
      <c r="F8">
        <v>12.9</v>
      </c>
      <c r="G8">
        <v>2.86</v>
      </c>
    </row>
    <row r="9" spans="1:7" x14ac:dyDescent="0.2">
      <c r="A9" t="s">
        <v>84</v>
      </c>
      <c r="B9" t="s">
        <v>40</v>
      </c>
      <c r="C9" t="s">
        <v>929</v>
      </c>
      <c r="D9">
        <v>2</v>
      </c>
      <c r="E9">
        <v>22</v>
      </c>
      <c r="F9">
        <v>14.19</v>
      </c>
      <c r="G9">
        <v>22</v>
      </c>
    </row>
    <row r="10" spans="1:7" x14ac:dyDescent="0.2">
      <c r="A10" t="s">
        <v>87</v>
      </c>
      <c r="B10" t="s">
        <v>47</v>
      </c>
      <c r="C10" t="s">
        <v>741</v>
      </c>
      <c r="D10">
        <v>7</v>
      </c>
      <c r="E10">
        <v>21</v>
      </c>
      <c r="F10">
        <v>13.55</v>
      </c>
      <c r="G10">
        <v>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744</v>
      </c>
      <c r="B1" s="290" t="s">
        <v>731</v>
      </c>
      <c r="C1" s="290" t="s">
        <v>728</v>
      </c>
      <c r="D1" s="290" t="s">
        <v>723</v>
      </c>
      <c r="E1" s="290" t="s">
        <v>733</v>
      </c>
      <c r="F1" s="290" t="s">
        <v>732</v>
      </c>
      <c r="G1" s="290" t="s">
        <v>745</v>
      </c>
      <c r="H1" s="290" t="s">
        <v>746</v>
      </c>
    </row>
    <row r="2" spans="1:8" x14ac:dyDescent="0.2">
      <c r="A2" t="s">
        <v>162</v>
      </c>
      <c r="B2" t="s">
        <v>66</v>
      </c>
      <c r="C2" t="s">
        <v>26</v>
      </c>
      <c r="D2">
        <v>1</v>
      </c>
      <c r="E2">
        <v>6</v>
      </c>
      <c r="F2" t="s">
        <v>928</v>
      </c>
      <c r="G2" t="s">
        <v>204</v>
      </c>
      <c r="H2" t="s">
        <v>747</v>
      </c>
    </row>
    <row r="3" spans="1:8" x14ac:dyDescent="0.2">
      <c r="A3" t="s">
        <v>167</v>
      </c>
      <c r="B3" t="s">
        <v>71</v>
      </c>
      <c r="C3" t="s">
        <v>31</v>
      </c>
      <c r="D3">
        <v>1</v>
      </c>
      <c r="E3">
        <v>7</v>
      </c>
      <c r="F3" t="s">
        <v>741</v>
      </c>
      <c r="G3" t="s">
        <v>206</v>
      </c>
      <c r="H3" t="s">
        <v>747</v>
      </c>
    </row>
    <row r="4" spans="1:8" x14ac:dyDescent="0.2">
      <c r="A4" t="s">
        <v>169</v>
      </c>
      <c r="B4" t="s">
        <v>71</v>
      </c>
      <c r="C4" t="s">
        <v>26</v>
      </c>
      <c r="D4">
        <v>1</v>
      </c>
      <c r="E4">
        <v>2</v>
      </c>
      <c r="F4" t="s">
        <v>738</v>
      </c>
      <c r="G4" t="s">
        <v>208</v>
      </c>
      <c r="H4" t="s">
        <v>747</v>
      </c>
    </row>
    <row r="5" spans="1:8" x14ac:dyDescent="0.2">
      <c r="A5" t="s">
        <v>172</v>
      </c>
      <c r="B5" t="s">
        <v>75</v>
      </c>
      <c r="C5" t="s">
        <v>36</v>
      </c>
      <c r="D5">
        <v>2</v>
      </c>
      <c r="E5">
        <v>8</v>
      </c>
      <c r="F5" t="s">
        <v>737</v>
      </c>
      <c r="G5" t="s">
        <v>209</v>
      </c>
      <c r="H5" t="s">
        <v>747</v>
      </c>
    </row>
    <row r="6" spans="1:8" x14ac:dyDescent="0.2">
      <c r="A6" t="s">
        <v>176</v>
      </c>
      <c r="B6" t="s">
        <v>80</v>
      </c>
      <c r="C6" t="s">
        <v>40</v>
      </c>
      <c r="D6">
        <v>2</v>
      </c>
      <c r="E6">
        <v>9</v>
      </c>
      <c r="F6" t="s">
        <v>743</v>
      </c>
      <c r="G6" t="s">
        <v>211</v>
      </c>
      <c r="H6" t="s">
        <v>747</v>
      </c>
    </row>
    <row r="7" spans="1:8" x14ac:dyDescent="0.2">
      <c r="A7" t="s">
        <v>179</v>
      </c>
      <c r="B7" t="s">
        <v>82</v>
      </c>
      <c r="C7" t="s">
        <v>44</v>
      </c>
      <c r="D7">
        <v>2</v>
      </c>
      <c r="E7">
        <v>6</v>
      </c>
      <c r="F7" t="s">
        <v>928</v>
      </c>
      <c r="G7" t="s">
        <v>213</v>
      </c>
      <c r="H7" t="s">
        <v>747</v>
      </c>
    </row>
    <row r="8" spans="1:8" x14ac:dyDescent="0.2">
      <c r="A8" t="s">
        <v>182</v>
      </c>
      <c r="B8" t="s">
        <v>82</v>
      </c>
      <c r="C8" t="s">
        <v>40</v>
      </c>
      <c r="D8">
        <v>2</v>
      </c>
      <c r="E8">
        <v>1</v>
      </c>
      <c r="F8" t="s">
        <v>531</v>
      </c>
      <c r="G8" t="s">
        <v>215</v>
      </c>
      <c r="H8" t="s">
        <v>747</v>
      </c>
    </row>
    <row r="9" spans="1:8" x14ac:dyDescent="0.2">
      <c r="A9" t="s">
        <v>186</v>
      </c>
      <c r="B9" t="s">
        <v>87</v>
      </c>
      <c r="C9" t="s">
        <v>47</v>
      </c>
      <c r="D9">
        <v>3</v>
      </c>
      <c r="E9">
        <v>7</v>
      </c>
      <c r="F9" t="s">
        <v>741</v>
      </c>
      <c r="G9" t="s">
        <v>216</v>
      </c>
      <c r="H9" t="s">
        <v>747</v>
      </c>
    </row>
    <row r="10" spans="1:8" x14ac:dyDescent="0.2">
      <c r="A10" t="s">
        <v>192</v>
      </c>
      <c r="D10">
        <v>1</v>
      </c>
      <c r="E10">
        <v>0</v>
      </c>
      <c r="G10" t="s">
        <v>194</v>
      </c>
      <c r="H10" t="s">
        <v>748</v>
      </c>
    </row>
    <row r="11" spans="1:8" x14ac:dyDescent="0.2">
      <c r="A11" t="s">
        <v>198</v>
      </c>
      <c r="D11">
        <v>2</v>
      </c>
      <c r="E11">
        <v>0</v>
      </c>
      <c r="G11" t="s">
        <v>200</v>
      </c>
      <c r="H11" t="s">
        <v>748</v>
      </c>
    </row>
    <row r="12" spans="1:8" x14ac:dyDescent="0.2">
      <c r="A12" t="s">
        <v>201</v>
      </c>
      <c r="D12">
        <v>3</v>
      </c>
      <c r="E12">
        <v>0</v>
      </c>
      <c r="G12" t="s">
        <v>203</v>
      </c>
      <c r="H12" t="s">
        <v>748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31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749</v>
      </c>
      <c r="B1" s="290" t="s">
        <v>750</v>
      </c>
      <c r="C1" s="290" t="s">
        <v>721</v>
      </c>
      <c r="D1" s="290" t="s">
        <v>751</v>
      </c>
      <c r="E1" s="290" t="s">
        <v>752</v>
      </c>
      <c r="F1" s="290" t="s">
        <v>753</v>
      </c>
      <c r="G1" s="290" t="s">
        <v>754</v>
      </c>
      <c r="H1" s="290" t="s">
        <v>755</v>
      </c>
      <c r="I1" s="290" t="s">
        <v>756</v>
      </c>
    </row>
    <row r="2" spans="1:9" x14ac:dyDescent="0.2">
      <c r="A2">
        <v>1</v>
      </c>
      <c r="B2">
        <f>IFERROR('PAR · Alumnos'!C10,"")</f>
        <v>0</v>
      </c>
      <c r="C2">
        <f>IFERROR('PAR · Alumnos'!D10,"")</f>
        <v>0</v>
      </c>
      <c r="D2">
        <f>IFERROR('PAR · Alumnos'!E10,"")</f>
        <v>0</v>
      </c>
      <c r="E2">
        <f>IFERROR('PAR · Alumnos'!F10,"")</f>
        <v>0</v>
      </c>
      <c r="F2">
        <f>IFERROR('PAR · Alumnos'!G10,"")</f>
        <v>0</v>
      </c>
      <c r="G2">
        <f>IFERROR('PAR · Alumnos'!H10,"")</f>
        <v>0</v>
      </c>
      <c r="H2">
        <f>IFERROR('PAR · Alumnos'!I10,"")</f>
        <v>0</v>
      </c>
      <c r="I2" t="str">
        <f>IFERROR('PAR · Alumnos'!J10,"")</f>
        <v>Activo</v>
      </c>
    </row>
    <row r="3" spans="1:9" x14ac:dyDescent="0.2">
      <c r="A3">
        <v>2</v>
      </c>
      <c r="B3">
        <f>IFERROR('PAR · Alumnos'!C11,"")</f>
        <v>0</v>
      </c>
      <c r="C3">
        <f>IFERROR('PAR · Alumnos'!D11,"")</f>
        <v>0</v>
      </c>
      <c r="D3">
        <f>IFERROR('PAR · Alumnos'!E11,"")</f>
        <v>0</v>
      </c>
      <c r="E3">
        <f>IFERROR('PAR · Alumnos'!F11,"")</f>
        <v>0</v>
      </c>
      <c r="F3">
        <f>IFERROR('PAR · Alumnos'!G11,"")</f>
        <v>0</v>
      </c>
      <c r="G3">
        <f>IFERROR('PAR · Alumnos'!H11,"")</f>
        <v>0</v>
      </c>
      <c r="H3">
        <f>IFERROR('PAR · Alumnos'!I11,"")</f>
        <v>0</v>
      </c>
      <c r="I3" t="str">
        <f>IFERROR('PAR · Alumnos'!J11,"")</f>
        <v>Activo</v>
      </c>
    </row>
    <row r="4" spans="1:9" x14ac:dyDescent="0.2">
      <c r="A4">
        <v>3</v>
      </c>
      <c r="B4">
        <f>IFERROR('PAR · Alumnos'!C12,"")</f>
        <v>0</v>
      </c>
      <c r="C4">
        <f>IFERROR('PAR · Alumnos'!D12,"")</f>
        <v>0</v>
      </c>
      <c r="D4">
        <f>IFERROR('PAR · Alumnos'!E12,"")</f>
        <v>0</v>
      </c>
      <c r="E4">
        <f>IFERROR('PAR · Alumnos'!F12,"")</f>
        <v>0</v>
      </c>
      <c r="F4">
        <f>IFERROR('PAR · Alumnos'!G12,"")</f>
        <v>0</v>
      </c>
      <c r="G4">
        <f>IFERROR('PAR · Alumnos'!H12,"")</f>
        <v>0</v>
      </c>
      <c r="H4">
        <f>IFERROR('PAR · Alumnos'!I12,"")</f>
        <v>0</v>
      </c>
      <c r="I4" t="str">
        <f>IFERROR('PAR · Alumnos'!J12,"")</f>
        <v>Activo</v>
      </c>
    </row>
    <row r="5" spans="1:9" x14ac:dyDescent="0.2">
      <c r="A5">
        <v>4</v>
      </c>
      <c r="B5">
        <f>IFERROR('PAR · Alumnos'!C13,"")</f>
        <v>0</v>
      </c>
      <c r="C5">
        <f>IFERROR('PAR · Alumnos'!D13,"")</f>
        <v>0</v>
      </c>
      <c r="D5">
        <f>IFERROR('PAR · Alumnos'!E13,"")</f>
        <v>0</v>
      </c>
      <c r="E5">
        <f>IFERROR('PAR · Alumnos'!F13,"")</f>
        <v>0</v>
      </c>
      <c r="F5">
        <f>IFERROR('PAR · Alumnos'!G13,"")</f>
        <v>0</v>
      </c>
      <c r="G5">
        <f>IFERROR('PAR · Alumnos'!H13,"")</f>
        <v>0</v>
      </c>
      <c r="H5">
        <f>IFERROR('PAR · Alumnos'!I13,"")</f>
        <v>0</v>
      </c>
      <c r="I5" t="str">
        <f>IFERROR('PAR · Alumnos'!J13,"")</f>
        <v>Activo</v>
      </c>
    </row>
    <row r="6" spans="1:9" x14ac:dyDescent="0.2">
      <c r="A6">
        <v>5</v>
      </c>
      <c r="B6">
        <f>IFERROR('PAR · Alumnos'!C14,"")</f>
        <v>0</v>
      </c>
      <c r="C6">
        <f>IFERROR('PAR · Alumnos'!D14,"")</f>
        <v>0</v>
      </c>
      <c r="D6">
        <f>IFERROR('PAR · Alumnos'!E14,"")</f>
        <v>0</v>
      </c>
      <c r="E6">
        <f>IFERROR('PAR · Alumnos'!F14,"")</f>
        <v>0</v>
      </c>
      <c r="F6">
        <f>IFERROR('PAR · Alumnos'!G14,"")</f>
        <v>0</v>
      </c>
      <c r="G6">
        <f>IFERROR('PAR · Alumnos'!H14,"")</f>
        <v>0</v>
      </c>
      <c r="H6">
        <f>IFERROR('PAR · Alumnos'!I14,"")</f>
        <v>0</v>
      </c>
      <c r="I6" t="str">
        <f>IFERROR('PAR · Alumnos'!J14,"")</f>
        <v>Activo</v>
      </c>
    </row>
    <row r="7" spans="1:9" x14ac:dyDescent="0.2">
      <c r="A7">
        <v>6</v>
      </c>
      <c r="B7">
        <f>IFERROR('PAR · Alumnos'!C15,"")</f>
        <v>0</v>
      </c>
      <c r="C7">
        <f>IFERROR('PAR · Alumnos'!D15,"")</f>
        <v>0</v>
      </c>
      <c r="D7">
        <f>IFERROR('PAR · Alumnos'!E15,"")</f>
        <v>0</v>
      </c>
      <c r="E7">
        <f>IFERROR('PAR · Alumnos'!F15,"")</f>
        <v>0</v>
      </c>
      <c r="F7">
        <f>IFERROR('PAR · Alumnos'!G15,"")</f>
        <v>0</v>
      </c>
      <c r="G7">
        <f>IFERROR('PAR · Alumnos'!H15,"")</f>
        <v>0</v>
      </c>
      <c r="H7">
        <f>IFERROR('PAR · Alumnos'!I15,"")</f>
        <v>0</v>
      </c>
      <c r="I7" t="str">
        <f>IFERROR('PAR · Alumnos'!J15,"")</f>
        <v>Activo</v>
      </c>
    </row>
    <row r="8" spans="1:9" x14ac:dyDescent="0.2">
      <c r="A8">
        <v>7</v>
      </c>
      <c r="B8">
        <f>IFERROR('PAR · Alumnos'!C16,"")</f>
        <v>0</v>
      </c>
      <c r="C8">
        <f>IFERROR('PAR · Alumnos'!D16,"")</f>
        <v>0</v>
      </c>
      <c r="D8">
        <f>IFERROR('PAR · Alumnos'!E16,"")</f>
        <v>0</v>
      </c>
      <c r="E8">
        <f>IFERROR('PAR · Alumnos'!F16,"")</f>
        <v>0</v>
      </c>
      <c r="F8">
        <f>IFERROR('PAR · Alumnos'!G16,"")</f>
        <v>0</v>
      </c>
      <c r="G8">
        <f>IFERROR('PAR · Alumnos'!H16,"")</f>
        <v>0</v>
      </c>
      <c r="H8">
        <f>IFERROR('PAR · Alumnos'!I16,"")</f>
        <v>0</v>
      </c>
      <c r="I8" t="str">
        <f>IFERROR('PAR · Alumnos'!J16,"")</f>
        <v>Activo</v>
      </c>
    </row>
    <row r="9" spans="1:9" x14ac:dyDescent="0.2">
      <c r="A9">
        <v>8</v>
      </c>
      <c r="B9">
        <f>IFERROR('PAR · Alumnos'!C17,"")</f>
        <v>0</v>
      </c>
      <c r="C9">
        <f>IFERROR('PAR · Alumnos'!D17,"")</f>
        <v>0</v>
      </c>
      <c r="D9">
        <f>IFERROR('PAR · Alumnos'!E17,"")</f>
        <v>0</v>
      </c>
      <c r="E9">
        <f>IFERROR('PAR · Alumnos'!F17,"")</f>
        <v>0</v>
      </c>
      <c r="F9">
        <f>IFERROR('PAR · Alumnos'!G17,"")</f>
        <v>0</v>
      </c>
      <c r="G9">
        <f>IFERROR('PAR · Alumnos'!H17,"")</f>
        <v>0</v>
      </c>
      <c r="H9">
        <f>IFERROR('PAR · Alumnos'!I17,"")</f>
        <v>0</v>
      </c>
      <c r="I9" t="str">
        <f>IFERROR('PAR · Alumnos'!J17,"")</f>
        <v>Activo</v>
      </c>
    </row>
    <row r="10" spans="1:9" x14ac:dyDescent="0.2">
      <c r="A10">
        <v>9</v>
      </c>
      <c r="B10">
        <f>IFERROR('PAR · Alumnos'!C18,"")</f>
        <v>0</v>
      </c>
      <c r="C10">
        <f>IFERROR('PAR · Alumnos'!D18,"")</f>
        <v>0</v>
      </c>
      <c r="D10">
        <f>IFERROR('PAR · Alumnos'!E18,"")</f>
        <v>0</v>
      </c>
      <c r="E10">
        <f>IFERROR('PAR · Alumnos'!F18,"")</f>
        <v>0</v>
      </c>
      <c r="F10">
        <f>IFERROR('PAR · Alumnos'!G18,"")</f>
        <v>0</v>
      </c>
      <c r="G10">
        <f>IFERROR('PAR · Alumnos'!H18,"")</f>
        <v>0</v>
      </c>
      <c r="H10">
        <f>IFERROR('PAR · Alumnos'!I18,"")</f>
        <v>0</v>
      </c>
      <c r="I10" t="str">
        <f>IFERROR('PAR · Alumnos'!J18,"")</f>
        <v>Activo</v>
      </c>
    </row>
    <row r="11" spans="1:9" x14ac:dyDescent="0.2">
      <c r="A11">
        <v>10</v>
      </c>
      <c r="B11">
        <f>IFERROR('PAR · Alumnos'!C19,"")</f>
        <v>0</v>
      </c>
      <c r="C11">
        <f>IFERROR('PAR · Alumnos'!D19,"")</f>
        <v>0</v>
      </c>
      <c r="D11">
        <f>IFERROR('PAR · Alumnos'!E19,"")</f>
        <v>0</v>
      </c>
      <c r="E11">
        <f>IFERROR('PAR · Alumnos'!F19,"")</f>
        <v>0</v>
      </c>
      <c r="F11">
        <f>IFERROR('PAR · Alumnos'!G19,"")</f>
        <v>0</v>
      </c>
      <c r="G11">
        <f>IFERROR('PAR · Alumnos'!H19,"")</f>
        <v>0</v>
      </c>
      <c r="H11">
        <f>IFERROR('PAR · Alumnos'!I19,"")</f>
        <v>0</v>
      </c>
      <c r="I11" t="str">
        <f>IFERROR('PAR · Alumnos'!J19,"")</f>
        <v>Activo</v>
      </c>
    </row>
    <row r="12" spans="1:9" x14ac:dyDescent="0.2">
      <c r="A12">
        <v>11</v>
      </c>
      <c r="B12">
        <f>IFERROR('PAR · Alumnos'!C20,"")</f>
        <v>0</v>
      </c>
      <c r="C12">
        <f>IFERROR('PAR · Alumnos'!D20,"")</f>
        <v>0</v>
      </c>
      <c r="D12">
        <f>IFERROR('PAR · Alumnos'!E20,"")</f>
        <v>0</v>
      </c>
      <c r="E12">
        <f>IFERROR('PAR · Alumnos'!F20,"")</f>
        <v>0</v>
      </c>
      <c r="F12">
        <f>IFERROR('PAR · Alumnos'!G20,"")</f>
        <v>0</v>
      </c>
      <c r="G12">
        <f>IFERROR('PAR · Alumnos'!H20,"")</f>
        <v>0</v>
      </c>
      <c r="H12">
        <f>IFERROR('PAR · Alumnos'!I20,"")</f>
        <v>0</v>
      </c>
      <c r="I12" t="str">
        <f>IFERROR('PAR · Alumnos'!J20,"")</f>
        <v>Activo</v>
      </c>
    </row>
    <row r="13" spans="1:9" x14ac:dyDescent="0.2">
      <c r="A13">
        <v>12</v>
      </c>
      <c r="B13">
        <f>IFERROR('PAR · Alumnos'!C21,"")</f>
        <v>0</v>
      </c>
      <c r="C13">
        <f>IFERROR('PAR · Alumnos'!D21,"")</f>
        <v>0</v>
      </c>
      <c r="D13">
        <f>IFERROR('PAR · Alumnos'!E21,"")</f>
        <v>0</v>
      </c>
      <c r="E13">
        <f>IFERROR('PAR · Alumnos'!F21,"")</f>
        <v>0</v>
      </c>
      <c r="F13">
        <f>IFERROR('PAR · Alumnos'!G21,"")</f>
        <v>0</v>
      </c>
      <c r="G13">
        <f>IFERROR('PAR · Alumnos'!H21,"")</f>
        <v>0</v>
      </c>
      <c r="H13">
        <f>IFERROR('PAR · Alumnos'!I21,"")</f>
        <v>0</v>
      </c>
      <c r="I13" t="str">
        <f>IFERROR('PAR · Alumnos'!J21,"")</f>
        <v>Activo</v>
      </c>
    </row>
    <row r="14" spans="1:9" x14ac:dyDescent="0.2">
      <c r="A14">
        <v>13</v>
      </c>
      <c r="B14">
        <f>IFERROR('PAR · Alumnos'!C22,"")</f>
        <v>0</v>
      </c>
      <c r="C14">
        <f>IFERROR('PAR · Alumnos'!D22,"")</f>
        <v>0</v>
      </c>
      <c r="D14">
        <f>IFERROR('PAR · Alumnos'!E22,"")</f>
        <v>0</v>
      </c>
      <c r="E14">
        <f>IFERROR('PAR · Alumnos'!F22,"")</f>
        <v>0</v>
      </c>
      <c r="F14">
        <f>IFERROR('PAR · Alumnos'!G22,"")</f>
        <v>0</v>
      </c>
      <c r="G14">
        <f>IFERROR('PAR · Alumnos'!H22,"")</f>
        <v>0</v>
      </c>
      <c r="H14">
        <f>IFERROR('PAR · Alumnos'!I22,"")</f>
        <v>0</v>
      </c>
      <c r="I14" t="str">
        <f>IFERROR('PAR · Alumnos'!J22,"")</f>
        <v>Activo</v>
      </c>
    </row>
    <row r="15" spans="1:9" x14ac:dyDescent="0.2">
      <c r="A15">
        <v>14</v>
      </c>
      <c r="B15">
        <f>IFERROR('PAR · Alumnos'!C23,"")</f>
        <v>0</v>
      </c>
      <c r="C15">
        <f>IFERROR('PAR · Alumnos'!D23,"")</f>
        <v>0</v>
      </c>
      <c r="D15">
        <f>IFERROR('PAR · Alumnos'!E23,"")</f>
        <v>0</v>
      </c>
      <c r="E15">
        <f>IFERROR('PAR · Alumnos'!F23,"")</f>
        <v>0</v>
      </c>
      <c r="F15">
        <f>IFERROR('PAR · Alumnos'!G23,"")</f>
        <v>0</v>
      </c>
      <c r="G15">
        <f>IFERROR('PAR · Alumnos'!H23,"")</f>
        <v>0</v>
      </c>
      <c r="H15">
        <f>IFERROR('PAR · Alumnos'!I23,"")</f>
        <v>0</v>
      </c>
      <c r="I15" t="str">
        <f>IFERROR('PAR · Alumnos'!J23,"")</f>
        <v>Activo</v>
      </c>
    </row>
    <row r="16" spans="1:9" x14ac:dyDescent="0.2">
      <c r="A16">
        <v>15</v>
      </c>
      <c r="B16">
        <f>IFERROR('PAR · Alumnos'!C24,"")</f>
        <v>0</v>
      </c>
      <c r="C16">
        <f>IFERROR('PAR · Alumnos'!D24,"")</f>
        <v>0</v>
      </c>
      <c r="D16">
        <f>IFERROR('PAR · Alumnos'!E24,"")</f>
        <v>0</v>
      </c>
      <c r="E16">
        <f>IFERROR('PAR · Alumnos'!F24,"")</f>
        <v>0</v>
      </c>
      <c r="F16">
        <f>IFERROR('PAR · Alumnos'!G24,"")</f>
        <v>0</v>
      </c>
      <c r="G16">
        <f>IFERROR('PAR · Alumnos'!H24,"")</f>
        <v>0</v>
      </c>
      <c r="H16">
        <f>IFERROR('PAR · Alumnos'!I24,"")</f>
        <v>0</v>
      </c>
      <c r="I16" t="str">
        <f>IFERROR('PAR · Alumnos'!J24,"")</f>
        <v>Activo</v>
      </c>
    </row>
    <row r="17" spans="1:9" x14ac:dyDescent="0.2">
      <c r="A17">
        <v>16</v>
      </c>
      <c r="B17">
        <f>IFERROR('PAR · Alumnos'!C25,"")</f>
        <v>0</v>
      </c>
      <c r="C17">
        <f>IFERROR('PAR · Alumnos'!D25,"")</f>
        <v>0</v>
      </c>
      <c r="D17">
        <f>IFERROR('PAR · Alumnos'!E25,"")</f>
        <v>0</v>
      </c>
      <c r="E17">
        <f>IFERROR('PAR · Alumnos'!F25,"")</f>
        <v>0</v>
      </c>
      <c r="F17">
        <f>IFERROR('PAR · Alumnos'!G25,"")</f>
        <v>0</v>
      </c>
      <c r="G17">
        <f>IFERROR('PAR · Alumnos'!H25,"")</f>
        <v>0</v>
      </c>
      <c r="H17">
        <f>IFERROR('PAR · Alumnos'!I25,"")</f>
        <v>0</v>
      </c>
      <c r="I17" t="str">
        <f>IFERROR('PAR · Alumnos'!J25,"")</f>
        <v>Activo</v>
      </c>
    </row>
    <row r="18" spans="1:9" x14ac:dyDescent="0.2">
      <c r="A18">
        <v>17</v>
      </c>
      <c r="B18">
        <f>IFERROR('PAR · Alumnos'!C26,"")</f>
        <v>0</v>
      </c>
      <c r="C18">
        <f>IFERROR('PAR · Alumnos'!D26,"")</f>
        <v>0</v>
      </c>
      <c r="D18">
        <f>IFERROR('PAR · Alumnos'!E26,"")</f>
        <v>0</v>
      </c>
      <c r="E18">
        <f>IFERROR('PAR · Alumnos'!F26,"")</f>
        <v>0</v>
      </c>
      <c r="F18">
        <f>IFERROR('PAR · Alumnos'!G26,"")</f>
        <v>0</v>
      </c>
      <c r="G18">
        <f>IFERROR('PAR · Alumnos'!H26,"")</f>
        <v>0</v>
      </c>
      <c r="H18">
        <f>IFERROR('PAR · Alumnos'!I26,"")</f>
        <v>0</v>
      </c>
      <c r="I18" t="str">
        <f>IFERROR('PAR · Alumnos'!J26,"")</f>
        <v>Activo</v>
      </c>
    </row>
    <row r="19" spans="1:9" x14ac:dyDescent="0.2">
      <c r="A19">
        <v>18</v>
      </c>
      <c r="B19">
        <f>IFERROR('PAR · Alumnos'!C27,"")</f>
        <v>0</v>
      </c>
      <c r="C19">
        <f>IFERROR('PAR · Alumnos'!D27,"")</f>
        <v>0</v>
      </c>
      <c r="D19">
        <f>IFERROR('PAR · Alumnos'!E27,"")</f>
        <v>0</v>
      </c>
      <c r="E19">
        <f>IFERROR('PAR · Alumnos'!F27,"")</f>
        <v>0</v>
      </c>
      <c r="F19">
        <f>IFERROR('PAR · Alumnos'!G27,"")</f>
        <v>0</v>
      </c>
      <c r="G19">
        <f>IFERROR('PAR · Alumnos'!H27,"")</f>
        <v>0</v>
      </c>
      <c r="H19">
        <f>IFERROR('PAR · Alumnos'!I27,"")</f>
        <v>0</v>
      </c>
      <c r="I19" t="str">
        <f>IFERROR('PAR · Alumnos'!J27,"")</f>
        <v>Activo</v>
      </c>
    </row>
    <row r="20" spans="1:9" x14ac:dyDescent="0.2">
      <c r="A20">
        <v>19</v>
      </c>
      <c r="B20">
        <f>IFERROR('PAR · Alumnos'!C28,"")</f>
        <v>0</v>
      </c>
      <c r="C20">
        <f>IFERROR('PAR · Alumnos'!D28,"")</f>
        <v>0</v>
      </c>
      <c r="D20">
        <f>IFERROR('PAR · Alumnos'!E28,"")</f>
        <v>0</v>
      </c>
      <c r="E20">
        <f>IFERROR('PAR · Alumnos'!F28,"")</f>
        <v>0</v>
      </c>
      <c r="F20">
        <f>IFERROR('PAR · Alumnos'!G28,"")</f>
        <v>0</v>
      </c>
      <c r="G20">
        <f>IFERROR('PAR · Alumnos'!H28,"")</f>
        <v>0</v>
      </c>
      <c r="H20">
        <f>IFERROR('PAR · Alumnos'!I28,"")</f>
        <v>0</v>
      </c>
      <c r="I20" t="str">
        <f>IFERROR('PAR · Alumnos'!J28,"")</f>
        <v>Activo</v>
      </c>
    </row>
    <row r="21" spans="1:9" x14ac:dyDescent="0.2">
      <c r="A21">
        <v>20</v>
      </c>
      <c r="B21">
        <f>IFERROR('PAR · Alumnos'!C29,"")</f>
        <v>0</v>
      </c>
      <c r="C21">
        <f>IFERROR('PAR · Alumnos'!D29,"")</f>
        <v>0</v>
      </c>
      <c r="D21">
        <f>IFERROR('PAR · Alumnos'!E29,"")</f>
        <v>0</v>
      </c>
      <c r="E21">
        <f>IFERROR('PAR · Alumnos'!F29,"")</f>
        <v>0</v>
      </c>
      <c r="F21">
        <f>IFERROR('PAR · Alumnos'!G29,"")</f>
        <v>0</v>
      </c>
      <c r="G21">
        <f>IFERROR('PAR · Alumnos'!H29,"")</f>
        <v>0</v>
      </c>
      <c r="H21">
        <f>IFERROR('PAR · Alumnos'!I29,"")</f>
        <v>0</v>
      </c>
      <c r="I21" t="str">
        <f>IFERROR('PAR · Alumnos'!J29,"")</f>
        <v>Activo</v>
      </c>
    </row>
    <row r="22" spans="1:9" x14ac:dyDescent="0.2">
      <c r="A22">
        <v>21</v>
      </c>
      <c r="B22">
        <f>IFERROR('PAR · Alumnos'!C30,"")</f>
        <v>0</v>
      </c>
      <c r="C22">
        <f>IFERROR('PAR · Alumnos'!D30,"")</f>
        <v>0</v>
      </c>
      <c r="D22">
        <f>IFERROR('PAR · Alumnos'!E30,"")</f>
        <v>0</v>
      </c>
      <c r="E22">
        <f>IFERROR('PAR · Alumnos'!F30,"")</f>
        <v>0</v>
      </c>
      <c r="F22">
        <f>IFERROR('PAR · Alumnos'!G30,"")</f>
        <v>0</v>
      </c>
      <c r="G22">
        <f>IFERROR('PAR · Alumnos'!H30,"")</f>
        <v>0</v>
      </c>
      <c r="H22">
        <f>IFERROR('PAR · Alumnos'!I30,"")</f>
        <v>0</v>
      </c>
      <c r="I22" t="str">
        <f>IFERROR('PAR · Alumnos'!J30,"")</f>
        <v>Activo</v>
      </c>
    </row>
    <row r="23" spans="1:9" x14ac:dyDescent="0.2">
      <c r="A23">
        <v>22</v>
      </c>
      <c r="B23">
        <f>IFERROR('PAR · Alumnos'!C31,"")</f>
        <v>0</v>
      </c>
      <c r="C23">
        <f>IFERROR('PAR · Alumnos'!D31,"")</f>
        <v>0</v>
      </c>
      <c r="D23">
        <f>IFERROR('PAR · Alumnos'!E31,"")</f>
        <v>0</v>
      </c>
      <c r="E23">
        <f>IFERROR('PAR · Alumnos'!F31,"")</f>
        <v>0</v>
      </c>
      <c r="F23">
        <f>IFERROR('PAR · Alumnos'!G31,"")</f>
        <v>0</v>
      </c>
      <c r="G23">
        <f>IFERROR('PAR · Alumnos'!H31,"")</f>
        <v>0</v>
      </c>
      <c r="H23">
        <f>IFERROR('PAR · Alumnos'!I31,"")</f>
        <v>0</v>
      </c>
      <c r="I23" t="str">
        <f>IFERROR('PAR · Alumnos'!J31,"")</f>
        <v>Activo</v>
      </c>
    </row>
    <row r="24" spans="1:9" x14ac:dyDescent="0.2">
      <c r="A24">
        <v>23</v>
      </c>
      <c r="B24">
        <f>IFERROR('PAR · Alumnos'!C32,"")</f>
        <v>0</v>
      </c>
      <c r="C24">
        <f>IFERROR('PAR · Alumnos'!D32,"")</f>
        <v>0</v>
      </c>
      <c r="D24">
        <f>IFERROR('PAR · Alumnos'!E32,"")</f>
        <v>0</v>
      </c>
      <c r="E24">
        <f>IFERROR('PAR · Alumnos'!F32,"")</f>
        <v>0</v>
      </c>
      <c r="F24">
        <f>IFERROR('PAR · Alumnos'!G32,"")</f>
        <v>0</v>
      </c>
      <c r="G24">
        <f>IFERROR('PAR · Alumnos'!H32,"")</f>
        <v>0</v>
      </c>
      <c r="H24">
        <f>IFERROR('PAR · Alumnos'!I32,"")</f>
        <v>0</v>
      </c>
      <c r="I24" t="str">
        <f>IFERROR('PAR · Alumnos'!J32,"")</f>
        <v>Activo</v>
      </c>
    </row>
    <row r="25" spans="1:9" x14ac:dyDescent="0.2">
      <c r="A25">
        <v>24</v>
      </c>
      <c r="B25">
        <f>IFERROR('PAR · Alumnos'!C33,"")</f>
        <v>0</v>
      </c>
      <c r="C25">
        <f>IFERROR('PAR · Alumnos'!D33,"")</f>
        <v>0</v>
      </c>
      <c r="D25">
        <f>IFERROR('PAR · Alumnos'!E33,"")</f>
        <v>0</v>
      </c>
      <c r="E25">
        <f>IFERROR('PAR · Alumnos'!F33,"")</f>
        <v>0</v>
      </c>
      <c r="F25">
        <f>IFERROR('PAR · Alumnos'!G33,"")</f>
        <v>0</v>
      </c>
      <c r="G25">
        <f>IFERROR('PAR · Alumnos'!H33,"")</f>
        <v>0</v>
      </c>
      <c r="H25">
        <f>IFERROR('PAR · Alumnos'!I33,"")</f>
        <v>0</v>
      </c>
      <c r="I25" t="str">
        <f>IFERROR('PAR · Alumnos'!J33,"")</f>
        <v>Activo</v>
      </c>
    </row>
    <row r="26" spans="1:9" x14ac:dyDescent="0.2">
      <c r="A26">
        <v>25</v>
      </c>
      <c r="B26">
        <f>IFERROR('PAR · Alumnos'!C34,"")</f>
        <v>0</v>
      </c>
      <c r="C26">
        <f>IFERROR('PAR · Alumnos'!D34,"")</f>
        <v>0</v>
      </c>
      <c r="D26">
        <f>IFERROR('PAR · Alumnos'!E34,"")</f>
        <v>0</v>
      </c>
      <c r="E26">
        <f>IFERROR('PAR · Alumnos'!F34,"")</f>
        <v>0</v>
      </c>
      <c r="F26">
        <f>IFERROR('PAR · Alumnos'!G34,"")</f>
        <v>0</v>
      </c>
      <c r="G26">
        <f>IFERROR('PAR · Alumnos'!H34,"")</f>
        <v>0</v>
      </c>
      <c r="H26">
        <f>IFERROR('PAR · Alumnos'!I34,"")</f>
        <v>0</v>
      </c>
      <c r="I26" t="str">
        <f>IFERROR('PAR · Alumnos'!J34,"")</f>
        <v>Activo</v>
      </c>
    </row>
    <row r="27" spans="1:9" x14ac:dyDescent="0.2">
      <c r="A27">
        <v>26</v>
      </c>
      <c r="B27">
        <f>IFERROR('PAR · Alumnos'!C35,"")</f>
        <v>0</v>
      </c>
      <c r="C27">
        <f>IFERROR('PAR · Alumnos'!D35,"")</f>
        <v>0</v>
      </c>
      <c r="D27">
        <f>IFERROR('PAR · Alumnos'!E35,"")</f>
        <v>0</v>
      </c>
      <c r="E27">
        <f>IFERROR('PAR · Alumnos'!F35,"")</f>
        <v>0</v>
      </c>
      <c r="F27">
        <f>IFERROR('PAR · Alumnos'!G35,"")</f>
        <v>0</v>
      </c>
      <c r="G27">
        <f>IFERROR('PAR · Alumnos'!H35,"")</f>
        <v>0</v>
      </c>
      <c r="H27">
        <f>IFERROR('PAR · Alumnos'!I35,"")</f>
        <v>0</v>
      </c>
      <c r="I27" t="str">
        <f>IFERROR('PAR · Alumnos'!J35,"")</f>
        <v>Activo</v>
      </c>
    </row>
    <row r="28" spans="1:9" x14ac:dyDescent="0.2">
      <c r="A28">
        <v>27</v>
      </c>
      <c r="B28">
        <f>IFERROR('PAR · Alumnos'!C36,"")</f>
        <v>0</v>
      </c>
      <c r="C28">
        <f>IFERROR('PAR · Alumnos'!D36,"")</f>
        <v>0</v>
      </c>
      <c r="D28">
        <f>IFERROR('PAR · Alumnos'!E36,"")</f>
        <v>0</v>
      </c>
      <c r="E28">
        <f>IFERROR('PAR · Alumnos'!F36,"")</f>
        <v>0</v>
      </c>
      <c r="F28">
        <f>IFERROR('PAR · Alumnos'!G36,"")</f>
        <v>0</v>
      </c>
      <c r="G28">
        <f>IFERROR('PAR · Alumnos'!H36,"")</f>
        <v>0</v>
      </c>
      <c r="H28">
        <f>IFERROR('PAR · Alumnos'!I36,"")</f>
        <v>0</v>
      </c>
      <c r="I28" t="str">
        <f>IFERROR('PAR · Alumnos'!J36,"")</f>
        <v>Activo</v>
      </c>
    </row>
    <row r="29" spans="1:9" x14ac:dyDescent="0.2">
      <c r="A29">
        <v>28</v>
      </c>
      <c r="B29">
        <f>IFERROR('PAR · Alumnos'!C37,"")</f>
        <v>0</v>
      </c>
      <c r="C29">
        <f>IFERROR('PAR · Alumnos'!D37,"")</f>
        <v>0</v>
      </c>
      <c r="D29">
        <f>IFERROR('PAR · Alumnos'!E37,"")</f>
        <v>0</v>
      </c>
      <c r="E29">
        <f>IFERROR('PAR · Alumnos'!F37,"")</f>
        <v>0</v>
      </c>
      <c r="F29">
        <f>IFERROR('PAR · Alumnos'!G37,"")</f>
        <v>0</v>
      </c>
      <c r="G29">
        <f>IFERROR('PAR · Alumnos'!H37,"")</f>
        <v>0</v>
      </c>
      <c r="H29">
        <f>IFERROR('PAR · Alumnos'!I37,"")</f>
        <v>0</v>
      </c>
      <c r="I29" t="str">
        <f>IFERROR('PAR · Alumnos'!J37,"")</f>
        <v>Activo</v>
      </c>
    </row>
    <row r="30" spans="1:9" x14ac:dyDescent="0.2">
      <c r="A30">
        <v>29</v>
      </c>
      <c r="B30">
        <f>IFERROR('PAR · Alumnos'!C38,"")</f>
        <v>0</v>
      </c>
      <c r="C30">
        <f>IFERROR('PAR · Alumnos'!D38,"")</f>
        <v>0</v>
      </c>
      <c r="D30">
        <f>IFERROR('PAR · Alumnos'!E38,"")</f>
        <v>0</v>
      </c>
      <c r="E30">
        <f>IFERROR('PAR · Alumnos'!F38,"")</f>
        <v>0</v>
      </c>
      <c r="F30">
        <f>IFERROR('PAR · Alumnos'!G38,"")</f>
        <v>0</v>
      </c>
      <c r="G30">
        <f>IFERROR('PAR · Alumnos'!H38,"")</f>
        <v>0</v>
      </c>
      <c r="H30">
        <f>IFERROR('PAR · Alumnos'!I38,"")</f>
        <v>0</v>
      </c>
      <c r="I30" t="str">
        <f>IFERROR('PAR · Alumnos'!J38,"")</f>
        <v>Activo</v>
      </c>
    </row>
    <row r="31" spans="1:9" x14ac:dyDescent="0.2">
      <c r="A31">
        <v>30</v>
      </c>
      <c r="B31">
        <f>IFERROR('PAR · Alumnos'!C39,"")</f>
        <v>0</v>
      </c>
      <c r="C31">
        <f>IFERROR('PAR · Alumnos'!D39,"")</f>
        <v>0</v>
      </c>
      <c r="D31">
        <f>IFERROR('PAR · Alumnos'!E39,"")</f>
        <v>0</v>
      </c>
      <c r="E31">
        <f>IFERROR('PAR · Alumnos'!F39,"")</f>
        <v>0</v>
      </c>
      <c r="F31">
        <f>IFERROR('PAR · Alumnos'!G39,"")</f>
        <v>0</v>
      </c>
      <c r="G31">
        <f>IFERROR('PAR · Alumnos'!H39,"")</f>
        <v>0</v>
      </c>
      <c r="H31">
        <f>IFERROR('PAR · Alumnos'!I39,"")</f>
        <v>0</v>
      </c>
      <c r="I31" t="str">
        <f>IFERROR('PAR · Alumnos'!J39,"")</f>
        <v>Activo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290" t="s">
        <v>757</v>
      </c>
      <c r="B1" s="290" t="s">
        <v>758</v>
      </c>
      <c r="C1" s="290" t="s">
        <v>759</v>
      </c>
      <c r="D1" s="290" t="s">
        <v>760</v>
      </c>
      <c r="E1" s="290" t="s">
        <v>761</v>
      </c>
      <c r="F1" s="290" t="s">
        <v>762</v>
      </c>
      <c r="G1" s="290" t="s">
        <v>763</v>
      </c>
      <c r="H1" s="290" t="s">
        <v>764</v>
      </c>
      <c r="I1" s="290" t="s">
        <v>765</v>
      </c>
    </row>
    <row r="2" spans="1:9" x14ac:dyDescent="0.2">
      <c r="A2" t="s">
        <v>766</v>
      </c>
      <c r="B2" t="s">
        <v>930</v>
      </c>
      <c r="C2" t="s">
        <v>931</v>
      </c>
      <c r="D2" t="s">
        <v>111</v>
      </c>
      <c r="E2" t="s">
        <v>13</v>
      </c>
      <c r="F2">
        <v>5</v>
      </c>
      <c r="G2">
        <v>155</v>
      </c>
      <c r="H2" t="str">
        <f>IFERROR(Configuración!C11,"")</f>
        <v>Administración de Sistemas Informáticos en Red (ASIR)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2"/>
  <sheetViews>
    <sheetView workbookViewId="0"/>
  </sheetViews>
  <sheetFormatPr baseColWidth="10" defaultColWidth="8.83203125" defaultRowHeight="15" x14ac:dyDescent="0.2"/>
  <sheetData>
    <row r="1" spans="1:8" x14ac:dyDescent="0.2">
      <c r="A1" s="290" t="s">
        <v>749</v>
      </c>
      <c r="B1" s="290" t="s">
        <v>744</v>
      </c>
      <c r="C1" s="290" t="s">
        <v>731</v>
      </c>
      <c r="D1" s="290" t="s">
        <v>728</v>
      </c>
      <c r="E1" s="290" t="s">
        <v>768</v>
      </c>
      <c r="F1" s="290" t="s">
        <v>769</v>
      </c>
      <c r="G1" s="290" t="s">
        <v>770</v>
      </c>
      <c r="H1" s="290" t="s">
        <v>755</v>
      </c>
    </row>
    <row r="2" spans="1:8" x14ac:dyDescent="0.2">
      <c r="A2" t="s">
        <v>771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290" t="s">
        <v>749</v>
      </c>
      <c r="B1" s="290" t="s">
        <v>723</v>
      </c>
      <c r="C1" s="290" t="s">
        <v>772</v>
      </c>
      <c r="D1" s="290" t="s">
        <v>773</v>
      </c>
      <c r="E1" s="290" t="s">
        <v>774</v>
      </c>
      <c r="F1" s="290" t="s">
        <v>755</v>
      </c>
    </row>
    <row r="2" spans="1:6" x14ac:dyDescent="0.2">
      <c r="A2">
        <v>1</v>
      </c>
      <c r="B2">
        <v>1</v>
      </c>
      <c r="C2" t="str">
        <f>IFERROR('PAR · Evaluación 1'!H11,"")</f>
        <v/>
      </c>
      <c r="D2" t="str">
        <f>IFERROR('PAR · Evaluación 1'!I11,"")</f>
        <v/>
      </c>
    </row>
    <row r="3" spans="1:6" x14ac:dyDescent="0.2">
      <c r="A3">
        <v>1</v>
      </c>
      <c r="B3">
        <v>2</v>
      </c>
      <c r="C3" t="str">
        <f>IFERROR('PAR · Evaluación 2'!J11,"")</f>
        <v/>
      </c>
      <c r="D3" t="str">
        <f>IFERROR('PAR · Evaluación 2'!K11,"")</f>
        <v/>
      </c>
    </row>
    <row r="4" spans="1:6" x14ac:dyDescent="0.2">
      <c r="A4">
        <v>1</v>
      </c>
      <c r="B4">
        <v>3</v>
      </c>
      <c r="C4" t="str">
        <f>IFERROR('PAR · Evaluación 3'!G11,"")</f>
        <v/>
      </c>
      <c r="D4" t="str">
        <f>IFERROR('PAR · Evaluación 3'!H11,"")</f>
        <v/>
      </c>
    </row>
    <row r="5" spans="1:6" x14ac:dyDescent="0.2">
      <c r="A5">
        <v>2</v>
      </c>
      <c r="B5">
        <v>1</v>
      </c>
      <c r="C5" t="str">
        <f>IFERROR('PAR · Evaluación 1'!H12,"")</f>
        <v/>
      </c>
      <c r="D5" t="str">
        <f>IFERROR('PAR · Evaluación 1'!I12,"")</f>
        <v/>
      </c>
    </row>
    <row r="6" spans="1:6" x14ac:dyDescent="0.2">
      <c r="A6">
        <v>2</v>
      </c>
      <c r="B6">
        <v>2</v>
      </c>
      <c r="C6" t="str">
        <f>IFERROR('PAR · Evaluación 2'!J12,"")</f>
        <v/>
      </c>
      <c r="D6" t="str">
        <f>IFERROR('PAR · Evaluación 2'!K12,"")</f>
        <v/>
      </c>
    </row>
    <row r="7" spans="1:6" x14ac:dyDescent="0.2">
      <c r="A7">
        <v>2</v>
      </c>
      <c r="B7">
        <v>3</v>
      </c>
      <c r="C7" t="str">
        <f>IFERROR('PAR · Evaluación 3'!G12,"")</f>
        <v/>
      </c>
      <c r="D7" t="str">
        <f>IFERROR('PAR · Evaluación 3'!H12,"")</f>
        <v/>
      </c>
    </row>
    <row r="8" spans="1:6" x14ac:dyDescent="0.2">
      <c r="A8">
        <v>3</v>
      </c>
      <c r="B8">
        <v>1</v>
      </c>
      <c r="C8" t="str">
        <f>IFERROR('PAR · Evaluación 1'!H13,"")</f>
        <v/>
      </c>
      <c r="D8" t="str">
        <f>IFERROR('PAR · Evaluación 1'!I13,"")</f>
        <v/>
      </c>
    </row>
    <row r="9" spans="1:6" x14ac:dyDescent="0.2">
      <c r="A9">
        <v>3</v>
      </c>
      <c r="B9">
        <v>2</v>
      </c>
      <c r="C9" t="str">
        <f>IFERROR('PAR · Evaluación 2'!J13,"")</f>
        <v/>
      </c>
      <c r="D9" t="str">
        <f>IFERROR('PAR · Evaluación 2'!K13,"")</f>
        <v/>
      </c>
    </row>
    <row r="10" spans="1:6" x14ac:dyDescent="0.2">
      <c r="A10">
        <v>3</v>
      </c>
      <c r="B10">
        <v>3</v>
      </c>
      <c r="C10" t="str">
        <f>IFERROR('PAR · Evaluación 3'!G13,"")</f>
        <v/>
      </c>
      <c r="D10" t="str">
        <f>IFERROR('PAR · Evaluación 3'!H13,"")</f>
        <v/>
      </c>
    </row>
    <row r="11" spans="1:6" x14ac:dyDescent="0.2">
      <c r="A11">
        <v>4</v>
      </c>
      <c r="B11">
        <v>1</v>
      </c>
      <c r="C11" t="str">
        <f>IFERROR('PAR · Evaluación 1'!H14,"")</f>
        <v/>
      </c>
      <c r="D11" t="str">
        <f>IFERROR('PAR · Evaluación 1'!I14,"")</f>
        <v/>
      </c>
    </row>
    <row r="12" spans="1:6" x14ac:dyDescent="0.2">
      <c r="A12">
        <v>4</v>
      </c>
      <c r="B12">
        <v>2</v>
      </c>
      <c r="C12" t="str">
        <f>IFERROR('PAR · Evaluación 2'!J14,"")</f>
        <v/>
      </c>
      <c r="D12" t="str">
        <f>IFERROR('PAR · Evaluación 2'!K14,"")</f>
        <v/>
      </c>
    </row>
    <row r="13" spans="1:6" x14ac:dyDescent="0.2">
      <c r="A13">
        <v>4</v>
      </c>
      <c r="B13">
        <v>3</v>
      </c>
      <c r="C13" t="str">
        <f>IFERROR('PAR · Evaluación 3'!G14,"")</f>
        <v/>
      </c>
      <c r="D13" t="str">
        <f>IFERROR('PAR · Evaluación 3'!H14,"")</f>
        <v/>
      </c>
    </row>
    <row r="14" spans="1:6" x14ac:dyDescent="0.2">
      <c r="A14">
        <v>5</v>
      </c>
      <c r="B14">
        <v>1</v>
      </c>
      <c r="C14" t="str">
        <f>IFERROR('PAR · Evaluación 1'!H15,"")</f>
        <v/>
      </c>
      <c r="D14" t="str">
        <f>IFERROR('PAR · Evaluación 1'!I15,"")</f>
        <v/>
      </c>
    </row>
    <row r="15" spans="1:6" x14ac:dyDescent="0.2">
      <c r="A15">
        <v>5</v>
      </c>
      <c r="B15">
        <v>2</v>
      </c>
      <c r="C15" t="str">
        <f>IFERROR('PAR · Evaluación 2'!J15,"")</f>
        <v/>
      </c>
      <c r="D15" t="str">
        <f>IFERROR('PAR · Evaluación 2'!K15,"")</f>
        <v/>
      </c>
    </row>
    <row r="16" spans="1:6" x14ac:dyDescent="0.2">
      <c r="A16">
        <v>5</v>
      </c>
      <c r="B16">
        <v>3</v>
      </c>
      <c r="C16" t="str">
        <f>IFERROR('PAR · Evaluación 3'!G15,"")</f>
        <v/>
      </c>
      <c r="D16" t="str">
        <f>IFERROR('PAR · Evaluación 3'!H15,"")</f>
        <v/>
      </c>
    </row>
    <row r="17" spans="1:4" x14ac:dyDescent="0.2">
      <c r="A17">
        <v>6</v>
      </c>
      <c r="B17">
        <v>1</v>
      </c>
      <c r="C17" t="str">
        <f>IFERROR('PAR · Evaluación 1'!H16,"")</f>
        <v/>
      </c>
      <c r="D17" t="str">
        <f>IFERROR('PAR · Evaluación 1'!I16,"")</f>
        <v/>
      </c>
    </row>
    <row r="18" spans="1:4" x14ac:dyDescent="0.2">
      <c r="A18">
        <v>6</v>
      </c>
      <c r="B18">
        <v>2</v>
      </c>
      <c r="C18" t="str">
        <f>IFERROR('PAR · Evaluación 2'!J16,"")</f>
        <v/>
      </c>
      <c r="D18" t="str">
        <f>IFERROR('PAR · Evaluación 2'!K16,"")</f>
        <v/>
      </c>
    </row>
    <row r="19" spans="1:4" x14ac:dyDescent="0.2">
      <c r="A19">
        <v>6</v>
      </c>
      <c r="B19">
        <v>3</v>
      </c>
      <c r="C19" t="str">
        <f>IFERROR('PAR · Evaluación 3'!G16,"")</f>
        <v/>
      </c>
      <c r="D19" t="str">
        <f>IFERROR('PAR · Evaluación 3'!H16,"")</f>
        <v/>
      </c>
    </row>
    <row r="20" spans="1:4" x14ac:dyDescent="0.2">
      <c r="A20">
        <v>7</v>
      </c>
      <c r="B20">
        <v>1</v>
      </c>
      <c r="C20" t="str">
        <f>IFERROR('PAR · Evaluación 1'!H17,"")</f>
        <v/>
      </c>
      <c r="D20" t="str">
        <f>IFERROR('PAR · Evaluación 1'!I17,"")</f>
        <v/>
      </c>
    </row>
    <row r="21" spans="1:4" x14ac:dyDescent="0.2">
      <c r="A21">
        <v>7</v>
      </c>
      <c r="B21">
        <v>2</v>
      </c>
      <c r="C21" t="str">
        <f>IFERROR('PAR · Evaluación 2'!J17,"")</f>
        <v/>
      </c>
      <c r="D21" t="str">
        <f>IFERROR('PAR · Evaluación 2'!K17,"")</f>
        <v/>
      </c>
    </row>
    <row r="22" spans="1:4" x14ac:dyDescent="0.2">
      <c r="A22">
        <v>7</v>
      </c>
      <c r="B22">
        <v>3</v>
      </c>
      <c r="C22" t="str">
        <f>IFERROR('PAR · Evaluación 3'!G17,"")</f>
        <v/>
      </c>
      <c r="D22" t="str">
        <f>IFERROR('PAR · Evaluación 3'!H17,"")</f>
        <v/>
      </c>
    </row>
    <row r="23" spans="1:4" x14ac:dyDescent="0.2">
      <c r="A23">
        <v>8</v>
      </c>
      <c r="B23">
        <v>1</v>
      </c>
      <c r="C23" t="str">
        <f>IFERROR('PAR · Evaluación 1'!H18,"")</f>
        <v/>
      </c>
      <c r="D23" t="str">
        <f>IFERROR('PAR · Evaluación 1'!I18,"")</f>
        <v/>
      </c>
    </row>
    <row r="24" spans="1:4" x14ac:dyDescent="0.2">
      <c r="A24">
        <v>8</v>
      </c>
      <c r="B24">
        <v>2</v>
      </c>
      <c r="C24" t="str">
        <f>IFERROR('PAR · Evaluación 2'!J18,"")</f>
        <v/>
      </c>
      <c r="D24" t="str">
        <f>IFERROR('PAR · Evaluación 2'!K18,"")</f>
        <v/>
      </c>
    </row>
    <row r="25" spans="1:4" x14ac:dyDescent="0.2">
      <c r="A25">
        <v>8</v>
      </c>
      <c r="B25">
        <v>3</v>
      </c>
      <c r="C25" t="str">
        <f>IFERROR('PAR · Evaluación 3'!G18,"")</f>
        <v/>
      </c>
      <c r="D25" t="str">
        <f>IFERROR('PAR · Evaluación 3'!H18,"")</f>
        <v/>
      </c>
    </row>
    <row r="26" spans="1:4" x14ac:dyDescent="0.2">
      <c r="A26">
        <v>9</v>
      </c>
      <c r="B26">
        <v>1</v>
      </c>
      <c r="C26" t="str">
        <f>IFERROR('PAR · Evaluación 1'!H19,"")</f>
        <v/>
      </c>
      <c r="D26" t="str">
        <f>IFERROR('PAR · Evaluación 1'!I19,"")</f>
        <v/>
      </c>
    </row>
    <row r="27" spans="1:4" x14ac:dyDescent="0.2">
      <c r="A27">
        <v>9</v>
      </c>
      <c r="B27">
        <v>2</v>
      </c>
      <c r="C27" t="str">
        <f>IFERROR('PAR · Evaluación 2'!J19,"")</f>
        <v/>
      </c>
      <c r="D27" t="str">
        <f>IFERROR('PAR · Evaluación 2'!K19,"")</f>
        <v/>
      </c>
    </row>
    <row r="28" spans="1:4" x14ac:dyDescent="0.2">
      <c r="A28">
        <v>9</v>
      </c>
      <c r="B28">
        <v>3</v>
      </c>
      <c r="C28" t="str">
        <f>IFERROR('PAR · Evaluación 3'!G19,"")</f>
        <v/>
      </c>
      <c r="D28" t="str">
        <f>IFERROR('PAR · Evaluación 3'!H19,"")</f>
        <v/>
      </c>
    </row>
    <row r="29" spans="1:4" x14ac:dyDescent="0.2">
      <c r="A29">
        <v>10</v>
      </c>
      <c r="B29">
        <v>1</v>
      </c>
      <c r="C29" t="str">
        <f>IFERROR('PAR · Evaluación 1'!H20,"")</f>
        <v/>
      </c>
      <c r="D29" t="str">
        <f>IFERROR('PAR · Evaluación 1'!I20,"")</f>
        <v/>
      </c>
    </row>
    <row r="30" spans="1:4" x14ac:dyDescent="0.2">
      <c r="A30">
        <v>10</v>
      </c>
      <c r="B30">
        <v>2</v>
      </c>
      <c r="C30" t="str">
        <f>IFERROR('PAR · Evaluación 2'!J20,"")</f>
        <v/>
      </c>
      <c r="D30" t="str">
        <f>IFERROR('PAR · Evaluación 2'!K20,"")</f>
        <v/>
      </c>
    </row>
    <row r="31" spans="1:4" x14ac:dyDescent="0.2">
      <c r="A31">
        <v>10</v>
      </c>
      <c r="B31">
        <v>3</v>
      </c>
      <c r="C31" t="str">
        <f>IFERROR('PAR · Evaluación 3'!G20,"")</f>
        <v/>
      </c>
      <c r="D31" t="str">
        <f>IFERROR('PAR · Evaluación 3'!H20,"")</f>
        <v/>
      </c>
    </row>
    <row r="32" spans="1:4" x14ac:dyDescent="0.2">
      <c r="A32">
        <v>11</v>
      </c>
      <c r="B32">
        <v>1</v>
      </c>
      <c r="C32" t="str">
        <f>IFERROR('PAR · Evaluación 1'!H21,"")</f>
        <v/>
      </c>
      <c r="D32" t="str">
        <f>IFERROR('PAR · Evaluación 1'!I21,"")</f>
        <v/>
      </c>
    </row>
    <row r="33" spans="1:4" x14ac:dyDescent="0.2">
      <c r="A33">
        <v>11</v>
      </c>
      <c r="B33">
        <v>2</v>
      </c>
      <c r="C33" t="str">
        <f>IFERROR('PAR · Evaluación 2'!J21,"")</f>
        <v/>
      </c>
      <c r="D33" t="str">
        <f>IFERROR('PAR · Evaluación 2'!K21,"")</f>
        <v/>
      </c>
    </row>
    <row r="34" spans="1:4" x14ac:dyDescent="0.2">
      <c r="A34">
        <v>11</v>
      </c>
      <c r="B34">
        <v>3</v>
      </c>
      <c r="C34" t="str">
        <f>IFERROR('PAR · Evaluación 3'!G21,"")</f>
        <v/>
      </c>
      <c r="D34" t="str">
        <f>IFERROR('PAR · Evaluación 3'!H21,"")</f>
        <v/>
      </c>
    </row>
    <row r="35" spans="1:4" x14ac:dyDescent="0.2">
      <c r="A35">
        <v>12</v>
      </c>
      <c r="B35">
        <v>1</v>
      </c>
      <c r="C35" t="str">
        <f>IFERROR('PAR · Evaluación 1'!H22,"")</f>
        <v/>
      </c>
      <c r="D35" t="str">
        <f>IFERROR('PAR · Evaluación 1'!I22,"")</f>
        <v/>
      </c>
    </row>
    <row r="36" spans="1:4" x14ac:dyDescent="0.2">
      <c r="A36">
        <v>12</v>
      </c>
      <c r="B36">
        <v>2</v>
      </c>
      <c r="C36" t="str">
        <f>IFERROR('PAR · Evaluación 2'!J22,"")</f>
        <v/>
      </c>
      <c r="D36" t="str">
        <f>IFERROR('PAR · Evaluación 2'!K22,"")</f>
        <v/>
      </c>
    </row>
    <row r="37" spans="1:4" x14ac:dyDescent="0.2">
      <c r="A37">
        <v>12</v>
      </c>
      <c r="B37">
        <v>3</v>
      </c>
      <c r="C37" t="str">
        <f>IFERROR('PAR · Evaluación 3'!G22,"")</f>
        <v/>
      </c>
      <c r="D37" t="str">
        <f>IFERROR('PAR · Evaluación 3'!H22,"")</f>
        <v/>
      </c>
    </row>
    <row r="38" spans="1:4" x14ac:dyDescent="0.2">
      <c r="A38">
        <v>13</v>
      </c>
      <c r="B38">
        <v>1</v>
      </c>
      <c r="C38" t="str">
        <f>IFERROR('PAR · Evaluación 1'!H23,"")</f>
        <v/>
      </c>
      <c r="D38" t="str">
        <f>IFERROR('PAR · Evaluación 1'!I23,"")</f>
        <v/>
      </c>
    </row>
    <row r="39" spans="1:4" x14ac:dyDescent="0.2">
      <c r="A39">
        <v>13</v>
      </c>
      <c r="B39">
        <v>2</v>
      </c>
      <c r="C39" t="str">
        <f>IFERROR('PAR · Evaluación 2'!J23,"")</f>
        <v/>
      </c>
      <c r="D39" t="str">
        <f>IFERROR('PAR · Evaluación 2'!K23,"")</f>
        <v/>
      </c>
    </row>
    <row r="40" spans="1:4" x14ac:dyDescent="0.2">
      <c r="A40">
        <v>13</v>
      </c>
      <c r="B40">
        <v>3</v>
      </c>
      <c r="C40" t="str">
        <f>IFERROR('PAR · Evaluación 3'!G23,"")</f>
        <v/>
      </c>
      <c r="D40" t="str">
        <f>IFERROR('PAR · Evaluación 3'!H23,"")</f>
        <v/>
      </c>
    </row>
    <row r="41" spans="1:4" x14ac:dyDescent="0.2">
      <c r="A41">
        <v>14</v>
      </c>
      <c r="B41">
        <v>1</v>
      </c>
      <c r="C41" t="str">
        <f>IFERROR('PAR · Evaluación 1'!H24,"")</f>
        <v/>
      </c>
      <c r="D41" t="str">
        <f>IFERROR('PAR · Evaluación 1'!I24,"")</f>
        <v/>
      </c>
    </row>
    <row r="42" spans="1:4" x14ac:dyDescent="0.2">
      <c r="A42">
        <v>14</v>
      </c>
      <c r="B42">
        <v>2</v>
      </c>
      <c r="C42" t="str">
        <f>IFERROR('PAR · Evaluación 2'!J24,"")</f>
        <v/>
      </c>
      <c r="D42" t="str">
        <f>IFERROR('PAR · Evaluación 2'!K24,"")</f>
        <v/>
      </c>
    </row>
    <row r="43" spans="1:4" x14ac:dyDescent="0.2">
      <c r="A43">
        <v>14</v>
      </c>
      <c r="B43">
        <v>3</v>
      </c>
      <c r="C43" t="str">
        <f>IFERROR('PAR · Evaluación 3'!G24,"")</f>
        <v/>
      </c>
      <c r="D43" t="str">
        <f>IFERROR('PAR · Evaluación 3'!H24,"")</f>
        <v/>
      </c>
    </row>
    <row r="44" spans="1:4" x14ac:dyDescent="0.2">
      <c r="A44">
        <v>15</v>
      </c>
      <c r="B44">
        <v>1</v>
      </c>
      <c r="C44" t="str">
        <f>IFERROR('PAR · Evaluación 1'!H25,"")</f>
        <v/>
      </c>
      <c r="D44" t="str">
        <f>IFERROR('PAR · Evaluación 1'!I25,"")</f>
        <v/>
      </c>
    </row>
    <row r="45" spans="1:4" x14ac:dyDescent="0.2">
      <c r="A45">
        <v>15</v>
      </c>
      <c r="B45">
        <v>2</v>
      </c>
      <c r="C45" t="str">
        <f>IFERROR('PAR · Evaluación 2'!J25,"")</f>
        <v/>
      </c>
      <c r="D45" t="str">
        <f>IFERROR('PAR · Evaluación 2'!K25,"")</f>
        <v/>
      </c>
    </row>
    <row r="46" spans="1:4" x14ac:dyDescent="0.2">
      <c r="A46">
        <v>15</v>
      </c>
      <c r="B46">
        <v>3</v>
      </c>
      <c r="C46" t="str">
        <f>IFERROR('PAR · Evaluación 3'!G25,"")</f>
        <v/>
      </c>
      <c r="D46" t="str">
        <f>IFERROR('PAR · Evaluación 3'!H25,"")</f>
        <v/>
      </c>
    </row>
    <row r="47" spans="1:4" x14ac:dyDescent="0.2">
      <c r="A47">
        <v>16</v>
      </c>
      <c r="B47">
        <v>1</v>
      </c>
      <c r="C47" t="str">
        <f>IFERROR('PAR · Evaluación 1'!H26,"")</f>
        <v/>
      </c>
      <c r="D47" t="str">
        <f>IFERROR('PAR · Evaluación 1'!I26,"")</f>
        <v/>
      </c>
    </row>
    <row r="48" spans="1:4" x14ac:dyDescent="0.2">
      <c r="A48">
        <v>16</v>
      </c>
      <c r="B48">
        <v>2</v>
      </c>
      <c r="C48" t="str">
        <f>IFERROR('PAR · Evaluación 2'!J26,"")</f>
        <v/>
      </c>
      <c r="D48" t="str">
        <f>IFERROR('PAR · Evaluación 2'!K26,"")</f>
        <v/>
      </c>
    </row>
    <row r="49" spans="1:4" x14ac:dyDescent="0.2">
      <c r="A49">
        <v>16</v>
      </c>
      <c r="B49">
        <v>3</v>
      </c>
      <c r="C49" t="str">
        <f>IFERROR('PAR · Evaluación 3'!G26,"")</f>
        <v/>
      </c>
      <c r="D49" t="str">
        <f>IFERROR('PAR · Evaluación 3'!H26,"")</f>
        <v/>
      </c>
    </row>
    <row r="50" spans="1:4" x14ac:dyDescent="0.2">
      <c r="A50">
        <v>17</v>
      </c>
      <c r="B50">
        <v>1</v>
      </c>
      <c r="C50" t="str">
        <f>IFERROR('PAR · Evaluación 1'!H27,"")</f>
        <v/>
      </c>
      <c r="D50" t="str">
        <f>IFERROR('PAR · Evaluación 1'!I27,"")</f>
        <v/>
      </c>
    </row>
    <row r="51" spans="1:4" x14ac:dyDescent="0.2">
      <c r="A51">
        <v>17</v>
      </c>
      <c r="B51">
        <v>2</v>
      </c>
      <c r="C51" t="str">
        <f>IFERROR('PAR · Evaluación 2'!J27,"")</f>
        <v/>
      </c>
      <c r="D51" t="str">
        <f>IFERROR('PAR · Evaluación 2'!K27,"")</f>
        <v/>
      </c>
    </row>
    <row r="52" spans="1:4" x14ac:dyDescent="0.2">
      <c r="A52">
        <v>17</v>
      </c>
      <c r="B52">
        <v>3</v>
      </c>
      <c r="C52" t="str">
        <f>IFERROR('PAR · Evaluación 3'!G27,"")</f>
        <v/>
      </c>
      <c r="D52" t="str">
        <f>IFERROR('PAR · Evaluación 3'!H27,"")</f>
        <v/>
      </c>
    </row>
    <row r="53" spans="1:4" x14ac:dyDescent="0.2">
      <c r="A53">
        <v>18</v>
      </c>
      <c r="B53">
        <v>1</v>
      </c>
      <c r="C53" t="str">
        <f>IFERROR('PAR · Evaluación 1'!H28,"")</f>
        <v/>
      </c>
      <c r="D53" t="str">
        <f>IFERROR('PAR · Evaluación 1'!I28,"")</f>
        <v/>
      </c>
    </row>
    <row r="54" spans="1:4" x14ac:dyDescent="0.2">
      <c r="A54">
        <v>18</v>
      </c>
      <c r="B54">
        <v>2</v>
      </c>
      <c r="C54" t="str">
        <f>IFERROR('PAR · Evaluación 2'!J28,"")</f>
        <v/>
      </c>
      <c r="D54" t="str">
        <f>IFERROR('PAR · Evaluación 2'!K28,"")</f>
        <v/>
      </c>
    </row>
    <row r="55" spans="1:4" x14ac:dyDescent="0.2">
      <c r="A55">
        <v>18</v>
      </c>
      <c r="B55">
        <v>3</v>
      </c>
      <c r="C55" t="str">
        <f>IFERROR('PAR · Evaluación 3'!G28,"")</f>
        <v/>
      </c>
      <c r="D55" t="str">
        <f>IFERROR('PAR · Evaluación 3'!H28,"")</f>
        <v/>
      </c>
    </row>
    <row r="56" spans="1:4" x14ac:dyDescent="0.2">
      <c r="A56">
        <v>19</v>
      </c>
      <c r="B56">
        <v>1</v>
      </c>
      <c r="C56" t="str">
        <f>IFERROR('PAR · Evaluación 1'!H29,"")</f>
        <v/>
      </c>
      <c r="D56" t="str">
        <f>IFERROR('PAR · Evaluación 1'!I29,"")</f>
        <v/>
      </c>
    </row>
    <row r="57" spans="1:4" x14ac:dyDescent="0.2">
      <c r="A57">
        <v>19</v>
      </c>
      <c r="B57">
        <v>2</v>
      </c>
      <c r="C57" t="str">
        <f>IFERROR('PAR · Evaluación 2'!J29,"")</f>
        <v/>
      </c>
      <c r="D57" t="str">
        <f>IFERROR('PAR · Evaluación 2'!K29,"")</f>
        <v/>
      </c>
    </row>
    <row r="58" spans="1:4" x14ac:dyDescent="0.2">
      <c r="A58">
        <v>19</v>
      </c>
      <c r="B58">
        <v>3</v>
      </c>
      <c r="C58" t="str">
        <f>IFERROR('PAR · Evaluación 3'!G29,"")</f>
        <v/>
      </c>
      <c r="D58" t="str">
        <f>IFERROR('PAR · Evaluación 3'!H29,"")</f>
        <v/>
      </c>
    </row>
    <row r="59" spans="1:4" x14ac:dyDescent="0.2">
      <c r="A59">
        <v>20</v>
      </c>
      <c r="B59">
        <v>1</v>
      </c>
      <c r="C59" t="str">
        <f>IFERROR('PAR · Evaluación 1'!H30,"")</f>
        <v/>
      </c>
      <c r="D59" t="str">
        <f>IFERROR('PAR · Evaluación 1'!I30,"")</f>
        <v/>
      </c>
    </row>
    <row r="60" spans="1:4" x14ac:dyDescent="0.2">
      <c r="A60">
        <v>20</v>
      </c>
      <c r="B60">
        <v>2</v>
      </c>
      <c r="C60" t="str">
        <f>IFERROR('PAR · Evaluación 2'!J30,"")</f>
        <v/>
      </c>
      <c r="D60" t="str">
        <f>IFERROR('PAR · Evaluación 2'!K30,"")</f>
        <v/>
      </c>
    </row>
    <row r="61" spans="1:4" x14ac:dyDescent="0.2">
      <c r="A61">
        <v>20</v>
      </c>
      <c r="B61">
        <v>3</v>
      </c>
      <c r="C61" t="str">
        <f>IFERROR('PAR · Evaluación 3'!G30,"")</f>
        <v/>
      </c>
      <c r="D61" t="str">
        <f>IFERROR('PAR · Evaluación 3'!H30,"")</f>
        <v/>
      </c>
    </row>
    <row r="62" spans="1:4" x14ac:dyDescent="0.2">
      <c r="A62">
        <v>21</v>
      </c>
      <c r="B62">
        <v>1</v>
      </c>
      <c r="C62" t="str">
        <f>IFERROR('PAR · Evaluación 1'!H31,"")</f>
        <v/>
      </c>
      <c r="D62" t="str">
        <f>IFERROR('PAR · Evaluación 1'!I31,"")</f>
        <v/>
      </c>
    </row>
    <row r="63" spans="1:4" x14ac:dyDescent="0.2">
      <c r="A63">
        <v>21</v>
      </c>
      <c r="B63">
        <v>2</v>
      </c>
      <c r="C63" t="str">
        <f>IFERROR('PAR · Evaluación 2'!J31,"")</f>
        <v/>
      </c>
      <c r="D63" t="str">
        <f>IFERROR('PAR · Evaluación 2'!K31,"")</f>
        <v/>
      </c>
    </row>
    <row r="64" spans="1:4" x14ac:dyDescent="0.2">
      <c r="A64">
        <v>21</v>
      </c>
      <c r="B64">
        <v>3</v>
      </c>
      <c r="C64" t="str">
        <f>IFERROR('PAR · Evaluación 3'!G31,"")</f>
        <v/>
      </c>
      <c r="D64" t="str">
        <f>IFERROR('PAR · Evaluación 3'!H31,"")</f>
        <v/>
      </c>
    </row>
    <row r="65" spans="1:4" x14ac:dyDescent="0.2">
      <c r="A65">
        <v>22</v>
      </c>
      <c r="B65">
        <v>1</v>
      </c>
      <c r="C65" t="str">
        <f>IFERROR('PAR · Evaluación 1'!H32,"")</f>
        <v/>
      </c>
      <c r="D65" t="str">
        <f>IFERROR('PAR · Evaluación 1'!I32,"")</f>
        <v/>
      </c>
    </row>
    <row r="66" spans="1:4" x14ac:dyDescent="0.2">
      <c r="A66">
        <v>22</v>
      </c>
      <c r="B66">
        <v>2</v>
      </c>
      <c r="C66" t="str">
        <f>IFERROR('PAR · Evaluación 2'!J32,"")</f>
        <v/>
      </c>
      <c r="D66" t="str">
        <f>IFERROR('PAR · Evaluación 2'!K32,"")</f>
        <v/>
      </c>
    </row>
    <row r="67" spans="1:4" x14ac:dyDescent="0.2">
      <c r="A67">
        <v>22</v>
      </c>
      <c r="B67">
        <v>3</v>
      </c>
      <c r="C67" t="str">
        <f>IFERROR('PAR · Evaluación 3'!G32,"")</f>
        <v/>
      </c>
      <c r="D67" t="str">
        <f>IFERROR('PAR · Evaluación 3'!H32,"")</f>
        <v/>
      </c>
    </row>
    <row r="68" spans="1:4" x14ac:dyDescent="0.2">
      <c r="A68">
        <v>23</v>
      </c>
      <c r="B68">
        <v>1</v>
      </c>
      <c r="C68" t="str">
        <f>IFERROR('PAR · Evaluación 1'!H33,"")</f>
        <v/>
      </c>
      <c r="D68" t="str">
        <f>IFERROR('PAR · Evaluación 1'!I33,"")</f>
        <v/>
      </c>
    </row>
    <row r="69" spans="1:4" x14ac:dyDescent="0.2">
      <c r="A69">
        <v>23</v>
      </c>
      <c r="B69">
        <v>2</v>
      </c>
      <c r="C69" t="str">
        <f>IFERROR('PAR · Evaluación 2'!J33,"")</f>
        <v/>
      </c>
      <c r="D69" t="str">
        <f>IFERROR('PAR · Evaluación 2'!K33,"")</f>
        <v/>
      </c>
    </row>
    <row r="70" spans="1:4" x14ac:dyDescent="0.2">
      <c r="A70">
        <v>23</v>
      </c>
      <c r="B70">
        <v>3</v>
      </c>
      <c r="C70" t="str">
        <f>IFERROR('PAR · Evaluación 3'!G33,"")</f>
        <v/>
      </c>
      <c r="D70" t="str">
        <f>IFERROR('PAR · Evaluación 3'!H33,"")</f>
        <v/>
      </c>
    </row>
    <row r="71" spans="1:4" x14ac:dyDescent="0.2">
      <c r="A71">
        <v>24</v>
      </c>
      <c r="B71">
        <v>1</v>
      </c>
      <c r="C71" t="str">
        <f>IFERROR('PAR · Evaluación 1'!H34,"")</f>
        <v/>
      </c>
      <c r="D71" t="str">
        <f>IFERROR('PAR · Evaluación 1'!I34,"")</f>
        <v/>
      </c>
    </row>
    <row r="72" spans="1:4" x14ac:dyDescent="0.2">
      <c r="A72">
        <v>24</v>
      </c>
      <c r="B72">
        <v>2</v>
      </c>
      <c r="C72" t="str">
        <f>IFERROR('PAR · Evaluación 2'!J34,"")</f>
        <v/>
      </c>
      <c r="D72" t="str">
        <f>IFERROR('PAR · Evaluación 2'!K34,"")</f>
        <v/>
      </c>
    </row>
    <row r="73" spans="1:4" x14ac:dyDescent="0.2">
      <c r="A73">
        <v>24</v>
      </c>
      <c r="B73">
        <v>3</v>
      </c>
      <c r="C73" t="str">
        <f>IFERROR('PAR · Evaluación 3'!G34,"")</f>
        <v/>
      </c>
      <c r="D73" t="str">
        <f>IFERROR('PAR · Evaluación 3'!H34,"")</f>
        <v/>
      </c>
    </row>
    <row r="74" spans="1:4" x14ac:dyDescent="0.2">
      <c r="A74">
        <v>25</v>
      </c>
      <c r="B74">
        <v>1</v>
      </c>
      <c r="C74" t="str">
        <f>IFERROR('PAR · Evaluación 1'!H35,"")</f>
        <v/>
      </c>
      <c r="D74" t="str">
        <f>IFERROR('PAR · Evaluación 1'!I35,"")</f>
        <v/>
      </c>
    </row>
    <row r="75" spans="1:4" x14ac:dyDescent="0.2">
      <c r="A75">
        <v>25</v>
      </c>
      <c r="B75">
        <v>2</v>
      </c>
      <c r="C75" t="str">
        <f>IFERROR('PAR · Evaluación 2'!J35,"")</f>
        <v/>
      </c>
      <c r="D75" t="str">
        <f>IFERROR('PAR · Evaluación 2'!K35,"")</f>
        <v/>
      </c>
    </row>
    <row r="76" spans="1:4" x14ac:dyDescent="0.2">
      <c r="A76">
        <v>25</v>
      </c>
      <c r="B76">
        <v>3</v>
      </c>
      <c r="C76" t="str">
        <f>IFERROR('PAR · Evaluación 3'!G35,"")</f>
        <v/>
      </c>
      <c r="D76" t="str">
        <f>IFERROR('PAR · Evaluación 3'!H35,"")</f>
        <v/>
      </c>
    </row>
    <row r="77" spans="1:4" x14ac:dyDescent="0.2">
      <c r="A77">
        <v>26</v>
      </c>
      <c r="B77">
        <v>1</v>
      </c>
      <c r="C77" t="str">
        <f>IFERROR('PAR · Evaluación 1'!H36,"")</f>
        <v/>
      </c>
      <c r="D77" t="str">
        <f>IFERROR('PAR · Evaluación 1'!I36,"")</f>
        <v/>
      </c>
    </row>
    <row r="78" spans="1:4" x14ac:dyDescent="0.2">
      <c r="A78">
        <v>26</v>
      </c>
      <c r="B78">
        <v>2</v>
      </c>
      <c r="C78" t="str">
        <f>IFERROR('PAR · Evaluación 2'!J36,"")</f>
        <v/>
      </c>
      <c r="D78" t="str">
        <f>IFERROR('PAR · Evaluación 2'!K36,"")</f>
        <v/>
      </c>
    </row>
    <row r="79" spans="1:4" x14ac:dyDescent="0.2">
      <c r="A79">
        <v>26</v>
      </c>
      <c r="B79">
        <v>3</v>
      </c>
      <c r="C79" t="str">
        <f>IFERROR('PAR · Evaluación 3'!G36,"")</f>
        <v/>
      </c>
      <c r="D79" t="str">
        <f>IFERROR('PAR · Evaluación 3'!H36,"")</f>
        <v/>
      </c>
    </row>
    <row r="80" spans="1:4" x14ac:dyDescent="0.2">
      <c r="A80">
        <v>27</v>
      </c>
      <c r="B80">
        <v>1</v>
      </c>
      <c r="C80" t="str">
        <f>IFERROR('PAR · Evaluación 1'!H37,"")</f>
        <v/>
      </c>
      <c r="D80" t="str">
        <f>IFERROR('PAR · Evaluación 1'!I37,"")</f>
        <v/>
      </c>
    </row>
    <row r="81" spans="1:4" x14ac:dyDescent="0.2">
      <c r="A81">
        <v>27</v>
      </c>
      <c r="B81">
        <v>2</v>
      </c>
      <c r="C81" t="str">
        <f>IFERROR('PAR · Evaluación 2'!J37,"")</f>
        <v/>
      </c>
      <c r="D81" t="str">
        <f>IFERROR('PAR · Evaluación 2'!K37,"")</f>
        <v/>
      </c>
    </row>
    <row r="82" spans="1:4" x14ac:dyDescent="0.2">
      <c r="A82">
        <v>27</v>
      </c>
      <c r="B82">
        <v>3</v>
      </c>
      <c r="C82" t="str">
        <f>IFERROR('PAR · Evaluación 3'!G37,"")</f>
        <v/>
      </c>
      <c r="D82" t="str">
        <f>IFERROR('PAR · Evaluación 3'!H37,"")</f>
        <v/>
      </c>
    </row>
    <row r="83" spans="1:4" x14ac:dyDescent="0.2">
      <c r="A83">
        <v>28</v>
      </c>
      <c r="B83">
        <v>1</v>
      </c>
      <c r="C83" t="str">
        <f>IFERROR('PAR · Evaluación 1'!H38,"")</f>
        <v/>
      </c>
      <c r="D83" t="str">
        <f>IFERROR('PAR · Evaluación 1'!I38,"")</f>
        <v/>
      </c>
    </row>
    <row r="84" spans="1:4" x14ac:dyDescent="0.2">
      <c r="A84">
        <v>28</v>
      </c>
      <c r="B84">
        <v>2</v>
      </c>
      <c r="C84" t="str">
        <f>IFERROR('PAR · Evaluación 2'!J38,"")</f>
        <v/>
      </c>
      <c r="D84" t="str">
        <f>IFERROR('PAR · Evaluación 2'!K38,"")</f>
        <v/>
      </c>
    </row>
    <row r="85" spans="1:4" x14ac:dyDescent="0.2">
      <c r="A85">
        <v>28</v>
      </c>
      <c r="B85">
        <v>3</v>
      </c>
      <c r="C85" t="str">
        <f>IFERROR('PAR · Evaluación 3'!G38,"")</f>
        <v/>
      </c>
      <c r="D85" t="str">
        <f>IFERROR('PAR · Evaluación 3'!H38,"")</f>
        <v/>
      </c>
    </row>
    <row r="86" spans="1:4" x14ac:dyDescent="0.2">
      <c r="A86">
        <v>29</v>
      </c>
      <c r="B86">
        <v>1</v>
      </c>
      <c r="C86" t="str">
        <f>IFERROR('PAR · Evaluación 1'!H39,"")</f>
        <v/>
      </c>
      <c r="D86" t="str">
        <f>IFERROR('PAR · Evaluación 1'!I39,"")</f>
        <v/>
      </c>
    </row>
    <row r="87" spans="1:4" x14ac:dyDescent="0.2">
      <c r="A87">
        <v>29</v>
      </c>
      <c r="B87">
        <v>2</v>
      </c>
      <c r="C87" t="str">
        <f>IFERROR('PAR · Evaluación 2'!J39,"")</f>
        <v/>
      </c>
      <c r="D87" t="str">
        <f>IFERROR('PAR · Evaluación 2'!K39,"")</f>
        <v/>
      </c>
    </row>
    <row r="88" spans="1:4" x14ac:dyDescent="0.2">
      <c r="A88">
        <v>29</v>
      </c>
      <c r="B88">
        <v>3</v>
      </c>
      <c r="C88" t="str">
        <f>IFERROR('PAR · Evaluación 3'!G39,"")</f>
        <v/>
      </c>
      <c r="D88" t="str">
        <f>IFERROR('PAR · Evaluación 3'!H39,"")</f>
        <v/>
      </c>
    </row>
    <row r="89" spans="1:4" x14ac:dyDescent="0.2">
      <c r="A89">
        <v>30</v>
      </c>
      <c r="B89">
        <v>1</v>
      </c>
      <c r="C89" t="str">
        <f>IFERROR('PAR · Evaluación 1'!H40,"")</f>
        <v/>
      </c>
      <c r="D89" t="str">
        <f>IFERROR('PAR · Evaluación 1'!I40,"")</f>
        <v/>
      </c>
    </row>
    <row r="90" spans="1:4" x14ac:dyDescent="0.2">
      <c r="A90">
        <v>30</v>
      </c>
      <c r="B90">
        <v>2</v>
      </c>
      <c r="C90" t="str">
        <f>IFERROR('PAR · Evaluación 2'!J40,"")</f>
        <v/>
      </c>
      <c r="D90" t="str">
        <f>IFERROR('PAR · Evaluación 2'!K40,"")</f>
        <v/>
      </c>
    </row>
    <row r="91" spans="1:4" x14ac:dyDescent="0.2">
      <c r="A91">
        <v>30</v>
      </c>
      <c r="B91">
        <v>3</v>
      </c>
      <c r="C91" t="str">
        <f>IFERROR('PAR · Evaluación 3'!G40,"")</f>
        <v/>
      </c>
      <c r="D91" t="str">
        <f>IFERROR('PAR · Evaluación 3'!H40,"")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54</vt:i4>
      </vt:variant>
      <vt:variant>
        <vt:lpstr>Rangos con nombre</vt:lpstr>
      </vt:variant>
      <vt:variant>
        <vt:i4>6</vt:i4>
      </vt:variant>
    </vt:vector>
  </HeadingPairs>
  <TitlesOfParts>
    <vt:vector size="60" baseType="lpstr">
      <vt:lpstr>Inicio</vt:lpstr>
      <vt:lpstr>Mis Módulos</vt:lpstr>
      <vt:lpstr>Configuración</vt:lpstr>
      <vt:lpstr>Biblioteca</vt:lpstr>
      <vt:lpstr>Calendario</vt:lpstr>
      <vt:lpstr>Hoy</vt:lpstr>
      <vt:lpstr>Dashboard Global</vt:lpstr>
      <vt:lpstr>_IA_Config</vt:lpstr>
      <vt:lpstr>ISO · Programación</vt:lpstr>
      <vt:lpstr>ISO · Alumnos</vt:lpstr>
      <vt:lpstr>ISO · Actividades</vt:lpstr>
      <vt:lpstr>ISO · Reg. Notas</vt:lpstr>
      <vt:lpstr>ISO · Resumen</vt:lpstr>
      <vt:lpstr>ISO · Evaluación 1</vt:lpstr>
      <vt:lpstr>ISO · Evaluación 2</vt:lpstr>
      <vt:lpstr>ISO · Evaluación 3</vt:lpstr>
      <vt:lpstr>ISO · 1ªORD</vt:lpstr>
      <vt:lpstr>ISO · 2ªORD</vt:lpstr>
      <vt:lpstr>ISO · Rúbricas</vt:lpstr>
      <vt:lpstr>ISO · Informe Grupo</vt:lpstr>
      <vt:lpstr>ISO · Boletín</vt:lpstr>
      <vt:lpstr>ISO · Dashboard</vt:lpstr>
      <vt:lpstr>ISO · _UTs</vt:lpstr>
      <vt:lpstr>ISO · _RAs</vt:lpstr>
      <vt:lpstr>ISO · _CEs</vt:lpstr>
      <vt:lpstr>ISO · _Asignaciones</vt:lpstr>
      <vt:lpstr>ISO · _Actividades</vt:lpstr>
      <vt:lpstr>ISO · _Alumnos</vt:lpstr>
      <vt:lpstr>ISO · _Grupos</vt:lpstr>
      <vt:lpstr>ISO · _Notas_Actividades</vt:lpstr>
      <vt:lpstr>ISO · _Evaluaciones</vt:lpstr>
      <vt:lpstr>PAR · Programación</vt:lpstr>
      <vt:lpstr>PAR · Alumnos</vt:lpstr>
      <vt:lpstr>PAR · Actividades</vt:lpstr>
      <vt:lpstr>PAR · Reg. Notas</vt:lpstr>
      <vt:lpstr>PAR · Resumen</vt:lpstr>
      <vt:lpstr>PAR · Evaluación 1</vt:lpstr>
      <vt:lpstr>PAR · Evaluación 2</vt:lpstr>
      <vt:lpstr>PAR · Evaluación 3</vt:lpstr>
      <vt:lpstr>PAR · 1ªORD</vt:lpstr>
      <vt:lpstr>PAR · 2ªORD</vt:lpstr>
      <vt:lpstr>PAR · Rúbricas</vt:lpstr>
      <vt:lpstr>PAR · Informe Grupo</vt:lpstr>
      <vt:lpstr>PAR · Boletín</vt:lpstr>
      <vt:lpstr>PAR · Dashboard</vt:lpstr>
      <vt:lpstr>PAR · _UTs</vt:lpstr>
      <vt:lpstr>PAR · _RAs</vt:lpstr>
      <vt:lpstr>PAR · _CEs</vt:lpstr>
      <vt:lpstr>PAR · _Asignaciones</vt:lpstr>
      <vt:lpstr>PAR · _Actividades</vt:lpstr>
      <vt:lpstr>PAR · _Alumnos</vt:lpstr>
      <vt:lpstr>PAR · _Grupos</vt:lpstr>
      <vt:lpstr>PAR · _Notas_Actividades</vt:lpstr>
      <vt:lpstr>PAR · _Evaluaciones</vt:lpstr>
      <vt:lpstr>'ISO · Boletín'!Área_de_impresión</vt:lpstr>
      <vt:lpstr>'ISO · Informe Grupo'!Área_de_impresión</vt:lpstr>
      <vt:lpstr>'PAR · Boletín'!Área_de_impresión</vt:lpstr>
      <vt:lpstr>'PAR · Informe Grupo'!Área_de_impresión</vt:lpstr>
      <vt:lpstr>PESO_EXAMEN</vt:lpstr>
      <vt:lpstr>PESO_PRACTICA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Isabel López Gómez</cp:lastModifiedBy>
  <dcterms:created xsi:type="dcterms:W3CDTF">2026-06-29T17:27:18Z</dcterms:created>
  <dcterms:modified xsi:type="dcterms:W3CDTF">2026-06-29T17:31:33Z</dcterms:modified>
</cp:coreProperties>
</file>