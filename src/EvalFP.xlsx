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Mis Módulos" sheetId="2" state="visible" r:id="rId2"/>
    <sheet xmlns:r="http://schemas.openxmlformats.org/officeDocument/2006/relationships" name="Configuración" sheetId="3" state="visible" r:id="rId3"/>
    <sheet xmlns:r="http://schemas.openxmlformats.org/officeDocument/2006/relationships" name="Biblioteca" sheetId="4" state="visible" r:id="rId4"/>
    <sheet xmlns:r="http://schemas.openxmlformats.org/officeDocument/2006/relationships" name="Calendario" sheetId="5" state="visible" r:id="rId5"/>
    <sheet xmlns:r="http://schemas.openxmlformats.org/officeDocument/2006/relationships" name="Hoy" sheetId="6" state="visible" r:id="rId6"/>
    <sheet xmlns:r="http://schemas.openxmlformats.org/officeDocument/2006/relationships" name="Dashboard Global" sheetId="7" state="visible" r:id="rId7"/>
    <sheet xmlns:r="http://schemas.openxmlformats.org/officeDocument/2006/relationships" name="_IA_Config" sheetId="8" state="hidden" r:id="rId8"/>
    <sheet xmlns:r="http://schemas.openxmlformats.org/officeDocument/2006/relationships" name="ISO · Programación" sheetId="9" state="visible" r:id="rId9"/>
    <sheet xmlns:r="http://schemas.openxmlformats.org/officeDocument/2006/relationships" name="ISO · Alumnos" sheetId="10" state="visible" r:id="rId10"/>
    <sheet xmlns:r="http://schemas.openxmlformats.org/officeDocument/2006/relationships" name="ISO · Actividades" sheetId="11" state="visible" r:id="rId11"/>
    <sheet xmlns:r="http://schemas.openxmlformats.org/officeDocument/2006/relationships" name="ISO · Reg. Notas" sheetId="12" state="visible" r:id="rId12"/>
    <sheet xmlns:r="http://schemas.openxmlformats.org/officeDocument/2006/relationships" name="ISO · Resumen" sheetId="13" state="visible" r:id="rId13"/>
    <sheet xmlns:r="http://schemas.openxmlformats.org/officeDocument/2006/relationships" name="ISO · Evaluación 1" sheetId="14" state="visible" r:id="rId14"/>
    <sheet xmlns:r="http://schemas.openxmlformats.org/officeDocument/2006/relationships" name="ISO · Evaluación 2" sheetId="15" state="visible" r:id="rId15"/>
    <sheet xmlns:r="http://schemas.openxmlformats.org/officeDocument/2006/relationships" name="ISO · Evaluación 3" sheetId="16" state="visible" r:id="rId16"/>
    <sheet xmlns:r="http://schemas.openxmlformats.org/officeDocument/2006/relationships" name="ISO · 1ªORD" sheetId="17" state="visible" r:id="rId17"/>
    <sheet xmlns:r="http://schemas.openxmlformats.org/officeDocument/2006/relationships" name="ISO · 2ªORD" sheetId="18" state="visible" r:id="rId18"/>
    <sheet xmlns:r="http://schemas.openxmlformats.org/officeDocument/2006/relationships" name="ISO · Rúbricas" sheetId="19" state="visible" r:id="rId19"/>
    <sheet xmlns:r="http://schemas.openxmlformats.org/officeDocument/2006/relationships" name="ISO · Informe Grupo" sheetId="20" state="visible" r:id="rId20"/>
    <sheet xmlns:r="http://schemas.openxmlformats.org/officeDocument/2006/relationships" name="ISO · Boletín" sheetId="21" state="visible" r:id="rId21"/>
    <sheet xmlns:r="http://schemas.openxmlformats.org/officeDocument/2006/relationships" name="ISO · Dashboard" sheetId="22" state="visible" r:id="rId22"/>
    <sheet xmlns:r="http://schemas.openxmlformats.org/officeDocument/2006/relationships" name="ISO · _UTs" sheetId="23" state="hidden" r:id="rId23"/>
    <sheet xmlns:r="http://schemas.openxmlformats.org/officeDocument/2006/relationships" name="ISO · _RAs" sheetId="24" state="hidden" r:id="rId24"/>
    <sheet xmlns:r="http://schemas.openxmlformats.org/officeDocument/2006/relationships" name="ISO · _CEs" sheetId="25" state="hidden" r:id="rId25"/>
    <sheet xmlns:r="http://schemas.openxmlformats.org/officeDocument/2006/relationships" name="ISO · _Asignaciones" sheetId="26" state="hidden" r:id="rId26"/>
    <sheet xmlns:r="http://schemas.openxmlformats.org/officeDocument/2006/relationships" name="ISO · _Actividades" sheetId="27" state="hidden" r:id="rId27"/>
    <sheet xmlns:r="http://schemas.openxmlformats.org/officeDocument/2006/relationships" name="ISO · _Alumnos" sheetId="28" state="hidden" r:id="rId28"/>
    <sheet xmlns:r="http://schemas.openxmlformats.org/officeDocument/2006/relationships" name="ISO · _Grupos" sheetId="29" state="hidden" r:id="rId29"/>
    <sheet xmlns:r="http://schemas.openxmlformats.org/officeDocument/2006/relationships" name="ISO · _Notas_Actividades" sheetId="30" state="hidden" r:id="rId30"/>
    <sheet xmlns:r="http://schemas.openxmlformats.org/officeDocument/2006/relationships" name="ISO · _Evaluaciones" sheetId="31" state="hidden" r:id="rId31"/>
    <sheet xmlns:r="http://schemas.openxmlformats.org/officeDocument/2006/relationships" name="PAR · Programación" sheetId="32" state="visible" r:id="rId32"/>
    <sheet xmlns:r="http://schemas.openxmlformats.org/officeDocument/2006/relationships" name="PAR · Alumnos" sheetId="33" state="visible" r:id="rId33"/>
    <sheet xmlns:r="http://schemas.openxmlformats.org/officeDocument/2006/relationships" name="PAR · Actividades" sheetId="34" state="visible" r:id="rId34"/>
    <sheet xmlns:r="http://schemas.openxmlformats.org/officeDocument/2006/relationships" name="PAR · Reg. Notas" sheetId="35" state="visible" r:id="rId35"/>
    <sheet xmlns:r="http://schemas.openxmlformats.org/officeDocument/2006/relationships" name="PAR · Resumen" sheetId="36" state="visible" r:id="rId36"/>
    <sheet xmlns:r="http://schemas.openxmlformats.org/officeDocument/2006/relationships" name="PAR · Evaluación 1" sheetId="37" state="visible" r:id="rId37"/>
    <sheet xmlns:r="http://schemas.openxmlformats.org/officeDocument/2006/relationships" name="PAR · Evaluación 2" sheetId="38" state="visible" r:id="rId38"/>
    <sheet xmlns:r="http://schemas.openxmlformats.org/officeDocument/2006/relationships" name="PAR · Evaluación 3" sheetId="39" state="visible" r:id="rId39"/>
    <sheet xmlns:r="http://schemas.openxmlformats.org/officeDocument/2006/relationships" name="PAR · 1ªORD" sheetId="40" state="visible" r:id="rId40"/>
    <sheet xmlns:r="http://schemas.openxmlformats.org/officeDocument/2006/relationships" name="PAR · 2ªORD" sheetId="41" state="visible" r:id="rId41"/>
    <sheet xmlns:r="http://schemas.openxmlformats.org/officeDocument/2006/relationships" name="PAR · Rúbricas" sheetId="42" state="visible" r:id="rId42"/>
    <sheet xmlns:r="http://schemas.openxmlformats.org/officeDocument/2006/relationships" name="PAR · Informe Grupo" sheetId="43" state="visible" r:id="rId43"/>
    <sheet xmlns:r="http://schemas.openxmlformats.org/officeDocument/2006/relationships" name="PAR · Boletín" sheetId="44" state="visible" r:id="rId44"/>
    <sheet xmlns:r="http://schemas.openxmlformats.org/officeDocument/2006/relationships" name="PAR · Dashboard" sheetId="45" state="visible" r:id="rId45"/>
    <sheet xmlns:r="http://schemas.openxmlformats.org/officeDocument/2006/relationships" name="PAR · _UTs" sheetId="46" state="hidden" r:id="rId46"/>
    <sheet xmlns:r="http://schemas.openxmlformats.org/officeDocument/2006/relationships" name="PAR · _RAs" sheetId="47" state="hidden" r:id="rId47"/>
    <sheet xmlns:r="http://schemas.openxmlformats.org/officeDocument/2006/relationships" name="PAR · _CEs" sheetId="48" state="hidden" r:id="rId48"/>
    <sheet xmlns:r="http://schemas.openxmlformats.org/officeDocument/2006/relationships" name="PAR · _Asignaciones" sheetId="49" state="hidden" r:id="rId49"/>
    <sheet xmlns:r="http://schemas.openxmlformats.org/officeDocument/2006/relationships" name="PAR · _Actividades" sheetId="50" state="hidden" r:id="rId50"/>
    <sheet xmlns:r="http://schemas.openxmlformats.org/officeDocument/2006/relationships" name="PAR · _Alumnos" sheetId="51" state="hidden" r:id="rId51"/>
    <sheet xmlns:r="http://schemas.openxmlformats.org/officeDocument/2006/relationships" name="PAR · _Grupos" sheetId="52" state="hidden" r:id="rId52"/>
    <sheet xmlns:r="http://schemas.openxmlformats.org/officeDocument/2006/relationships" name="PAR · _Notas_Actividades" sheetId="53" state="hidden" r:id="rId53"/>
    <sheet xmlns:r="http://schemas.openxmlformats.org/officeDocument/2006/relationships" name="PAR · _Evaluaciones" sheetId="54" state="hidden" r:id="rId54"/>
  </sheets>
  <definedNames>
    <definedName name="PESO_EXAMEN">'Configuración'!$C$26</definedName>
    <definedName name="PESO_PRACTICA">'Configuración'!$C$27</definedName>
    <definedName name="_xlnm.Print_Area" localSheetId="19">'ISO · Informe Grupo'!$A$1:$N$55</definedName>
    <definedName name="_xlnm.Print_Area" localSheetId="20">'ISO · Boletín'!$A$1:$L$30</definedName>
    <definedName name="_xlnm.Print_Area" localSheetId="42">'PAR · Informe Grupo'!$A$1:$L$55</definedName>
    <definedName name="_xlnm.Print_Area" localSheetId="43">'PAR · Boletín'!$A$1:$L$30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5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name val="Calibri"/>
      <i val="1"/>
      <color rgb="FFBDD7EE"/>
      <sz val="10"/>
    </font>
    <font>
      <name val="Calibri"/>
      <b val="1"/>
      <color rgb="FFFFFFFF"/>
      <sz val="9"/>
    </font>
    <font>
      <name val="Calibri"/>
      <color rgb="FFFFFFFF"/>
      <sz val="9"/>
    </font>
    <font>
      <name val="Calibri"/>
      <b val="1"/>
      <color rgb="FF1B3A5C"/>
      <sz val="13"/>
    </font>
    <font>
      <name val="Calibri"/>
      <b val="1"/>
      <color rgb="FF1B3A5C"/>
      <sz val="10"/>
    </font>
    <font>
      <name val="Calibri"/>
      <color rgb="FF595959"/>
      <sz val="10"/>
    </font>
    <font>
      <name val="Calibri"/>
      <b val="1"/>
      <color rgb="FFFFFFFF"/>
      <sz val="10"/>
    </font>
    <font>
      <name val="Calibri"/>
      <color rgb="FF1B3A5C"/>
      <sz val="10"/>
    </font>
    <font>
      <name val="Calibri"/>
      <color rgb="FF4472C4"/>
      <sz val="10"/>
    </font>
    <font>
      <name val="Calibri"/>
      <color rgb="FF70AD47"/>
      <sz val="10"/>
    </font>
    <font>
      <name val="Calibri"/>
      <color rgb="FFE87222"/>
      <sz val="10"/>
    </font>
    <font>
      <name val="Calibri"/>
      <b val="1"/>
      <color rgb="FFFFFFFF"/>
      <sz val="12"/>
    </font>
    <font>
      <name val="Calibri"/>
      <color rgb="FF000000"/>
      <sz val="10"/>
    </font>
    <font>
      <name val="Calibri"/>
      <i val="1"/>
      <color rgb="FF70AD47"/>
      <sz val="9"/>
    </font>
    <font>
      <name val="Calibri"/>
      <b val="1"/>
      <color rgb="FFC00000"/>
      <sz val="10"/>
    </font>
    <font>
      <name val="Calibri"/>
      <b val="1"/>
      <color rgb="FF107C10"/>
      <sz val="10"/>
    </font>
    <font>
      <name val="Calibri"/>
      <i val="1"/>
      <color rgb="FF7F6000"/>
      <sz val="8"/>
    </font>
    <font>
      <name val="Calibri"/>
      <i val="1"/>
      <color rgb="FF7F6000"/>
      <sz val="9"/>
    </font>
    <font>
      <name val="Calibri"/>
      <color rgb="FF2D6A9F"/>
      <sz val="10"/>
    </font>
    <font>
      <name val="Calibri"/>
      <b val="1"/>
      <color rgb="FF107C10"/>
      <sz val="9"/>
    </font>
    <font>
      <name val="Calibri"/>
      <i val="1"/>
      <color rgb="FF595959"/>
      <sz val="8"/>
    </font>
    <font>
      <name val="Calibri"/>
      <color rgb="FF1B3A5C"/>
      <sz val="9"/>
    </font>
    <font>
      <name val="Calibri"/>
      <color rgb="FF595959"/>
      <sz val="9"/>
    </font>
    <font>
      <name val="Calibri"/>
      <i val="1"/>
      <color rgb="FF2563EB"/>
      <sz val="9"/>
    </font>
    <font>
      <name val="Calibri"/>
      <b val="1"/>
      <color rgb="FF1B3A5C"/>
      <sz val="16"/>
    </font>
    <font>
      <name val="Calibri"/>
      <i val="1"/>
      <color rgb="FF595959"/>
      <sz val="11"/>
    </font>
    <font>
      <name val="Calibri"/>
      <b val="1"/>
      <color rgb="FFFFFFFF"/>
      <sz val="8"/>
    </font>
    <font>
      <name val="Calibri"/>
      <b val="1"/>
      <color rgb="FF1B3A5C"/>
      <sz val="9"/>
    </font>
    <font>
      <name val="Calibri"/>
      <color rgb="FF2D6A9F"/>
      <sz val="9"/>
    </font>
    <font>
      <name val="Calibri"/>
      <color rgb="FF107C10"/>
      <sz val="9"/>
    </font>
    <font>
      <name val="Calibri"/>
      <b val="1"/>
      <color rgb="FF595959"/>
      <sz val="10"/>
    </font>
    <font>
      <name val="Calibri"/>
      <b val="1"/>
      <color rgb="FFE87222"/>
      <sz val="10"/>
    </font>
    <font>
      <name val="Calibri"/>
      <color rgb="FF107C10"/>
      <sz val="10"/>
    </font>
    <font>
      <name val="Calibri"/>
      <color rgb="FFC00000"/>
      <sz val="10"/>
    </font>
    <font>
      <name val="Calibri"/>
      <b val="1"/>
      <color rgb="FF2D6A9F"/>
      <sz val="9"/>
    </font>
    <font>
      <name val="Calibri"/>
      <b val="1"/>
      <color rgb="FF1B3A5C"/>
      <sz val="11"/>
    </font>
    <font>
      <name val="Calibri"/>
      <color rgb="FF333333"/>
      <sz val="11"/>
    </font>
    <font>
      <name val="Courier New"/>
      <color rgb="FF2D6A9F"/>
      <sz val="9"/>
    </font>
    <font>
      <name val="Calibri"/>
      <b val="1"/>
      <color rgb="FFFFFFFF"/>
      <sz val="11"/>
    </font>
    <font>
      <name val="Calibri"/>
      <i val="1"/>
      <color rgb="FF595959"/>
      <sz val="9"/>
    </font>
    <font>
      <name val="Calibri"/>
      <b val="1"/>
      <color rgb="FF1F6B3A"/>
      <sz val="9"/>
    </font>
    <font>
      <name val="Calibri"/>
      <b val="1"/>
      <color rgb="FFC00000"/>
      <sz val="9"/>
    </font>
    <font>
      <name val="Calibri"/>
      <b val="1"/>
      <color rgb="FF7F6000"/>
      <sz val="9"/>
    </font>
    <font>
      <name val="Calibri"/>
      <b val="1"/>
      <color rgb="FF595959"/>
      <sz val="9"/>
    </font>
    <font>
      <name val="Calibri"/>
      <i val="1"/>
      <color rgb="FF595959"/>
      <sz val="10"/>
    </font>
    <font>
      <name val="Calibri"/>
      <b val="1"/>
      <color rgb="FF1B3A5C"/>
      <sz val="12"/>
    </font>
    <font>
      <name val="Calibri"/>
      <i val="1"/>
      <color rgb="FF4472C4"/>
      <sz val="8"/>
    </font>
    <font>
      <name val="Calibri"/>
      <i val="1"/>
      <color rgb="FFE87222"/>
      <sz val="8"/>
    </font>
    <font>
      <name val="Calibri"/>
      <i val="1"/>
      <color rgb="FF70AD47"/>
      <sz val="8"/>
    </font>
    <font>
      <name val="Calibri"/>
      <i val="1"/>
      <color rgb="FF2E75B6"/>
      <sz val="8"/>
    </font>
    <font>
      <name val="Calibri"/>
      <i val="1"/>
      <color rgb="FF7030A0"/>
      <sz val="8"/>
    </font>
    <font>
      <name val="Calibri"/>
      <i val="1"/>
      <color rgb="FFC00000"/>
      <sz val="8"/>
    </font>
    <font>
      <name val="Calibri"/>
      <i val="1"/>
      <color rgb="FF375623"/>
      <sz val="8"/>
    </font>
    <font>
      <name val="Calibri"/>
      <i val="1"/>
      <color rgb="FF833C00"/>
      <sz val="8"/>
    </font>
    <font>
      <name val="Calibri"/>
      <color rgb="FF1F6B3A"/>
      <sz val="9"/>
    </font>
    <font>
      <name val="Calibri"/>
      <b val="1"/>
      <color rgb="FF595959"/>
      <sz val="8"/>
    </font>
    <font>
      <name val="Calibri"/>
      <b val="1"/>
      <color rgb="FF1B3A5C"/>
      <sz val="8"/>
    </font>
    <font>
      <name val="Calibri"/>
      <color rgb="FF4472C4"/>
      <sz val="8"/>
    </font>
    <font>
      <name val="Calibri"/>
      <color rgb="FFE87222"/>
      <sz val="8"/>
    </font>
    <font>
      <name val="Calibri"/>
      <color rgb="FF70AD47"/>
      <sz val="8"/>
    </font>
    <font>
      <name val="Calibri"/>
      <color rgb="FF2E75B6"/>
      <sz val="8"/>
    </font>
    <font>
      <name val="Calibri"/>
      <color rgb="FF7030A0"/>
      <sz val="8"/>
    </font>
    <font>
      <name val="Calibri"/>
      <color rgb="FFC00000"/>
      <sz val="8"/>
    </font>
    <font>
      <name val="Calibri"/>
      <color rgb="FF375623"/>
      <sz val="8"/>
    </font>
    <font>
      <name val="Calibri"/>
      <color rgb="FF833C00"/>
      <sz val="8"/>
    </font>
    <font>
      <name val="Calibri"/>
      <color rgb="FFC00000"/>
      <sz val="9"/>
    </font>
    <font>
      <name val="Calibri"/>
      <i val="1"/>
      <color rgb="FF1B3A5C"/>
      <sz val="9"/>
    </font>
    <font>
      <name val="Calibri"/>
      <b val="1"/>
      <color rgb="FFC00000"/>
      <sz val="14"/>
    </font>
    <font>
      <name val="Calibri"/>
      <b val="1"/>
      <color rgb="FF4472C4"/>
      <sz val="9"/>
    </font>
    <font>
      <name val="Calibri"/>
      <b val="1"/>
      <color rgb="FF70AD47"/>
      <sz val="9"/>
    </font>
    <font>
      <name val="Calibri"/>
      <b val="1"/>
      <color rgb="FFE87222"/>
      <sz val="9"/>
    </font>
    <font>
      <name val="Calibri"/>
      <b val="1"/>
      <color rgb="FFFFFFFF"/>
      <sz val="14"/>
    </font>
    <font>
      <name val="Calibri"/>
      <b val="1"/>
      <color rgb="FF1B3A5C"/>
      <sz val="14"/>
    </font>
  </fonts>
  <fills count="3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1B3A5C"/>
      </patternFill>
    </fill>
    <fill>
      <patternFill patternType="solid">
        <fgColor rgb="FFEBF5FE"/>
      </patternFill>
    </fill>
    <fill>
      <patternFill patternType="solid">
        <fgColor rgb="FF2D6A9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E87222"/>
      </patternFill>
    </fill>
    <fill>
      <patternFill patternType="solid">
        <fgColor rgb="FF70AD47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2F2F2"/>
      </patternFill>
    </fill>
    <fill>
      <patternFill patternType="solid">
        <fgColor rgb="FFFDECE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FDE9D7"/>
      </patternFill>
    </fill>
    <fill>
      <patternFill patternType="solid">
        <fgColor rgb="FFD6E8F5"/>
      </patternFill>
    </fill>
    <fill>
      <patternFill patternType="solid">
        <fgColor rgb="FFEAE0F5"/>
      </patternFill>
    </fill>
    <fill>
      <patternFill patternType="solid">
        <fgColor rgb="FFF5DCDC"/>
      </patternFill>
    </fill>
    <fill>
      <patternFill patternType="solid">
        <fgColor rgb="FF107C10"/>
      </patternFill>
    </fill>
    <fill>
      <patternFill patternType="solid">
        <fgColor rgb="FFF9E5D7"/>
      </patternFill>
    </fill>
    <fill>
      <patternFill patternType="solid">
        <fgColor rgb="FFD9D9D9"/>
      </patternFill>
    </fill>
    <fill>
      <patternFill patternType="solid">
        <fgColor rgb="FF1F6B3A"/>
      </patternFill>
    </fill>
    <fill>
      <patternFill patternType="solid">
        <fgColor rgb="FFE8F5E9"/>
      </patternFill>
    </fill>
    <fill>
      <patternFill patternType="solid">
        <fgColor rgb="FFC8E6C9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6B3A"/>
      </left>
      <right style="thin">
        <color rgb="FF1F6B3A"/>
      </right>
      <top style="thin">
        <color rgb="FF1F6B3A"/>
      </top>
      <bottom style="thin">
        <color rgb="FF1F6B3A"/>
      </bottom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</border>
  </borders>
  <cellStyleXfs count="1">
    <xf numFmtId="0" fontId="0" fillId="0" borderId="0"/>
  </cellStyleXfs>
  <cellXfs count="35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5" fillId="0" borderId="0" pivotButton="0" quotePrefix="0" xfId="0"/>
    <xf numFmtId="0" fontId="8" fillId="3" borderId="2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8" fillId="3" borderId="1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15" fillId="0" borderId="0" pivotButton="0" quotePrefix="0" xfId="0"/>
    <xf numFmtId="0" fontId="7" fillId="15" borderId="1" applyAlignment="1" pivotButton="0" quotePrefix="0" xfId="0">
      <alignment horizontal="left" vertical="center"/>
    </xf>
    <xf numFmtId="9" fontId="16" fillId="16" borderId="1" applyAlignment="1" pivotButton="0" quotePrefix="0" xfId="0">
      <alignment horizontal="center" vertical="center"/>
    </xf>
    <xf numFmtId="9" fontId="17" fillId="17" borderId="1" applyAlignment="1" pivotButton="0" quotePrefix="0" xfId="0">
      <alignment horizontal="center" vertical="center"/>
    </xf>
    <xf numFmtId="0" fontId="18" fillId="18" borderId="0" applyAlignment="1" pivotButton="0" quotePrefix="0" xfId="0">
      <alignment horizontal="left" vertical="center" wrapText="1"/>
    </xf>
    <xf numFmtId="0" fontId="19" fillId="18" borderId="0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3" fillId="19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3" fillId="20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0" fontId="24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23" fillId="1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23" fillId="2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23" fillId="2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6" borderId="1" pivotButton="0" quotePrefix="0" xfId="0"/>
    <xf numFmtId="0" fontId="3" fillId="5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164" fontId="23" fillId="4" borderId="1" applyAlignment="1" pivotButton="0" quotePrefix="0" xfId="0">
      <alignment horizontal="center" vertical="center"/>
    </xf>
    <xf numFmtId="164" fontId="23" fillId="6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right" vertical="center"/>
    </xf>
    <xf numFmtId="0" fontId="28" fillId="3" borderId="2" applyAlignment="1" pivotButton="0" quotePrefix="0" xfId="0">
      <alignment horizontal="center" vertical="center"/>
    </xf>
    <xf numFmtId="0" fontId="28" fillId="5" borderId="2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31" fillId="1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28" fillId="24" borderId="2" applyAlignment="1" pivotButton="0" quotePrefix="0" xfId="0">
      <alignment horizontal="center" vertical="center"/>
    </xf>
    <xf numFmtId="0" fontId="28" fillId="12" borderId="2" applyAlignment="1" pivotButton="0" quotePrefix="0" xfId="0">
      <alignment horizontal="center" vertical="center"/>
    </xf>
    <xf numFmtId="0" fontId="28" fillId="8" borderId="2" applyAlignment="1" pivotButton="0" quotePrefix="0" xfId="0">
      <alignment horizontal="center" vertical="center"/>
    </xf>
    <xf numFmtId="0" fontId="32" fillId="6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33" fillId="20" borderId="1" applyAlignment="1" pivotButton="0" quotePrefix="0" xfId="0">
      <alignment horizontal="center" vertical="center"/>
    </xf>
    <xf numFmtId="0" fontId="7" fillId="4" borderId="1" pivotButton="0" quotePrefix="0" xfId="0"/>
    <xf numFmtId="0" fontId="7" fillId="6" borderId="1" pivotButton="0" quotePrefix="0" xfId="0"/>
    <xf numFmtId="0" fontId="3" fillId="24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49" fontId="6" fillId="4" borderId="1" applyAlignment="1" pivotButton="0" quotePrefix="0" xfId="0">
      <alignment horizontal="center" vertical="center"/>
    </xf>
    <xf numFmtId="49" fontId="7" fillId="6" borderId="1" applyAlignment="1" pivotButton="0" quotePrefix="0" xfId="0">
      <alignment horizontal="left" vertical="center"/>
    </xf>
    <xf numFmtId="49" fontId="9" fillId="4" borderId="1" applyAlignment="1" pivotButton="0" quotePrefix="0" xfId="0">
      <alignment horizontal="center" vertical="center"/>
    </xf>
    <xf numFmtId="49" fontId="34" fillId="17" borderId="1" applyAlignment="1" pivotButton="0" quotePrefix="0" xfId="0">
      <alignment horizontal="center" vertical="center"/>
    </xf>
    <xf numFmtId="49" fontId="35" fillId="23" borderId="1" applyAlignment="1" pivotButton="0" quotePrefix="0" xfId="0">
      <alignment horizontal="center" vertical="center"/>
    </xf>
    <xf numFmtId="49" fontId="12" fillId="20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49" fontId="9" fillId="6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7" fillId="17" borderId="2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 vertical="center"/>
    </xf>
    <xf numFmtId="0" fontId="33" fillId="20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29" fillId="0" borderId="1" applyAlignment="1" pivotButton="0" quotePrefix="0" xfId="0">
      <alignment horizontal="left" vertical="center"/>
    </xf>
    <xf numFmtId="0" fontId="36" fillId="4" borderId="1" applyAlignment="1" pivotButton="0" quotePrefix="0" xfId="0">
      <alignment horizontal="center" vertical="center"/>
    </xf>
    <xf numFmtId="0" fontId="27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7" fillId="4" borderId="0" pivotButton="0" quotePrefix="0" xfId="0"/>
    <xf numFmtId="0" fontId="39" fillId="0" borderId="0" pivotButton="0" quotePrefix="0" xfId="0"/>
    <xf numFmtId="0" fontId="40" fillId="3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24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/>
    </xf>
    <xf numFmtId="0" fontId="41" fillId="19" borderId="1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24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/>
    </xf>
    <xf numFmtId="0" fontId="41" fillId="2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/>
    </xf>
    <xf numFmtId="0" fontId="24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/>
    </xf>
    <xf numFmtId="0" fontId="41" fillId="17" borderId="1" applyAlignment="1" pivotButton="0" quotePrefix="0" xfId="0">
      <alignment horizontal="left" vertical="center" wrapText="1"/>
    </xf>
    <xf numFmtId="0" fontId="0" fillId="26" borderId="0" pivotButton="0" quotePrefix="0" xfId="0"/>
    <xf numFmtId="0" fontId="3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24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/>
    </xf>
    <xf numFmtId="0" fontId="41" fillId="21" borderId="1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/>
    </xf>
    <xf numFmtId="0" fontId="24" fillId="22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center" vertical="center"/>
    </xf>
    <xf numFmtId="0" fontId="41" fillId="22" borderId="1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24" fillId="23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center" vertical="center"/>
    </xf>
    <xf numFmtId="0" fontId="41" fillId="23" borderId="1" applyAlignment="1" pivotButton="0" quotePrefix="0" xfId="0">
      <alignment horizontal="left" vertical="center" wrapText="1"/>
    </xf>
    <xf numFmtId="0" fontId="8" fillId="27" borderId="2" applyAlignment="1" pivotButton="0" quotePrefix="0" xfId="0">
      <alignment horizontal="center" vertical="center"/>
    </xf>
    <xf numFmtId="0" fontId="24" fillId="25" borderId="1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center" vertical="center"/>
    </xf>
    <xf numFmtId="0" fontId="41" fillId="25" borderId="1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1" fillId="19" borderId="1" applyAlignment="1" pivotButton="0" quotePrefix="0" xfId="0">
      <alignment horizontal="left" vertical="center"/>
    </xf>
    <xf numFmtId="0" fontId="41" fillId="20" borderId="1" applyAlignment="1" pivotButton="0" quotePrefix="0" xfId="0">
      <alignment horizontal="left" vertical="center"/>
    </xf>
    <xf numFmtId="0" fontId="41" fillId="17" borderId="1" applyAlignment="1" pivotButton="0" quotePrefix="0" xfId="0">
      <alignment horizontal="left" vertical="center"/>
    </xf>
    <xf numFmtId="0" fontId="41" fillId="21" borderId="1" applyAlignment="1" pivotButton="0" quotePrefix="0" xfId="0">
      <alignment horizontal="left" vertical="center"/>
    </xf>
    <xf numFmtId="0" fontId="41" fillId="22" borderId="1" applyAlignment="1" pivotButton="0" quotePrefix="0" xfId="0">
      <alignment horizontal="left" vertical="center"/>
    </xf>
    <xf numFmtId="0" fontId="41" fillId="23" borderId="1" applyAlignment="1" pivotButton="0" quotePrefix="0" xfId="0">
      <alignment horizontal="left" vertical="center"/>
    </xf>
    <xf numFmtId="0" fontId="41" fillId="25" borderId="1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/>
    </xf>
    <xf numFmtId="0" fontId="8" fillId="27" borderId="0" applyAlignment="1" pivotButton="0" quotePrefix="0" xfId="0">
      <alignment horizontal="left" vertical="center"/>
    </xf>
    <xf numFmtId="0" fontId="41" fillId="28" borderId="7" applyAlignment="1" pivotButton="0" quotePrefix="0" xfId="0">
      <alignment horizontal="left" vertical="top" wrapText="1"/>
    </xf>
    <xf numFmtId="0" fontId="42" fillId="28" borderId="0" applyAlignment="1" pivotButton="0" quotePrefix="0" xfId="0">
      <alignment horizontal="left" vertical="center"/>
    </xf>
    <xf numFmtId="0" fontId="29" fillId="0" borderId="0" pivotButton="0" quotePrefix="0" xfId="0"/>
    <xf numFmtId="0" fontId="21" fillId="0" borderId="0" pivotButton="0" quotePrefix="0" xfId="0"/>
    <xf numFmtId="0" fontId="43" fillId="0" borderId="0" pivotButton="0" quotePrefix="0" xfId="0"/>
    <xf numFmtId="0" fontId="44" fillId="0" borderId="0" pivotButton="0" quotePrefix="0" xfId="0"/>
    <xf numFmtId="0" fontId="32" fillId="1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41" fillId="0" borderId="0" pivotButton="0" quotePrefix="0" xfId="0"/>
    <xf numFmtId="0" fontId="8" fillId="3" borderId="2" applyAlignment="1" pivotButton="0" quotePrefix="0" xfId="0">
      <alignment horizontal="center" vertical="center" wrapText="1"/>
    </xf>
    <xf numFmtId="0" fontId="29" fillId="1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2" fillId="15" borderId="0" applyAlignment="1" pivotButton="0" quotePrefix="0" xfId="0">
      <alignment horizontal="left" vertical="center" wrapText="1"/>
    </xf>
    <xf numFmtId="0" fontId="28" fillId="3" borderId="0" applyAlignment="1" pivotButton="0" quotePrefix="0" xfId="0">
      <alignment horizontal="center" vertical="center"/>
    </xf>
    <xf numFmtId="0" fontId="28" fillId="12" borderId="0" applyAlignment="1" pivotButton="0" quotePrefix="0" xfId="0">
      <alignment horizontal="center" vertical="center"/>
    </xf>
    <xf numFmtId="0" fontId="28" fillId="11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 wrapText="1"/>
    </xf>
    <xf numFmtId="0" fontId="45" fillId="15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46" fillId="0" borderId="0" pivotButton="0" quotePrefix="0" xfId="0"/>
    <xf numFmtId="0" fontId="37" fillId="4" borderId="1" applyAlignment="1" pivotButton="0" quotePrefix="0" xfId="0">
      <alignment horizontal="left" vertical="center"/>
    </xf>
    <xf numFmtId="0" fontId="47" fillId="6" borderId="1" applyAlignment="1" pivotButton="0" quotePrefix="0" xfId="0">
      <alignment horizontal="center" vertical="center"/>
    </xf>
    <xf numFmtId="0" fontId="48" fillId="0" borderId="0" pivotButton="0" quotePrefix="0" xfId="0"/>
    <xf numFmtId="0" fontId="49" fillId="0" borderId="0" pivotButton="0" quotePrefix="0" xfId="0"/>
    <xf numFmtId="0" fontId="3" fillId="7" borderId="2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/>
    </xf>
    <xf numFmtId="2" fontId="23" fillId="19" borderId="1" applyAlignment="1" pivotButton="0" quotePrefix="0" xfId="0">
      <alignment horizontal="center" vertical="center"/>
    </xf>
    <xf numFmtId="2" fontId="23" fillId="20" borderId="1" applyAlignment="1" pivotButton="0" quotePrefix="0" xfId="0">
      <alignment horizontal="center" vertical="center"/>
    </xf>
    <xf numFmtId="2" fontId="29" fillId="4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50" fillId="0" borderId="0" pivotButton="0" quotePrefix="0" xfId="0"/>
    <xf numFmtId="0" fontId="51" fillId="0" borderId="0" pivotButton="0" quotePrefix="0" xfId="0"/>
    <xf numFmtId="0" fontId="52" fillId="0" borderId="0" pivotButton="0" quotePrefix="0" xfId="0"/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2" fontId="23" fillId="17" borderId="1" applyAlignment="1" pivotButton="0" quotePrefix="0" xfId="0">
      <alignment horizontal="center" vertical="center"/>
    </xf>
    <xf numFmtId="2" fontId="23" fillId="21" borderId="1" applyAlignment="1" pivotButton="0" quotePrefix="0" xfId="0">
      <alignment horizontal="center" vertical="center"/>
    </xf>
    <xf numFmtId="2" fontId="23" fillId="22" borderId="1" applyAlignment="1" pivotButton="0" quotePrefix="0" xfId="0">
      <alignment horizontal="center" vertical="center"/>
    </xf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3" fillId="27" borderId="2" applyAlignment="1" pivotButton="0" quotePrefix="0" xfId="0">
      <alignment horizontal="center" vertical="center" wrapText="1"/>
    </xf>
    <xf numFmtId="2" fontId="23" fillId="23" borderId="1" applyAlignment="1" pivotButton="0" quotePrefix="0" xfId="0">
      <alignment horizontal="center" vertical="center"/>
    </xf>
    <xf numFmtId="2" fontId="56" fillId="29" borderId="1" applyAlignment="1" pivotButton="0" quotePrefix="0" xfId="0">
      <alignment horizontal="center" vertical="center"/>
    </xf>
    <xf numFmtId="0" fontId="57" fillId="0" borderId="0" pivotButton="0" quotePrefix="0" xfId="0"/>
    <xf numFmtId="0" fontId="28" fillId="7" borderId="0" applyAlignment="1" pivotButton="0" quotePrefix="0" xfId="0">
      <alignment horizontal="center" vertical="center"/>
    </xf>
    <xf numFmtId="0" fontId="28" fillId="9" borderId="0" applyAlignment="1" pivotButton="0" quotePrefix="0" xfId="0">
      <alignment horizontal="center" vertical="center"/>
    </xf>
    <xf numFmtId="0" fontId="58" fillId="0" borderId="0" pivotButton="0" quotePrefix="0" xfId="0"/>
    <xf numFmtId="0" fontId="59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22" fillId="0" borderId="0" pivotButton="0" quotePrefix="0" xfId="0"/>
    <xf numFmtId="0" fontId="8" fillId="12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1" fontId="16" fillId="16" borderId="1" applyAlignment="1" pivotButton="0" quotePrefix="0" xfId="0">
      <alignment horizontal="center" vertical="center"/>
    </xf>
    <xf numFmtId="2" fontId="67" fillId="23" borderId="1" applyAlignment="1" pivotButton="0" quotePrefix="0" xfId="0">
      <alignment horizontal="center" vertical="center"/>
    </xf>
    <xf numFmtId="2" fontId="0" fillId="20" borderId="1" applyAlignment="1" pivotButton="0" quotePrefix="0" xfId="0">
      <alignment horizontal="center" vertical="center"/>
    </xf>
    <xf numFmtId="0" fontId="68" fillId="0" borderId="0" pivotButton="0" quotePrefix="0" xfId="0"/>
    <xf numFmtId="0" fontId="41" fillId="4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22" fillId="16" borderId="1" applyAlignment="1" pivotButton="0" quotePrefix="0" xfId="0">
      <alignment horizontal="left" vertical="top" wrapText="1"/>
    </xf>
    <xf numFmtId="0" fontId="22" fillId="20" borderId="1" applyAlignment="1" pivotButton="0" quotePrefix="0" xfId="0">
      <alignment horizontal="left" vertical="top" wrapText="1"/>
    </xf>
    <xf numFmtId="0" fontId="22" fillId="19" borderId="1" applyAlignment="1" pivotButton="0" quotePrefix="0" xfId="0">
      <alignment horizontal="left" vertical="top" wrapText="1"/>
    </xf>
    <xf numFmtId="0" fontId="22" fillId="17" borderId="1" applyAlignment="1" pivotButton="0" quotePrefix="0" xfId="0">
      <alignment horizontal="left" vertical="top" wrapText="1"/>
    </xf>
    <xf numFmtId="0" fontId="22" fillId="15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left" vertical="center" wrapText="1"/>
    </xf>
    <xf numFmtId="0" fontId="8" fillId="27" borderId="0" applyAlignment="1" pivotButton="0" quotePrefix="0" xfId="0">
      <alignment horizontal="left" vertical="center" wrapText="1"/>
    </xf>
    <xf numFmtId="0" fontId="3" fillId="27" borderId="2" applyAlignment="1" pivotButton="0" quotePrefix="0" xfId="0">
      <alignment horizontal="center" vertical="center"/>
    </xf>
    <xf numFmtId="0" fontId="40" fillId="3" borderId="0" applyAlignment="1" pivotButton="0" quotePrefix="0" xfId="0">
      <alignment horizontal="left" vertical="center"/>
    </xf>
    <xf numFmtId="1" fontId="13" fillId="3" borderId="1" applyAlignment="1" pivotButton="0" quotePrefix="0" xfId="0">
      <alignment horizontal="center" vertical="center"/>
    </xf>
    <xf numFmtId="1" fontId="13" fillId="24" borderId="1" applyAlignment="1" pivotButton="0" quotePrefix="0" xfId="0">
      <alignment horizontal="center" vertical="center"/>
    </xf>
    <xf numFmtId="1" fontId="13" fillId="12" borderId="1" applyAlignment="1" pivotButton="0" quotePrefix="0" xfId="0">
      <alignment horizontal="center" vertical="center"/>
    </xf>
    <xf numFmtId="2" fontId="13" fillId="5" borderId="1" applyAlignment="1" pivotButton="0" quotePrefix="0" xfId="0">
      <alignment horizontal="center" vertical="center"/>
    </xf>
    <xf numFmtId="2" fontId="13" fillId="24" borderId="1" applyAlignment="1" pivotButton="0" quotePrefix="0" xfId="0">
      <alignment horizontal="center" vertical="center"/>
    </xf>
    <xf numFmtId="2" fontId="13" fillId="12" borderId="1" applyAlignment="1" pivotButton="0" quotePrefix="0" xfId="0">
      <alignment horizontal="center" vertical="center"/>
    </xf>
    <xf numFmtId="2" fontId="13" fillId="8" borderId="1" applyAlignment="1" pivotButton="0" quotePrefix="0" xfId="0">
      <alignment horizontal="center" vertical="center"/>
    </xf>
    <xf numFmtId="0" fontId="40" fillId="5" borderId="0" applyAlignment="1" pivotButton="0" quotePrefix="0" xfId="0">
      <alignment horizontal="left" vertical="center"/>
    </xf>
    <xf numFmtId="0" fontId="3" fillId="14" borderId="2" applyAlignment="1" pivotButton="0" quotePrefix="0" xfId="0">
      <alignment horizontal="center" vertical="center" wrapText="1"/>
    </xf>
    <xf numFmtId="2" fontId="37" fillId="19" borderId="1" applyAlignment="1" pivotButton="0" quotePrefix="0" xfId="0">
      <alignment horizontal="center" vertical="center"/>
    </xf>
    <xf numFmtId="2" fontId="37" fillId="20" borderId="1" applyAlignment="1" pivotButton="0" quotePrefix="0" xfId="0">
      <alignment horizontal="center" vertical="center"/>
    </xf>
    <xf numFmtId="2" fontId="37" fillId="17" borderId="1" applyAlignment="1" pivotButton="0" quotePrefix="0" xfId="0">
      <alignment horizontal="center" vertical="center"/>
    </xf>
    <xf numFmtId="2" fontId="37" fillId="21" borderId="1" applyAlignment="1" pivotButton="0" quotePrefix="0" xfId="0">
      <alignment horizontal="center" vertical="center"/>
    </xf>
    <xf numFmtId="2" fontId="37" fillId="22" borderId="1" applyAlignment="1" pivotButton="0" quotePrefix="0" xfId="0">
      <alignment horizontal="center" vertical="center"/>
    </xf>
    <xf numFmtId="2" fontId="37" fillId="23" borderId="1" applyAlignment="1" pivotButton="0" quotePrefix="0" xfId="0">
      <alignment horizontal="center" vertical="center"/>
    </xf>
    <xf numFmtId="2" fontId="37" fillId="25" borderId="1" applyAlignment="1" pivotButton="0" quotePrefix="0" xfId="0">
      <alignment horizontal="center" vertical="center"/>
    </xf>
    <xf numFmtId="2" fontId="23" fillId="25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69" fillId="16" borderId="8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5" fillId="0" borderId="0" pivotButton="0" quotePrefix="0" xfId="0"/>
    <xf numFmtId="0" fontId="23" fillId="0" borderId="0" pivotButton="0" quotePrefix="0" xfId="0"/>
    <xf numFmtId="0" fontId="8" fillId="7" borderId="0" applyAlignment="1" pivotButton="0" quotePrefix="0" xfId="0">
      <alignment horizontal="left" vertical="center"/>
    </xf>
    <xf numFmtId="0" fontId="28" fillId="7" borderId="2" applyAlignment="1" pivotButton="0" quotePrefix="0" xfId="0">
      <alignment horizontal="center" vertical="center"/>
    </xf>
    <xf numFmtId="0" fontId="29" fillId="15" borderId="1" applyAlignment="1" pivotButton="0" quotePrefix="0" xfId="0">
      <alignment horizontal="left" vertical="center"/>
    </xf>
    <xf numFmtId="2" fontId="23" fillId="4" borderId="1" applyAlignment="1" pivotButton="0" quotePrefix="0" xfId="0">
      <alignment horizontal="center" vertical="center"/>
    </xf>
    <xf numFmtId="0" fontId="70" fillId="0" borderId="0" pivotButton="0" quotePrefix="0" xfId="0"/>
    <xf numFmtId="2" fontId="40" fillId="7" borderId="1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0" fontId="28" fillId="9" borderId="2" applyAlignment="1" pivotButton="0" quotePrefix="0" xfId="0">
      <alignment horizontal="center" vertical="center"/>
    </xf>
    <xf numFmtId="0" fontId="71" fillId="0" borderId="0" pivotButton="0" quotePrefix="0" xfId="0"/>
    <xf numFmtId="2" fontId="40" fillId="9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/>
    </xf>
    <xf numFmtId="0" fontId="28" fillId="27" borderId="2" applyAlignment="1" pivotButton="0" quotePrefix="0" xfId="0">
      <alignment horizontal="center" vertical="center"/>
    </xf>
    <xf numFmtId="0" fontId="72" fillId="0" borderId="0" pivotButton="0" quotePrefix="0" xfId="0"/>
    <xf numFmtId="2" fontId="40" fillId="8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28" fillId="7" borderId="2" applyAlignment="1" pivotButton="0" quotePrefix="0" xfId="0">
      <alignment horizontal="center" vertical="center" wrapText="1"/>
    </xf>
    <xf numFmtId="0" fontId="28" fillId="8" borderId="2" applyAlignment="1" pivotButton="0" quotePrefix="0" xfId="0">
      <alignment horizontal="center" vertical="center" wrapText="1"/>
    </xf>
    <xf numFmtId="0" fontId="28" fillId="9" borderId="2" applyAlignment="1" pivotButton="0" quotePrefix="0" xfId="0">
      <alignment horizontal="center" vertical="center" wrapText="1"/>
    </xf>
    <xf numFmtId="0" fontId="28" fillId="10" borderId="2" applyAlignment="1" pivotButton="0" quotePrefix="0" xfId="0">
      <alignment horizontal="center" vertical="center" wrapText="1"/>
    </xf>
    <xf numFmtId="0" fontId="28" fillId="11" borderId="2" applyAlignment="1" pivotButton="0" quotePrefix="0" xfId="0">
      <alignment horizontal="center" vertical="center" wrapText="1"/>
    </xf>
    <xf numFmtId="0" fontId="28" fillId="12" borderId="2" applyAlignment="1" pivotButton="0" quotePrefix="0" xfId="0">
      <alignment horizontal="center" vertical="center" wrapText="1"/>
    </xf>
    <xf numFmtId="0" fontId="28" fillId="13" borderId="2" applyAlignment="1" pivotButton="0" quotePrefix="0" xfId="0">
      <alignment horizontal="center" vertical="center" wrapText="1"/>
    </xf>
    <xf numFmtId="0" fontId="28" fillId="14" borderId="2" applyAlignment="1" pivotButton="0" quotePrefix="0" xfId="0">
      <alignment horizontal="center" vertical="center" wrapText="1"/>
    </xf>
    <xf numFmtId="2" fontId="6" fillId="19" borderId="1" applyAlignment="1" pivotButton="0" quotePrefix="0" xfId="0">
      <alignment horizontal="center" vertical="center"/>
    </xf>
    <xf numFmtId="2" fontId="6" fillId="20" borderId="1" applyAlignment="1" pivotButton="0" quotePrefix="0" xfId="0">
      <alignment horizontal="center" vertical="center"/>
    </xf>
    <xf numFmtId="2" fontId="6" fillId="17" borderId="1" applyAlignment="1" pivotButton="0" quotePrefix="0" xfId="0">
      <alignment horizontal="center" vertical="center"/>
    </xf>
    <xf numFmtId="2" fontId="6" fillId="21" borderId="1" applyAlignment="1" pivotButton="0" quotePrefix="0" xfId="0">
      <alignment horizontal="center" vertical="center"/>
    </xf>
    <xf numFmtId="2" fontId="6" fillId="22" borderId="1" applyAlignment="1" pivotButton="0" quotePrefix="0" xfId="0">
      <alignment horizontal="center" vertical="center"/>
    </xf>
    <xf numFmtId="2" fontId="6" fillId="23" borderId="1" applyAlignment="1" pivotButton="0" quotePrefix="0" xfId="0">
      <alignment horizontal="center" vertical="center"/>
    </xf>
    <xf numFmtId="2" fontId="6" fillId="25" borderId="1" applyAlignment="1" pivotButton="0" quotePrefix="0" xfId="0">
      <alignment horizontal="center" vertical="center"/>
    </xf>
    <xf numFmtId="2" fontId="73" fillId="3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24" borderId="2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28" fillId="13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13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45" fillId="6" borderId="1" applyAlignment="1" pivotButton="0" quotePrefix="0" xfId="0">
      <alignment horizontal="center" vertical="center"/>
    </xf>
    <xf numFmtId="0" fontId="45" fillId="4" borderId="1" applyAlignment="1" pivotButton="0" quotePrefix="0" xfId="0">
      <alignment horizontal="center" vertical="center"/>
    </xf>
    <xf numFmtId="2" fontId="74" fillId="19" borderId="1" applyAlignment="1" pivotButton="0" quotePrefix="0" xfId="0">
      <alignment horizontal="center" vertical="center"/>
    </xf>
    <xf numFmtId="2" fontId="74" fillId="20" borderId="1" applyAlignment="1" pivotButton="0" quotePrefix="0" xfId="0">
      <alignment horizontal="center" vertical="center"/>
    </xf>
    <xf numFmtId="2" fontId="74" fillId="17" borderId="1" applyAlignment="1" pivotButton="0" quotePrefix="0" xfId="0">
      <alignment horizontal="center" vertical="center"/>
    </xf>
    <xf numFmtId="2" fontId="74" fillId="21" borderId="1" applyAlignment="1" pivotButton="0" quotePrefix="0" xfId="0">
      <alignment horizontal="center" vertical="center"/>
    </xf>
    <xf numFmtId="2" fontId="74" fillId="22" borderId="1" applyAlignment="1" pivotButton="0" quotePrefix="0" xfId="0">
      <alignment horizontal="center" vertical="center"/>
    </xf>
    <xf numFmtId="2" fontId="74" fillId="23" borderId="1" applyAlignment="1" pivotButton="0" quotePrefix="0" xfId="0">
      <alignment horizontal="center" vertical="center"/>
    </xf>
    <xf numFmtId="2" fontId="74" fillId="25" borderId="1" applyAlignment="1" pivotButton="0" quotePrefix="0" xfId="0">
      <alignment horizontal="center" vertical="center"/>
    </xf>
    <xf numFmtId="0" fontId="4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worksheet" Target="worksheets/sheet26.xml" Id="rId26"/><Relationship Type="http://schemas.openxmlformats.org/officeDocument/2006/relationships/worksheet" Target="worksheets/sheet27.xml" Id="rId27"/><Relationship Type="http://schemas.openxmlformats.org/officeDocument/2006/relationships/worksheet" Target="worksheets/sheet28.xml" Id="rId28"/><Relationship Type="http://schemas.openxmlformats.org/officeDocument/2006/relationships/worksheet" Target="worksheets/sheet29.xml" Id="rId29"/><Relationship Type="http://schemas.openxmlformats.org/officeDocument/2006/relationships/worksheet" Target="worksheets/sheet30.xml" Id="rId30"/><Relationship Type="http://schemas.openxmlformats.org/officeDocument/2006/relationships/worksheet" Target="worksheets/sheet31.xml" Id="rId31"/><Relationship Type="http://schemas.openxmlformats.org/officeDocument/2006/relationships/worksheet" Target="worksheets/sheet32.xml" Id="rId32"/><Relationship Type="http://schemas.openxmlformats.org/officeDocument/2006/relationships/worksheet" Target="worksheets/sheet33.xml" Id="rId33"/><Relationship Type="http://schemas.openxmlformats.org/officeDocument/2006/relationships/worksheet" Target="worksheets/sheet34.xml" Id="rId34"/><Relationship Type="http://schemas.openxmlformats.org/officeDocument/2006/relationships/worksheet" Target="worksheets/sheet35.xml" Id="rId35"/><Relationship Type="http://schemas.openxmlformats.org/officeDocument/2006/relationships/worksheet" Target="worksheets/sheet36.xml" Id="rId36"/><Relationship Type="http://schemas.openxmlformats.org/officeDocument/2006/relationships/worksheet" Target="worksheets/sheet37.xml" Id="rId37"/><Relationship Type="http://schemas.openxmlformats.org/officeDocument/2006/relationships/worksheet" Target="worksheets/sheet38.xml" Id="rId38"/><Relationship Type="http://schemas.openxmlformats.org/officeDocument/2006/relationships/worksheet" Target="worksheets/sheet39.xml" Id="rId39"/><Relationship Type="http://schemas.openxmlformats.org/officeDocument/2006/relationships/worksheet" Target="worksheets/sheet40.xml" Id="rId40"/><Relationship Type="http://schemas.openxmlformats.org/officeDocument/2006/relationships/worksheet" Target="worksheets/sheet41.xml" Id="rId41"/><Relationship Type="http://schemas.openxmlformats.org/officeDocument/2006/relationships/worksheet" Target="worksheets/sheet42.xml" Id="rId42"/><Relationship Type="http://schemas.openxmlformats.org/officeDocument/2006/relationships/worksheet" Target="worksheets/sheet43.xml" Id="rId43"/><Relationship Type="http://schemas.openxmlformats.org/officeDocument/2006/relationships/worksheet" Target="worksheets/sheet44.xml" Id="rId44"/><Relationship Type="http://schemas.openxmlformats.org/officeDocument/2006/relationships/worksheet" Target="worksheets/sheet45.xml" Id="rId45"/><Relationship Type="http://schemas.openxmlformats.org/officeDocument/2006/relationships/worksheet" Target="worksheets/sheet46.xml" Id="rId46"/><Relationship Type="http://schemas.openxmlformats.org/officeDocument/2006/relationships/worksheet" Target="worksheets/sheet47.xml" Id="rId47"/><Relationship Type="http://schemas.openxmlformats.org/officeDocument/2006/relationships/worksheet" Target="worksheets/sheet48.xml" Id="rId48"/><Relationship Type="http://schemas.openxmlformats.org/officeDocument/2006/relationships/worksheet" Target="worksheets/sheet49.xml" Id="rId49"/><Relationship Type="http://schemas.openxmlformats.org/officeDocument/2006/relationships/worksheet" Target="worksheets/sheet50.xml" Id="rId50"/><Relationship Type="http://schemas.openxmlformats.org/officeDocument/2006/relationships/worksheet" Target="worksheets/sheet51.xml" Id="rId51"/><Relationship Type="http://schemas.openxmlformats.org/officeDocument/2006/relationships/worksheet" Target="worksheets/sheet52.xml" Id="rId52"/><Relationship Type="http://schemas.openxmlformats.org/officeDocument/2006/relationships/worksheet" Target="worksheets/sheet53.xml" Id="rId53"/><Relationship Type="http://schemas.openxmlformats.org/officeDocument/2006/relationships/worksheet" Target="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EvalFP — Cuaderno del Profesor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Motor de Evaluación Relacional para Formación Profesional · v2.0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5" t="inlineStr">
        <is>
          <t>🏠 Inicio</t>
        </is>
      </c>
      <c r="C5" s="6">
        <f>HYPERLINK("#Configuración!A1","⚙️ Config")</f>
        <v/>
      </c>
      <c r="D5" s="6">
        <f>HYPERLINK("#Mis Módulos!A1","📚 Módulos")</f>
        <v/>
      </c>
      <c r="E5" s="6">
        <f>HYPERLINK("#Biblioteca!A1","📖 Biblioteca")</f>
        <v/>
      </c>
      <c r="F5" s="6">
        <f>HYPERLINK("#Calendario!A1","📅 Calendario")</f>
        <v/>
      </c>
      <c r="G5" s="6">
        <f>HYPERLINK("#Hoy!A1","☀️ Hoy")</f>
        <v/>
      </c>
      <c r="H5" s="6">
        <f>HYPERLINK("#Dashboard Global!A1","📊 Dashboard+")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8" customHeight="1">
      <c r="B8" s="8" t="inlineStr">
        <is>
          <t>📌  Información del Módulo</t>
        </is>
      </c>
    </row>
    <row r="9" ht="18" customHeight="1">
      <c r="B9" s="9" t="inlineStr">
        <is>
          <t>Módulo</t>
        </is>
      </c>
      <c r="C9" s="10" t="inlineStr">
        <is>
          <t>Implantación de Sistemas Operativos (ISO)</t>
        </is>
      </c>
    </row>
    <row r="10" ht="18" customHeight="1">
      <c r="B10" s="11" t="inlineStr">
        <is>
          <t>Código</t>
        </is>
      </c>
      <c r="C10" s="12" t="inlineStr">
        <is>
          <t>0369</t>
        </is>
      </c>
    </row>
    <row r="11" ht="18" customHeight="1">
      <c r="B11" s="9" t="inlineStr">
        <is>
          <t>Ciclo</t>
        </is>
      </c>
      <c r="C11" s="10" t="inlineStr">
        <is>
          <t>Administración de Sistemas Informáticos en Red (ASIR)</t>
        </is>
      </c>
    </row>
    <row r="12" ht="18" customHeight="1">
      <c r="B12" s="11" t="inlineStr">
        <is>
          <t>Curso</t>
        </is>
      </c>
      <c r="C12" s="12" t="inlineStr">
        <is>
          <t>1º ASIR</t>
        </is>
      </c>
    </row>
    <row r="13" ht="18" customHeight="1">
      <c r="B13" s="9" t="inlineStr">
        <is>
          <t>Año académico</t>
        </is>
      </c>
      <c r="C13" s="10" t="inlineStr">
        <is>
          <t>2026-2027</t>
        </is>
      </c>
    </row>
    <row r="14" ht="18" customHeight="1">
      <c r="B14" s="11" t="inlineStr">
        <is>
          <t>Horas semanales</t>
        </is>
      </c>
      <c r="C14" s="12" t="inlineStr">
        <is>
          <t>6 h/sem</t>
        </is>
      </c>
    </row>
    <row r="15" ht="18" customHeight="1">
      <c r="B15" s="9" t="inlineStr">
        <is>
          <t>Total horas</t>
        </is>
      </c>
      <c r="C15" s="10" t="inlineStr">
        <is>
          <t>186 h</t>
        </is>
      </c>
    </row>
    <row r="16" ht="18" customHeight="1">
      <c r="B16" s="11" t="inlineStr">
        <is>
          <t>Evaluaciones</t>
        </is>
      </c>
      <c r="C16" s="12" t="inlineStr">
        <is>
          <t>3 evaluaciones</t>
        </is>
      </c>
    </row>
    <row r="18" ht="18" customHeight="1">
      <c r="B18" s="13" t="inlineStr">
        <is>
          <t>📊  Ponderación de Resultados de Aprendizaje</t>
        </is>
      </c>
    </row>
    <row r="19" ht="18" customHeight="1">
      <c r="B19" s="14" t="inlineStr">
        <is>
          <t>RA</t>
        </is>
      </c>
      <c r="C19" s="14" t="inlineStr">
        <is>
          <t>Resultado de Aprendizaje</t>
        </is>
      </c>
      <c r="D19" s="14" t="inlineStr">
        <is>
          <t>Pond. %</t>
        </is>
      </c>
      <c r="E19" s="14" t="inlineStr">
        <is>
          <t>Horas equiv.</t>
        </is>
      </c>
      <c r="F19" s="14" t="inlineStr">
        <is>
          <t>CEs</t>
        </is>
      </c>
    </row>
    <row r="20" ht="18" customHeight="1">
      <c r="B20" s="15" t="inlineStr">
        <is>
          <t>RA1</t>
        </is>
      </c>
      <c r="C20" s="10" t="inlineStr">
        <is>
          <t>Instala sistemas operativos, relacionando sus características con el hardware de</t>
        </is>
      </c>
      <c r="D20" s="16" t="inlineStr">
        <is>
          <t>13%</t>
        </is>
      </c>
      <c r="E20" s="17" t="inlineStr">
        <is>
          <t>24.0 h</t>
        </is>
      </c>
      <c r="F20" s="17" t="inlineStr">
        <is>
          <t>8</t>
        </is>
      </c>
    </row>
    <row r="21" ht="18" customHeight="1">
      <c r="B21" s="18" t="inlineStr">
        <is>
          <t>RA2</t>
        </is>
      </c>
      <c r="C21" s="12" t="inlineStr">
        <is>
          <t>Gestiona el software de base, aplicando criterios de explotación del sistema.</t>
        </is>
      </c>
      <c r="D21" s="19" t="inlineStr">
        <is>
          <t>19%</t>
        </is>
      </c>
      <c r="E21" s="20" t="inlineStr">
        <is>
          <t>35.3 h</t>
        </is>
      </c>
      <c r="F21" s="20" t="inlineStr">
        <is>
          <t>19</t>
        </is>
      </c>
    </row>
    <row r="22" ht="18" customHeight="1">
      <c r="B22" s="21" t="inlineStr">
        <is>
          <t>RA3</t>
        </is>
      </c>
      <c r="C22" s="10" t="inlineStr">
        <is>
          <t xml:space="preserve">Asegura y recupera el sistema, aplicando procedimientos de administración de la </t>
        </is>
      </c>
      <c r="D22" s="16" t="inlineStr">
        <is>
          <t>9%</t>
        </is>
      </c>
      <c r="E22" s="17" t="inlineStr">
        <is>
          <t>16.0 h</t>
        </is>
      </c>
      <c r="F22" s="17" t="inlineStr">
        <is>
          <t>8</t>
        </is>
      </c>
    </row>
    <row r="23" ht="18" customHeight="1">
      <c r="B23" s="22" t="inlineStr">
        <is>
          <t>RA4</t>
        </is>
      </c>
      <c r="C23" s="12" t="inlineStr">
        <is>
          <t>Gestiona dominios, elaborando el modelo lógico de la red en un entorno de trabaj</t>
        </is>
      </c>
      <c r="D23" s="19" t="inlineStr">
        <is>
          <t>16%</t>
        </is>
      </c>
      <c r="E23" s="20" t="inlineStr">
        <is>
          <t>30.0 h</t>
        </is>
      </c>
      <c r="F23" s="20" t="inlineStr">
        <is>
          <t>8</t>
        </is>
      </c>
    </row>
    <row r="24" ht="18" customHeight="1">
      <c r="B24" s="23" t="inlineStr">
        <is>
          <t>RA5</t>
        </is>
      </c>
      <c r="C24" s="10" t="inlineStr">
        <is>
          <t>Administra el acceso al dominio, gestionando servidores de directorio y verifica</t>
        </is>
      </c>
      <c r="D24" s="16" t="inlineStr">
        <is>
          <t>13%</t>
        </is>
      </c>
      <c r="E24" s="17" t="inlineStr">
        <is>
          <t>24.1 h</t>
        </is>
      </c>
      <c r="F24" s="17" t="inlineStr">
        <is>
          <t>8</t>
        </is>
      </c>
    </row>
    <row r="25" ht="18" customHeight="1">
      <c r="B25" s="24" t="inlineStr">
        <is>
          <t>RA6</t>
        </is>
      </c>
      <c r="C25" s="12" t="inlineStr">
        <is>
          <t>Supervisa el rendimiento del sistema, diagnosticando las causas de pérdidas de r</t>
        </is>
      </c>
      <c r="D25" s="19" t="inlineStr">
        <is>
          <t>12%</t>
        </is>
      </c>
      <c r="E25" s="20" t="inlineStr">
        <is>
          <t>22.0 h</t>
        </is>
      </c>
      <c r="F25" s="20" t="inlineStr">
        <is>
          <t>10</t>
        </is>
      </c>
    </row>
    <row r="26" ht="18" customHeight="1">
      <c r="B26" s="25" t="inlineStr">
        <is>
          <t>RA7</t>
        </is>
      </c>
      <c r="C26" s="10" t="inlineStr">
        <is>
          <t xml:space="preserve">Aplica directivas de seguridad y gestiona auditorías, interpretando y aplicando </t>
        </is>
      </c>
      <c r="D26" s="16" t="inlineStr">
        <is>
          <t>13%</t>
        </is>
      </c>
      <c r="E26" s="17" t="inlineStr">
        <is>
          <t>24.6 h</t>
        </is>
      </c>
      <c r="F26" s="17" t="inlineStr">
        <is>
          <t>9</t>
        </is>
      </c>
    </row>
    <row r="27" ht="18" customHeight="1">
      <c r="B27" s="26" t="inlineStr">
        <is>
          <t>RA8</t>
        </is>
      </c>
      <c r="C27" s="12" t="inlineStr">
        <is>
          <t>Establece la conexión en red de los sistemas informáticos, configurando disposit</t>
        </is>
      </c>
      <c r="D27" s="19" t="inlineStr">
        <is>
          <t>5%</t>
        </is>
      </c>
      <c r="E27" s="20" t="inlineStr">
        <is>
          <t>10.0 h</t>
        </is>
      </c>
      <c r="F27" s="20" t="inlineStr">
        <is>
          <t>9</t>
        </is>
      </c>
    </row>
    <row r="29">
      <c r="B29" s="13" t="inlineStr">
        <is>
          <t>📅  Unidades de Trabajo por Evaluación</t>
        </is>
      </c>
    </row>
    <row r="30" ht="18" customHeight="1">
      <c r="B30" s="14" t="inlineStr">
        <is>
          <t>UT</t>
        </is>
      </c>
      <c r="C30" s="14" t="inlineStr">
        <is>
          <t>Título</t>
        </is>
      </c>
      <c r="D30" s="14" t="inlineStr">
        <is>
          <t>Horas</t>
        </is>
      </c>
      <c r="E30" s="14" t="inlineStr">
        <is>
          <t>% Total</t>
        </is>
      </c>
      <c r="F30" s="14" t="inlineStr">
        <is>
          <t>Evaluación</t>
        </is>
      </c>
    </row>
    <row r="31" ht="18" customHeight="1">
      <c r="B31" s="27" t="inlineStr">
        <is>
          <t>UT1</t>
        </is>
      </c>
      <c r="C31" s="10" t="inlineStr">
        <is>
          <t>Instalación de software libre y propietario</t>
        </is>
      </c>
      <c r="D31" s="17" t="inlineStr">
        <is>
          <t>30h</t>
        </is>
      </c>
      <c r="E31" s="16" t="inlineStr">
        <is>
          <t>16.1%</t>
        </is>
      </c>
      <c r="F31" s="28" t="inlineStr">
        <is>
          <t>Evaluación 1</t>
        </is>
      </c>
    </row>
    <row r="32" ht="18" customHeight="1">
      <c r="B32" s="27" t="inlineStr">
        <is>
          <t>UT2</t>
        </is>
      </c>
      <c r="C32" s="12" t="inlineStr">
        <is>
          <t>Administración de software base</t>
        </is>
      </c>
      <c r="D32" s="20" t="inlineStr">
        <is>
          <t>25h</t>
        </is>
      </c>
      <c r="E32" s="19" t="inlineStr">
        <is>
          <t>13.4%</t>
        </is>
      </c>
      <c r="F32" s="29" t="inlineStr">
        <is>
          <t>Evaluación 1</t>
        </is>
      </c>
    </row>
    <row r="33" ht="18" customHeight="1">
      <c r="B33" s="27" t="inlineStr">
        <is>
          <t>UT3</t>
        </is>
      </c>
      <c r="C33" s="10" t="inlineStr">
        <is>
          <t>Administración y aseguramiento de la información</t>
        </is>
      </c>
      <c r="D33" s="17" t="inlineStr">
        <is>
          <t>22h</t>
        </is>
      </c>
      <c r="E33" s="16" t="inlineStr">
        <is>
          <t>11.8%</t>
        </is>
      </c>
      <c r="F33" s="30" t="inlineStr">
        <is>
          <t>Evaluación 2</t>
        </is>
      </c>
    </row>
    <row r="34" ht="18" customHeight="1">
      <c r="B34" s="27" t="inlineStr">
        <is>
          <t>UT4</t>
        </is>
      </c>
      <c r="C34" s="12" t="inlineStr">
        <is>
          <t>Gestión de dominios</t>
        </is>
      </c>
      <c r="D34" s="20" t="inlineStr">
        <is>
          <t>30h</t>
        </is>
      </c>
      <c r="E34" s="19" t="inlineStr">
        <is>
          <t>16.1%</t>
        </is>
      </c>
      <c r="F34" s="31" t="inlineStr">
        <is>
          <t>Evaluación 2</t>
        </is>
      </c>
    </row>
    <row r="35" ht="18" customHeight="1">
      <c r="B35" s="27" t="inlineStr">
        <is>
          <t>UT5</t>
        </is>
      </c>
      <c r="C35" s="10" t="inlineStr">
        <is>
          <t>Administración de acceso al dominio</t>
        </is>
      </c>
      <c r="D35" s="17" t="inlineStr">
        <is>
          <t>25h</t>
        </is>
      </c>
      <c r="E35" s="16" t="inlineStr">
        <is>
          <t>13.4%</t>
        </is>
      </c>
      <c r="F35" s="30" t="inlineStr">
        <is>
          <t>Evaluación 2</t>
        </is>
      </c>
    </row>
    <row r="36" ht="18" customHeight="1">
      <c r="B36" s="27" t="inlineStr">
        <is>
          <t>UT6</t>
        </is>
      </c>
      <c r="C36" s="12" t="inlineStr">
        <is>
          <t>Supervisión del rendimiento del sistema</t>
        </is>
      </c>
      <c r="D36" s="20" t="inlineStr">
        <is>
          <t>22h</t>
        </is>
      </c>
      <c r="E36" s="19" t="inlineStr">
        <is>
          <t>11.8%</t>
        </is>
      </c>
      <c r="F36" s="32" t="inlineStr">
        <is>
          <t>Evaluación 3</t>
        </is>
      </c>
    </row>
    <row r="37" ht="18" customHeight="1">
      <c r="B37" s="27" t="inlineStr">
        <is>
          <t>UT7</t>
        </is>
      </c>
      <c r="C37" s="10" t="inlineStr">
        <is>
          <t>Directivas de seguridad y auditorías</t>
        </is>
      </c>
      <c r="D37" s="17" t="inlineStr">
        <is>
          <t>22h</t>
        </is>
      </c>
      <c r="E37" s="16" t="inlineStr">
        <is>
          <t>11.8%</t>
        </is>
      </c>
      <c r="F37" s="33" t="inlineStr">
        <is>
          <t>Evaluación 3</t>
        </is>
      </c>
    </row>
    <row r="38" ht="18" customHeight="1">
      <c r="B38" s="27" t="inlineStr">
        <is>
          <t>UT8</t>
        </is>
      </c>
      <c r="C38" s="12" t="inlineStr">
        <is>
          <t>Resolución de incidencias y asistencia técnica</t>
        </is>
      </c>
      <c r="D38" s="20" t="inlineStr">
        <is>
          <t>10h</t>
        </is>
      </c>
      <c r="E38" s="19" t="inlineStr">
        <is>
          <t>5.4%</t>
        </is>
      </c>
      <c r="F38" s="32" t="inlineStr">
        <is>
          <t>Evaluación 3</t>
        </is>
      </c>
    </row>
    <row r="39">
      <c r="B39" s="34" t="inlineStr">
        <is>
          <t>TOTAL</t>
        </is>
      </c>
      <c r="D39" s="34" t="inlineStr">
        <is>
          <t>186h</t>
        </is>
      </c>
      <c r="E39" s="34" t="inlineStr">
        <is>
          <t>100%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40" customWidth="1" min="3" max="3"/>
    <col width="15" customWidth="1" min="4" max="4"/>
    <col width="10" customWidth="1" min="5" max="5"/>
    <col width="10" customWidth="1" min="6" max="6"/>
    <col width="10" customWidth="1" min="7" max="7"/>
    <col width="18" customWidth="1" min="8" max="8"/>
    <col width="18" customWidth="1" min="9" max="9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📚 Mis Módulos — Carga Docente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Módulos y grupos gestionados en este cuaderno · EvalFP 2.0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HYPERLINK("#Inicio!A1","🏠 Inicio")</f>
        <v/>
      </c>
      <c r="C5" s="6">
        <f>HYPERLINK("#Configuración!A1","⚙️ Config")</f>
        <v/>
      </c>
      <c r="D5" s="5" t="inlineStr">
        <is>
          <t>📚 Módulos</t>
        </is>
      </c>
      <c r="E5" s="6">
        <f>HYPERLINK("#Biblioteca!A1","📖 Biblioteca")</f>
        <v/>
      </c>
      <c r="F5" s="6">
        <f>HYPERLINK("#Calendario!A1","📅 Calendario")</f>
        <v/>
      </c>
      <c r="G5" s="6">
        <f>HYPERLINK("#Hoy!A1","☀️ Hoy")</f>
        <v/>
      </c>
      <c r="H5" s="6">
        <f>HYPERLINK("#Dashboard Global!A1","📊 Dashboard+")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B8" s="35" t="inlineStr">
        <is>
          <t xml:space="preserve">  MÓDULOS ACTIVOS — haz clic en el nombre para ir al módulo</t>
        </is>
      </c>
    </row>
    <row r="9" ht="28" customHeight="1">
      <c r="B9" s="36" t="inlineStr">
        <is>
          <t>Abrev.</t>
        </is>
      </c>
      <c r="C9" s="36" t="inlineStr">
        <is>
          <t>Módulo</t>
        </is>
      </c>
      <c r="D9" s="37" t="inlineStr">
        <is>
          <t>Grupo</t>
        </is>
      </c>
      <c r="E9" s="37" t="inlineStr">
        <is>
          <t>Horas</t>
        </is>
      </c>
      <c r="F9" s="37" t="inlineStr">
        <is>
          <t>RAs</t>
        </is>
      </c>
      <c r="G9" s="37" t="inlineStr">
        <is>
          <t>Evals</t>
        </is>
      </c>
      <c r="H9" s="38" t="inlineStr">
        <is>
          <t>Ir al Inicio</t>
        </is>
      </c>
      <c r="I9" s="38" t="inlineStr">
        <is>
          <t>Ir al Dashboard</t>
        </is>
      </c>
    </row>
    <row r="10" ht="22" customHeight="1">
      <c r="B10" s="39" t="inlineStr">
        <is>
          <t>ISO</t>
        </is>
      </c>
      <c r="C10" s="10" t="inlineStr">
        <is>
          <t>Implantación de Sistemas Operativos</t>
        </is>
      </c>
      <c r="D10" s="40" t="inlineStr">
        <is>
          <t>1º ASIR-A</t>
        </is>
      </c>
      <c r="E10" s="17" t="inlineStr">
        <is>
          <t>186 h</t>
        </is>
      </c>
      <c r="F10" s="17" t="inlineStr">
        <is>
          <t>8</t>
        </is>
      </c>
      <c r="G10" s="17" t="inlineStr">
        <is>
          <t>3</t>
        </is>
      </c>
      <c r="H10" s="41">
        <f>HYPERLINK("#ISO · Programación!A1","→ Programación")</f>
        <v/>
      </c>
      <c r="I10" s="41">
        <f>HYPERLINK("#ISO · Dashboard!A1","→ Dashboard")</f>
        <v/>
      </c>
    </row>
    <row r="11" ht="22" customHeight="1">
      <c r="B11" s="42" t="inlineStr">
        <is>
          <t>PAR</t>
        </is>
      </c>
      <c r="C11" s="12" t="inlineStr">
        <is>
          <t>Planificación y Administración de Redes</t>
        </is>
      </c>
      <c r="D11" s="43" t="inlineStr">
        <is>
          <t>1º ASIR-A</t>
        </is>
      </c>
      <c r="E11" s="20" t="inlineStr">
        <is>
          <t>155 h</t>
        </is>
      </c>
      <c r="F11" s="20" t="inlineStr">
        <is>
          <t>6</t>
        </is>
      </c>
      <c r="G11" s="20" t="inlineStr">
        <is>
          <t>3</t>
        </is>
      </c>
      <c r="H11" s="41">
        <f>HYPERLINK("#PAR · Programación!A1","→ Programación")</f>
        <v/>
      </c>
      <c r="I11" s="41">
        <f>HYPERLINK("#PAR · Dashboard!A1","→ Dashboard")</f>
        <v/>
      </c>
    </row>
    <row r="13" ht="14" customHeight="1">
      <c r="B13" s="44" t="inlineStr">
        <is>
          <t>★  Para añadir un módulo, edita TEACHER_MODULES en scripts/teacher_config.py y regenera el libro.</t>
        </is>
      </c>
    </row>
  </sheetData>
  <mergeCells count="4">
    <mergeCell ref="B13:I13"/>
    <mergeCell ref="B8:I8"/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35" customWidth="1" min="3" max="3"/>
    <col width="20" customWidth="1" min="4" max="4"/>
    <col width="20" customWidth="1" min="5" max="5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⚙️ Configuración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Ajustes del curso, motor de evaluación y preferencias del sistema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HYPERLINK("#Inicio!A1","🏠 Inicio")</f>
        <v/>
      </c>
      <c r="C5" s="5" t="inlineStr">
        <is>
          <t>⚙️ Config</t>
        </is>
      </c>
      <c r="D5" s="6">
        <f>HYPERLINK("#Mis Módulos!A1","📚 Módulos")</f>
        <v/>
      </c>
      <c r="E5" s="6">
        <f>HYPERLINK("#Biblioteca!A1","📖 Biblioteca")</f>
        <v/>
      </c>
      <c r="F5" s="6">
        <f>HYPERLINK("#Calendario!A1","📅 Calendario")</f>
        <v/>
      </c>
      <c r="G5" s="6">
        <f>HYPERLINK("#Hoy!A1","☀️ Hoy")</f>
        <v/>
      </c>
      <c r="H5" s="6">
        <f>HYPERLINK("#Dashboard Global!A1","📊 Dashboard+")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22" customHeight="1">
      <c r="B8" s="45" t="inlineStr">
        <is>
          <t>📚  BLOQUE 1 — Datos del Curso</t>
        </is>
      </c>
    </row>
    <row r="9" ht="18" customHeight="1">
      <c r="B9" s="46" t="inlineStr">
        <is>
          <t>Nombre del módulo</t>
        </is>
      </c>
      <c r="C9" s="47" t="inlineStr">
        <is>
          <t>Implantación de Sistemas Operativos</t>
        </is>
      </c>
      <c r="D9" s="48" t="inlineStr">
        <is>
          <t>✏️ editable</t>
        </is>
      </c>
    </row>
    <row r="10" ht="18" customHeight="1">
      <c r="B10" s="46" t="inlineStr">
        <is>
          <t>Código módulo</t>
        </is>
      </c>
      <c r="C10" s="47" t="inlineStr">
        <is>
          <t>0369</t>
        </is>
      </c>
      <c r="D10" s="48" t="inlineStr">
        <is>
          <t>✏️ editable</t>
        </is>
      </c>
    </row>
    <row r="11" ht="18" customHeight="1">
      <c r="B11" s="46" t="inlineStr">
        <is>
          <t>Ciclo formativo</t>
        </is>
      </c>
      <c r="C11" s="47" t="inlineStr">
        <is>
          <t>Administración de Sistemas Informáticos en Red (ASIR)</t>
        </is>
      </c>
      <c r="D11" s="48" t="inlineStr">
        <is>
          <t>✏️ editable</t>
        </is>
      </c>
    </row>
    <row r="12" ht="18" customHeight="1">
      <c r="B12" s="46" t="inlineStr">
        <is>
          <t>Curso</t>
        </is>
      </c>
      <c r="C12" s="47" t="inlineStr">
        <is>
          <t>1º ASIR</t>
        </is>
      </c>
      <c r="D12" s="48" t="inlineStr">
        <is>
          <t>✏️ editable</t>
        </is>
      </c>
    </row>
    <row r="13" ht="18" customHeight="1">
      <c r="B13" s="46" t="inlineStr">
        <is>
          <t>Año académico</t>
        </is>
      </c>
      <c r="C13" s="47" t="inlineStr">
        <is>
          <t>2026-2027</t>
        </is>
      </c>
      <c r="D13" s="48" t="inlineStr">
        <is>
          <t>✏️ editable</t>
        </is>
      </c>
    </row>
    <row r="14" ht="18" customHeight="1">
      <c r="B14" s="46" t="inlineStr">
        <is>
          <t>Nombre del profesor/a</t>
        </is>
      </c>
      <c r="C14" s="47"/>
      <c r="D14" s="48" t="inlineStr">
        <is>
          <t>✏️ editable</t>
        </is>
      </c>
    </row>
    <row r="15" ht="18" customHeight="1">
      <c r="B15" s="46" t="inlineStr">
        <is>
          <t>Grupo/s</t>
        </is>
      </c>
      <c r="C15" s="47"/>
      <c r="D15" s="48" t="inlineStr">
        <is>
          <t>✏️ editable</t>
        </is>
      </c>
    </row>
    <row r="16" ht="18" customHeight="1">
      <c r="B16" s="46" t="inlineStr">
        <is>
          <t>Centro educativo</t>
        </is>
      </c>
      <c r="C16" s="47"/>
      <c r="D16" s="48" t="inlineStr">
        <is>
          <t>✏️ editable</t>
        </is>
      </c>
    </row>
    <row r="18" ht="22" customHeight="1">
      <c r="B18" s="45" t="inlineStr">
        <is>
          <t>⚙️  BLOQUE 2 — Motor de Evaluación</t>
        </is>
      </c>
    </row>
    <row r="19" ht="18" customHeight="1">
      <c r="B19" s="46" t="inlineStr">
        <is>
          <t>N.º de evaluaciones</t>
        </is>
      </c>
      <c r="C19" s="49" t="n">
        <v>3</v>
      </c>
    </row>
    <row r="20" ht="18" customHeight="1">
      <c r="B20" s="46" t="inlineStr">
        <is>
          <t>Nota mínima aprobado</t>
        </is>
      </c>
      <c r="C20" s="47" t="n">
        <v>5</v>
      </c>
      <c r="D20" s="48" t="inlineStr">
        <is>
          <t>✏️ editable</t>
        </is>
      </c>
    </row>
    <row r="21" ht="18" customHeight="1">
      <c r="B21" s="46" t="inlineStr">
        <is>
          <t>Nota máxima</t>
        </is>
      </c>
      <c r="C21" s="49" t="n">
        <v>10</v>
      </c>
    </row>
    <row r="22" ht="18" customHeight="1">
      <c r="B22" s="46" t="inlineStr">
        <is>
          <t>Redondeo</t>
        </is>
      </c>
      <c r="C22" s="47" t="inlineStr">
        <is>
          <t>0.00 decimales</t>
        </is>
      </c>
      <c r="D22" s="48" t="inlineStr">
        <is>
          <t>✏️ editable</t>
        </is>
      </c>
    </row>
    <row r="23" ht="18" customHeight="1">
      <c r="B23" s="46" t="inlineStr">
        <is>
          <t>Peso Eval 1  (RA1 13% + RA2 19%)</t>
        </is>
      </c>
      <c r="C23" s="49" t="inlineStr">
        <is>
          <t>32%</t>
        </is>
      </c>
    </row>
    <row r="24" ht="18" customHeight="1">
      <c r="B24" s="46" t="inlineStr">
        <is>
          <t>Peso Eval 2  (RA3 9% + RA4 16% + RA5 13%)</t>
        </is>
      </c>
      <c r="C24" s="49" t="inlineStr">
        <is>
          <t>38%</t>
        </is>
      </c>
    </row>
    <row r="25" ht="18" customHeight="1">
      <c r="B25" s="46" t="inlineStr">
        <is>
          <t>Peso Eval 3  (RA6 12% + RA7 13% + RA8 5%)</t>
        </is>
      </c>
      <c r="C25" s="49" t="inlineStr">
        <is>
          <t>30%</t>
        </is>
      </c>
    </row>
    <row r="26">
      <c r="B26" s="9" t="inlineStr">
        <is>
          <t>Peso examen (teoría)</t>
        </is>
      </c>
      <c r="C26" s="50" t="n">
        <v>0.75</v>
      </c>
    </row>
    <row r="27">
      <c r="B27" s="9" t="inlineStr">
        <is>
          <t>Peso prácticas (actividades)</t>
        </is>
      </c>
      <c r="C27" s="51" t="n">
        <v>0.25</v>
      </c>
    </row>
    <row r="28" ht="28" customHeight="1">
      <c r="B28" s="52" t="inlineStr">
        <is>
          <t>⚠️  Los dos valores deben sumar 100%. Si los cambias, las notas de Reg. Notas se recalculan automáticamente.</t>
        </is>
      </c>
    </row>
    <row r="29" ht="18" customHeight="1">
      <c r="B29" s="46" t="inlineStr">
        <is>
          <t>Recuperación</t>
        </is>
      </c>
      <c r="C29" s="47" t="inlineStr">
        <is>
          <t>Sí — convocatoria extraordinaria</t>
        </is>
      </c>
      <c r="D29" s="48" t="inlineStr">
        <is>
          <t>✏️ editable</t>
        </is>
      </c>
    </row>
    <row r="31" ht="52" customHeight="1">
      <c r="B31" s="53" t="inlineStr">
        <is>
          <t>⚠️  PRÁCTICAS EN EMPRESA (2ª EVALUACIÓN): El alumnado realiza 18h de prácticas en empresa durante la 2ª evaluación (3 semanas × 6h/sem). Estas horas afectan únicamente a la temporalización — hay menos tiempo para impartir UT3, UT4 y UT5 — pero NO modifican las ponderaciones curriculares de los RAs.</t>
        </is>
      </c>
    </row>
    <row r="33" ht="22" customHeight="1">
      <c r="B33" s="45" t="inlineStr">
        <is>
          <t>🖨️  BLOQUE 3 — Preferencias del Sistema</t>
        </is>
      </c>
    </row>
    <row r="34" ht="18" customHeight="1">
      <c r="B34" s="46" t="inlineStr">
        <is>
          <t>Formato boletines</t>
        </is>
      </c>
      <c r="C34" s="47" t="inlineStr">
        <is>
          <t>PDF · 1 por alumno/a</t>
        </is>
      </c>
      <c r="D34" s="48" t="inlineStr">
        <is>
          <t>✏️ editable</t>
        </is>
      </c>
    </row>
    <row r="35" ht="18" customHeight="1">
      <c r="B35" s="46" t="inlineStr">
        <is>
          <t>Ruta exportación PDF</t>
        </is>
      </c>
      <c r="C35" s="47"/>
      <c r="D35" s="48" t="inlineStr">
        <is>
          <t>✏️ editable</t>
        </is>
      </c>
    </row>
    <row r="36" ht="18" customHeight="1">
      <c r="B36" s="46" t="inlineStr">
        <is>
          <t>Email destino</t>
        </is>
      </c>
      <c r="C36" s="47"/>
      <c r="D36" s="48" t="inlineStr">
        <is>
          <t>✏️ editable</t>
        </is>
      </c>
    </row>
    <row r="37" ht="18" customHeight="1">
      <c r="B37" s="46" t="inlineStr">
        <is>
          <t>Logo del centro</t>
        </is>
      </c>
      <c r="C37" s="47" t="inlineStr">
        <is>
          <t>(no configurado)</t>
        </is>
      </c>
      <c r="D37" s="48" t="inlineStr">
        <is>
          <t>✏️ editable</t>
        </is>
      </c>
    </row>
  </sheetData>
  <mergeCells count="7">
    <mergeCell ref="B18:E18"/>
    <mergeCell ref="B8:E8"/>
    <mergeCell ref="B28:C28"/>
    <mergeCell ref="B33:E33"/>
    <mergeCell ref="B31:F31"/>
    <mergeCell ref="B2:K2"/>
    <mergeCell ref="B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0" customWidth="1" min="3" max="3"/>
    <col width="10" customWidth="1" min="4" max="4"/>
    <col width="38" customWidth="1" min="5" max="5"/>
    <col width="12" customWidth="1" min="6" max="6"/>
    <col width="25" customWidth="1" min="7" max="7"/>
    <col width="15" customWidth="1" min="8" max="8"/>
    <col width="8" customWidth="1" min="9" max="9"/>
    <col width="16" customWidth="1" min="10" max="10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📖 Biblioteca de Recursos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Actividades · Exámenes · Rúbricas — compartidos entre módulos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HYPERLINK("#Inicio!A1","🏠 Inicio")</f>
        <v/>
      </c>
      <c r="C5" s="6">
        <f>HYPERLINK("#Configuración!A1","⚙️ Config")</f>
        <v/>
      </c>
      <c r="D5" s="6">
        <f>HYPERLINK("#Mis Módulos!A1","📚 Módulos")</f>
        <v/>
      </c>
      <c r="E5" s="5" t="inlineStr">
        <is>
          <t>📖 Biblioteca</t>
        </is>
      </c>
      <c r="F5" s="6">
        <f>HYPERLINK("#Calendario!A1","📅 Calendario")</f>
        <v/>
      </c>
      <c r="G5" s="6">
        <f>HYPERLINK("#Hoy!A1","☀️ Hoy")</f>
        <v/>
      </c>
      <c r="H5" s="6">
        <f>HYPERLINK("#Dashboard Global!A1","📊 Dashboard+")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B8" s="35" t="inlineStr">
        <is>
          <t xml:space="preserve">  ACTIVIDADES PRÁCTICAS — índice de todos los módulos</t>
        </is>
      </c>
    </row>
    <row r="9" ht="26" customHeight="1">
      <c r="B9" s="36" t="inlineStr">
        <is>
          <t>ID</t>
        </is>
      </c>
      <c r="C9" s="36" t="inlineStr">
        <is>
          <t>Módulo</t>
        </is>
      </c>
      <c r="D9" s="36" t="inlineStr">
        <is>
          <t>RA</t>
        </is>
      </c>
      <c r="E9" s="36" t="inlineStr">
        <is>
          <t>Descripción</t>
        </is>
      </c>
      <c r="F9" s="37" t="inlineStr">
        <is>
          <t>Instrumento</t>
        </is>
      </c>
      <c r="G9" s="37" t="inlineStr">
        <is>
          <t>Tags</t>
        </is>
      </c>
      <c r="H9" s="37" t="inlineStr">
        <is>
          <t>Eval</t>
        </is>
      </c>
      <c r="I9" s="37" t="inlineStr">
        <is>
          <t>Peso</t>
        </is>
      </c>
      <c r="J9" s="37" t="inlineStr">
        <is>
          <t>📖 Apuntes</t>
        </is>
      </c>
    </row>
    <row r="10" ht="18" customHeight="1">
      <c r="B10" s="54" t="inlineStr">
        <is>
          <t>A001</t>
        </is>
      </c>
      <c r="C10" s="55" t="inlineStr">
        <is>
          <t>ISO</t>
        </is>
      </c>
      <c r="D10" s="56" t="inlineStr">
        <is>
          <t>RA1</t>
        </is>
      </c>
      <c r="E10" s="57" t="inlineStr">
        <is>
          <t>Instalación de software libre y propietario — práctica RA1</t>
        </is>
      </c>
      <c r="F10" s="58" t="inlineStr">
        <is>
          <t>🔧 Práctica</t>
        </is>
      </c>
      <c r="G10" s="57" t="inlineStr">
        <is>
          <t>Linux · Windows Server · Virtualización</t>
        </is>
      </c>
      <c r="H10" s="55" t="inlineStr">
        <is>
          <t>EV1</t>
        </is>
      </c>
      <c r="I10" s="58" t="inlineStr">
        <is>
          <t>100%</t>
        </is>
      </c>
      <c r="J10" s="59">
        <f>HYPERLINK("../apuntes/04-FP/ISO/1-asir/instalacion-de-software-libre-y-propietario/index.html","📖 Ver apunte")</f>
        <v/>
      </c>
    </row>
    <row r="11" ht="18" customHeight="1">
      <c r="B11" s="60" t="inlineStr">
        <is>
          <t>A002</t>
        </is>
      </c>
      <c r="C11" s="61" t="inlineStr">
        <is>
          <t>ISO</t>
        </is>
      </c>
      <c r="D11" s="62" t="inlineStr">
        <is>
          <t>RA2</t>
        </is>
      </c>
      <c r="E11" s="63" t="inlineStr">
        <is>
          <t>Instalación de software libre y propietario — práctica RA2</t>
        </is>
      </c>
      <c r="F11" s="64" t="inlineStr">
        <is>
          <t>🔧 Práctica</t>
        </is>
      </c>
      <c r="G11" s="63" t="inlineStr">
        <is>
          <t>Linux · Windows Server · Virtualización</t>
        </is>
      </c>
      <c r="H11" s="55" t="inlineStr">
        <is>
          <t>EV1</t>
        </is>
      </c>
      <c r="I11" s="64" t="inlineStr">
        <is>
          <t>100%</t>
        </is>
      </c>
      <c r="J11" s="59">
        <f>HYPERLINK("../apuntes/04-FP/ISO/1-asir/instalacion-de-software-libre-y-propietario/index.html","📖 Ver apunte")</f>
        <v/>
      </c>
    </row>
    <row r="12" ht="18" customHeight="1">
      <c r="B12" s="54" t="inlineStr">
        <is>
          <t>A003</t>
        </is>
      </c>
      <c r="C12" s="61" t="inlineStr">
        <is>
          <t>ISO</t>
        </is>
      </c>
      <c r="D12" s="62" t="inlineStr">
        <is>
          <t>RA2</t>
        </is>
      </c>
      <c r="E12" s="57" t="inlineStr">
        <is>
          <t>Administración de software base — práctica RA2</t>
        </is>
      </c>
      <c r="F12" s="58" t="inlineStr">
        <is>
          <t>🔧 Práctica</t>
        </is>
      </c>
      <c r="G12" s="57" t="inlineStr">
        <is>
          <t>Usuarios · Red TCP/IP · Registro Windows</t>
        </is>
      </c>
      <c r="H12" s="55" t="inlineStr">
        <is>
          <t>EV1</t>
        </is>
      </c>
      <c r="I12" s="58" t="inlineStr">
        <is>
          <t>100%</t>
        </is>
      </c>
      <c r="J12" s="59">
        <f>HYPERLINK("../apuntes/04-FP/ISO/1-asir/administracion-de-software-base/index.html","📖 Ver apunte")</f>
        <v/>
      </c>
    </row>
    <row r="13" ht="18" customHeight="1">
      <c r="B13" s="60" t="inlineStr">
        <is>
          <t>A004</t>
        </is>
      </c>
      <c r="C13" s="65" t="inlineStr">
        <is>
          <t>ISO</t>
        </is>
      </c>
      <c r="D13" s="66" t="inlineStr">
        <is>
          <t>RA3</t>
        </is>
      </c>
      <c r="E13" s="63" t="inlineStr">
        <is>
          <t>Administración y aseguramiento de la información — práctica RA3</t>
        </is>
      </c>
      <c r="F13" s="64" t="inlineStr">
        <is>
          <t>🔧 Práctica</t>
        </is>
      </c>
      <c r="G13" s="63" t="inlineStr">
        <is>
          <t>Permisos · Backups · RAID</t>
        </is>
      </c>
      <c r="H13" s="61" t="inlineStr">
        <is>
          <t>EV2</t>
        </is>
      </c>
      <c r="I13" s="64" t="inlineStr">
        <is>
          <t>100%</t>
        </is>
      </c>
      <c r="J13" s="59">
        <f>HYPERLINK("../apuntes/04-FP/ISO/1-asir/administracion-y-aseguramiento-de-la-informacion/index.html","📖 Ver apunte")</f>
        <v/>
      </c>
    </row>
    <row r="14" ht="18" customHeight="1">
      <c r="B14" s="54" t="inlineStr">
        <is>
          <t>A005</t>
        </is>
      </c>
      <c r="C14" s="67" t="inlineStr">
        <is>
          <t>ISO</t>
        </is>
      </c>
      <c r="D14" s="68" t="inlineStr">
        <is>
          <t>RA4</t>
        </is>
      </c>
      <c r="E14" s="57" t="inlineStr">
        <is>
          <t>Gestión de dominios — práctica RA4</t>
        </is>
      </c>
      <c r="F14" s="58" t="inlineStr">
        <is>
          <t>🔧 Práctica</t>
        </is>
      </c>
      <c r="G14" s="57" t="inlineStr">
        <is>
          <t>Active Directory · GPO · Perfiles</t>
        </is>
      </c>
      <c r="H14" s="61" t="inlineStr">
        <is>
          <t>EV2</t>
        </is>
      </c>
      <c r="I14" s="58" t="inlineStr">
        <is>
          <t>100%</t>
        </is>
      </c>
      <c r="J14" s="59">
        <f>HYPERLINK("../apuntes/04-FP/ISO/1-asir/gestion-de-dominios/index.html","📖 Ver apunte")</f>
        <v/>
      </c>
    </row>
    <row r="15" ht="18" customHeight="1">
      <c r="B15" s="60" t="inlineStr">
        <is>
          <t>A006</t>
        </is>
      </c>
      <c r="C15" s="69" t="inlineStr">
        <is>
          <t>ISO</t>
        </is>
      </c>
      <c r="D15" s="70" t="inlineStr">
        <is>
          <t>RA5</t>
        </is>
      </c>
      <c r="E15" s="63" t="inlineStr">
        <is>
          <t>Administración de acceso al dominio — práctica RA5</t>
        </is>
      </c>
      <c r="F15" s="64" t="inlineStr">
        <is>
          <t>🔧 Práctica</t>
        </is>
      </c>
      <c r="G15" s="63" t="inlineStr">
        <is>
          <t>Samba · NFS · NTFS / ACLs POSIX</t>
        </is>
      </c>
      <c r="H15" s="61" t="inlineStr">
        <is>
          <t>EV2</t>
        </is>
      </c>
      <c r="I15" s="64" t="inlineStr">
        <is>
          <t>100%</t>
        </is>
      </c>
      <c r="J15" s="59">
        <f>HYPERLINK("../apuntes/04-FP/ISO/1-asir/administracion-de-acceso-al-dominio/index.html","📖 Ver apunte")</f>
        <v/>
      </c>
    </row>
    <row r="16" ht="18" customHeight="1">
      <c r="B16" s="54" t="inlineStr">
        <is>
          <t>A007</t>
        </is>
      </c>
      <c r="C16" s="71" t="inlineStr">
        <is>
          <t>ISO</t>
        </is>
      </c>
      <c r="D16" s="72" t="inlineStr">
        <is>
          <t>RA6</t>
        </is>
      </c>
      <c r="E16" s="57" t="inlineStr">
        <is>
          <t>Supervisión del rendimiento del sistema — práctica RA6</t>
        </is>
      </c>
      <c r="F16" s="58" t="inlineStr">
        <is>
          <t>🔧 Práctica</t>
        </is>
      </c>
      <c r="G16" s="57" t="inlineStr">
        <is>
          <t>top/htop · Perfmon · journalctl</t>
        </is>
      </c>
      <c r="H16" s="73" t="inlineStr">
        <is>
          <t>EV3</t>
        </is>
      </c>
      <c r="I16" s="58" t="inlineStr">
        <is>
          <t>100%</t>
        </is>
      </c>
      <c r="J16" s="59">
        <f>HYPERLINK("../apuntes/04-FP/ISO/1-asir/supervision-del-rendimiento-del-sistema/index.html","📖 Ver apunte")</f>
        <v/>
      </c>
    </row>
    <row r="17" ht="18" customHeight="1">
      <c r="B17" s="60" t="inlineStr">
        <is>
          <t>A008</t>
        </is>
      </c>
      <c r="C17" s="74" t="inlineStr">
        <is>
          <t>ISO</t>
        </is>
      </c>
      <c r="D17" s="66" t="inlineStr">
        <is>
          <t>RA7</t>
        </is>
      </c>
      <c r="E17" s="63" t="inlineStr">
        <is>
          <t>Directivas de seguridad y auditorías — práctica RA7</t>
        </is>
      </c>
      <c r="F17" s="64" t="inlineStr">
        <is>
          <t>🔧 Práctica</t>
        </is>
      </c>
      <c r="G17" s="63" t="inlineStr">
        <is>
          <t>secpol.msc · auditd · fail2ban</t>
        </is>
      </c>
      <c r="H17" s="73" t="inlineStr">
        <is>
          <t>EV3</t>
        </is>
      </c>
      <c r="I17" s="64" t="inlineStr">
        <is>
          <t>100%</t>
        </is>
      </c>
      <c r="J17" s="59">
        <f>HYPERLINK("../apuntes/04-FP/ISO/1-asir/directivas-de-seguridad-y-auditorias/index.html","📖 Ver apunte")</f>
        <v/>
      </c>
    </row>
    <row r="18" ht="18" customHeight="1">
      <c r="B18" s="54" t="inlineStr">
        <is>
          <t>A009</t>
        </is>
      </c>
      <c r="C18" s="75" t="inlineStr">
        <is>
          <t>ISO</t>
        </is>
      </c>
      <c r="D18" s="76" t="inlineStr">
        <is>
          <t>RA8</t>
        </is>
      </c>
      <c r="E18" s="57" t="inlineStr">
        <is>
          <t>Resolución de incidencias y asistencia técnica — práctica RA8</t>
        </is>
      </c>
      <c r="F18" s="58" t="inlineStr">
        <is>
          <t>🔧 Práctica</t>
        </is>
      </c>
      <c r="G18" s="57" t="inlineStr">
        <is>
          <t>WDS/MDT · VPN WireGuard · ITIL</t>
        </is>
      </c>
      <c r="H18" s="73" t="inlineStr">
        <is>
          <t>EV3</t>
        </is>
      </c>
      <c r="I18" s="58" t="inlineStr">
        <is>
          <t>100%</t>
        </is>
      </c>
      <c r="J18" s="59">
        <f>HYPERLINK("../apuntes/04-FP/ISO/1-asir/resolucion-de-incidencias-y-asistencia-tecnica/index.html","📖 Ver apunte")</f>
        <v/>
      </c>
    </row>
    <row r="19" ht="18" customHeight="1">
      <c r="B19" s="64" t="inlineStr">
        <is>
          <t>EX1</t>
        </is>
      </c>
      <c r="C19" s="77" t="inlineStr">
        <is>
          <t>ISO</t>
        </is>
      </c>
      <c r="D19" s="60" t="inlineStr">
        <is>
          <t>RA1, RA2</t>
        </is>
      </c>
      <c r="E19" s="63" t="inlineStr">
        <is>
          <t>Examen Evaluación 1</t>
        </is>
      </c>
      <c r="F19" s="64" t="inlineStr">
        <is>
          <t>📝 Examen</t>
        </is>
      </c>
      <c r="G19" s="63" t="inlineStr">
        <is>
          <t>examen · prueba escrita</t>
        </is>
      </c>
      <c r="H19" s="55" t="inlineStr">
        <is>
          <t>EV1</t>
        </is>
      </c>
      <c r="I19" s="64" t="inlineStr">
        <is>
          <t>variable</t>
        </is>
      </c>
      <c r="J19" s="78"/>
    </row>
    <row r="20" ht="18" customHeight="1">
      <c r="B20" s="58" t="inlineStr">
        <is>
          <t>EX2</t>
        </is>
      </c>
      <c r="C20" s="77" t="inlineStr">
        <is>
          <t>ISO</t>
        </is>
      </c>
      <c r="D20" s="60" t="inlineStr">
        <is>
          <t>RA3, RA4, RA5</t>
        </is>
      </c>
      <c r="E20" s="57" t="inlineStr">
        <is>
          <t>Examen Evaluación 2</t>
        </is>
      </c>
      <c r="F20" s="58" t="inlineStr">
        <is>
          <t>📝 Examen</t>
        </is>
      </c>
      <c r="G20" s="57" t="inlineStr">
        <is>
          <t>examen · prueba escrita</t>
        </is>
      </c>
      <c r="H20" s="61" t="inlineStr">
        <is>
          <t>EV2</t>
        </is>
      </c>
      <c r="I20" s="58" t="inlineStr">
        <is>
          <t>variable</t>
        </is>
      </c>
      <c r="J20" s="79"/>
    </row>
    <row r="21" ht="18" customHeight="1">
      <c r="B21" s="64" t="inlineStr">
        <is>
          <t>EX3</t>
        </is>
      </c>
      <c r="C21" s="77" t="inlineStr">
        <is>
          <t>ISO</t>
        </is>
      </c>
      <c r="D21" s="60" t="inlineStr">
        <is>
          <t>RA6, RA7, RA8</t>
        </is>
      </c>
      <c r="E21" s="63" t="inlineStr">
        <is>
          <t>Examen Evaluación 3</t>
        </is>
      </c>
      <c r="F21" s="64" t="inlineStr">
        <is>
          <t>📝 Examen</t>
        </is>
      </c>
      <c r="G21" s="63" t="inlineStr">
        <is>
          <t>examen · prueba escrita</t>
        </is>
      </c>
      <c r="H21" s="73" t="inlineStr">
        <is>
          <t>EV3</t>
        </is>
      </c>
      <c r="I21" s="64" t="inlineStr">
        <is>
          <t>variable</t>
        </is>
      </c>
      <c r="J21" s="78"/>
    </row>
    <row r="22" ht="18" customHeight="1">
      <c r="B22" s="54" t="inlineStr">
        <is>
          <t>A001</t>
        </is>
      </c>
      <c r="C22" s="55" t="inlineStr">
        <is>
          <t>PAR</t>
        </is>
      </c>
      <c r="D22" s="56" t="inlineStr">
        <is>
          <t>RA1</t>
        </is>
      </c>
      <c r="E22" s="57" t="inlineStr">
        <is>
          <t>Introducción a las redes locales — práctica RA1</t>
        </is>
      </c>
      <c r="F22" s="58" t="inlineStr">
        <is>
          <t>🔧 Práctica</t>
        </is>
      </c>
      <c r="G22" s="57" t="inlineStr">
        <is>
          <t>OSI · TCP/IP · Ethernet</t>
        </is>
      </c>
      <c r="H22" s="55" t="inlineStr">
        <is>
          <t>EV1</t>
        </is>
      </c>
      <c r="I22" s="58" t="inlineStr">
        <is>
          <t>100%</t>
        </is>
      </c>
      <c r="J22" s="59">
        <f>HYPERLINK("../apuntes/04-FP/PAR/1-asir/introduccion-a-las-redes-locales/index.html","📖 Ver apunte")</f>
        <v/>
      </c>
    </row>
    <row r="23" ht="18" customHeight="1">
      <c r="B23" s="60" t="inlineStr">
        <is>
          <t>A002</t>
        </is>
      </c>
      <c r="C23" s="61" t="inlineStr">
        <is>
          <t>PAR</t>
        </is>
      </c>
      <c r="D23" s="62" t="inlineStr">
        <is>
          <t>RA2</t>
        </is>
      </c>
      <c r="E23" s="63" t="inlineStr">
        <is>
          <t>Dispositivos de red y medios de transmisión — práctica RA2</t>
        </is>
      </c>
      <c r="F23" s="64" t="inlineStr">
        <is>
          <t>🔧 Práctica</t>
        </is>
      </c>
      <c r="G23" s="63" t="inlineStr">
        <is>
          <t>Switch · Router · Cableado estructurado</t>
        </is>
      </c>
      <c r="H23" s="55" t="inlineStr">
        <is>
          <t>EV1</t>
        </is>
      </c>
      <c r="I23" s="64" t="inlineStr">
        <is>
          <t>100%</t>
        </is>
      </c>
      <c r="J23" s="59">
        <f>HYPERLINK("../apuntes/04-FP/PAR/1-asir/dispositivos-de-red-y-medios-de-transmision/index.html","📖 Ver apunte")</f>
        <v/>
      </c>
    </row>
    <row r="24" ht="18" customHeight="1">
      <c r="B24" s="54" t="inlineStr">
        <is>
          <t>A003</t>
        </is>
      </c>
      <c r="C24" s="55" t="inlineStr">
        <is>
          <t>PAR</t>
        </is>
      </c>
      <c r="D24" s="56" t="inlineStr">
        <is>
          <t>RA1</t>
        </is>
      </c>
      <c r="E24" s="57" t="inlineStr">
        <is>
          <t>Dispositivos de red y medios de transmisión — práctica RA1</t>
        </is>
      </c>
      <c r="F24" s="58" t="inlineStr">
        <is>
          <t>🔧 Práctica</t>
        </is>
      </c>
      <c r="G24" s="57" t="inlineStr">
        <is>
          <t>Switch · Router · Cableado estructurado</t>
        </is>
      </c>
      <c r="H24" s="55" t="inlineStr">
        <is>
          <t>EV1</t>
        </is>
      </c>
      <c r="I24" s="58" t="inlineStr">
        <is>
          <t>100%</t>
        </is>
      </c>
      <c r="J24" s="59">
        <f>HYPERLINK("../apuntes/04-FP/PAR/1-asir/dispositivos-de-red-y-medios-de-transmision/index.html","📖 Ver apunte")</f>
        <v/>
      </c>
    </row>
    <row r="25" ht="18" customHeight="1">
      <c r="B25" s="60" t="inlineStr">
        <is>
          <t>A004</t>
        </is>
      </c>
      <c r="C25" s="65" t="inlineStr">
        <is>
          <t>PAR</t>
        </is>
      </c>
      <c r="D25" s="66" t="inlineStr">
        <is>
          <t>RA3</t>
        </is>
      </c>
      <c r="E25" s="63" t="inlineStr">
        <is>
          <t>Configuración y administración de conmutadores — práctica RA3</t>
        </is>
      </c>
      <c r="F25" s="64" t="inlineStr">
        <is>
          <t>🔧 Práctica</t>
        </is>
      </c>
      <c r="G25" s="63" t="inlineStr">
        <is>
          <t>VLANs · STP · Port-security</t>
        </is>
      </c>
      <c r="H25" s="61" t="inlineStr">
        <is>
          <t>EV2</t>
        </is>
      </c>
      <c r="I25" s="64" t="inlineStr">
        <is>
          <t>100%</t>
        </is>
      </c>
      <c r="J25" s="59">
        <f>HYPERLINK("../apuntes/04-FP/PAR/1-asir/configuracion-y-administracion-de-conmutadores/index.html","📖 Ver apunte")</f>
        <v/>
      </c>
    </row>
    <row r="26" ht="18" customHeight="1">
      <c r="B26" s="54" t="inlineStr">
        <is>
          <t>A005</t>
        </is>
      </c>
      <c r="C26" s="67" t="inlineStr">
        <is>
          <t>PAR</t>
        </is>
      </c>
      <c r="D26" s="68" t="inlineStr">
        <is>
          <t>RA4</t>
        </is>
      </c>
      <c r="E26" s="57" t="inlineStr">
        <is>
          <t>Configuración y administración de routers — práctica RA4</t>
        </is>
      </c>
      <c r="F26" s="58" t="inlineStr">
        <is>
          <t>🔧 Práctica</t>
        </is>
      </c>
      <c r="G26" s="57" t="inlineStr">
        <is>
          <t>OSPF · RIP · NAT · ACLs</t>
        </is>
      </c>
      <c r="H26" s="61" t="inlineStr">
        <is>
          <t>EV2</t>
        </is>
      </c>
      <c r="I26" s="58" t="inlineStr">
        <is>
          <t>100%</t>
        </is>
      </c>
      <c r="J26" s="59">
        <f>HYPERLINK("../apuntes/04-FP/PAR/1-asir/configuracion-y-administracion-de-routers/index.html","📖 Ver apunte")</f>
        <v/>
      </c>
    </row>
    <row r="27" ht="18" customHeight="1">
      <c r="B27" s="60" t="inlineStr">
        <is>
          <t>A006</t>
        </is>
      </c>
      <c r="C27" s="69" t="inlineStr">
        <is>
          <t>PAR</t>
        </is>
      </c>
      <c r="D27" s="70" t="inlineStr">
        <is>
          <t>RA5</t>
        </is>
      </c>
      <c r="E27" s="63" t="inlineStr">
        <is>
          <t>Configuración de redes inalámbricas — práctica RA5</t>
        </is>
      </c>
      <c r="F27" s="64" t="inlineStr">
        <is>
          <t>🔧 Práctica</t>
        </is>
      </c>
      <c r="G27" s="63" t="inlineStr">
        <is>
          <t>WiFi 6 · WPA3 · RADIUS</t>
        </is>
      </c>
      <c r="H27" s="61" t="inlineStr">
        <is>
          <t>EV2</t>
        </is>
      </c>
      <c r="I27" s="64" t="inlineStr">
        <is>
          <t>100%</t>
        </is>
      </c>
      <c r="J27" s="59">
        <f>HYPERLINK("../apuntes/04-FP/PAR/1-asir/configuracion-de-redes-inalambricas/index.html","📖 Ver apunte")</f>
        <v/>
      </c>
    </row>
    <row r="28" ht="18" customHeight="1">
      <c r="B28" s="54" t="inlineStr">
        <is>
          <t>A007</t>
        </is>
      </c>
      <c r="C28" s="67" t="inlineStr">
        <is>
          <t>PAR</t>
        </is>
      </c>
      <c r="D28" s="68" t="inlineStr">
        <is>
          <t>RA4</t>
        </is>
      </c>
      <c r="E28" s="57" t="inlineStr">
        <is>
          <t>Configuración de redes inalámbricas — práctica RA4</t>
        </is>
      </c>
      <c r="F28" s="58" t="inlineStr">
        <is>
          <t>🔧 Práctica</t>
        </is>
      </c>
      <c r="G28" s="57" t="inlineStr">
        <is>
          <t>WiFi 6 · WPA3 · RADIUS</t>
        </is>
      </c>
      <c r="H28" s="61" t="inlineStr">
        <is>
          <t>EV2</t>
        </is>
      </c>
      <c r="I28" s="58" t="inlineStr">
        <is>
          <t>100%</t>
        </is>
      </c>
      <c r="J28" s="59">
        <f>HYPERLINK("../apuntes/04-FP/PAR/1-asir/configuracion-de-redes-inalambricas/index.html","📖 Ver apunte")</f>
        <v/>
      </c>
    </row>
    <row r="29" ht="18" customHeight="1">
      <c r="B29" s="60" t="inlineStr">
        <is>
          <t>A008</t>
        </is>
      </c>
      <c r="C29" s="71" t="inlineStr">
        <is>
          <t>PAR</t>
        </is>
      </c>
      <c r="D29" s="72" t="inlineStr">
        <is>
          <t>RA6</t>
        </is>
      </c>
      <c r="E29" s="63" t="inlineStr">
        <is>
          <t>Resolución de incidencias de red — práctica RA6</t>
        </is>
      </c>
      <c r="F29" s="64" t="inlineStr">
        <is>
          <t>🔧 Práctica</t>
        </is>
      </c>
      <c r="G29" s="63" t="inlineStr">
        <is>
          <t>Wireshark · ping · traceroute · SNMP</t>
        </is>
      </c>
      <c r="H29" s="73" t="inlineStr">
        <is>
          <t>EV3</t>
        </is>
      </c>
      <c r="I29" s="64" t="inlineStr">
        <is>
          <t>100%</t>
        </is>
      </c>
      <c r="J29" s="59">
        <f>HYPERLINK("../apuntes/04-FP/PAR/1-asir/resolucion-de-incidencias-de-red/index.html","📖 Ver apunte")</f>
        <v/>
      </c>
    </row>
    <row r="30" ht="18" customHeight="1">
      <c r="B30" s="58" t="inlineStr">
        <is>
          <t>EX1</t>
        </is>
      </c>
      <c r="C30" s="77" t="inlineStr">
        <is>
          <t>PAR</t>
        </is>
      </c>
      <c r="D30" s="60" t="inlineStr">
        <is>
          <t>RA1, RA2</t>
        </is>
      </c>
      <c r="E30" s="57" t="inlineStr">
        <is>
          <t>Examen Evaluación 1</t>
        </is>
      </c>
      <c r="F30" s="58" t="inlineStr">
        <is>
          <t>📝 Examen</t>
        </is>
      </c>
      <c r="G30" s="57" t="inlineStr">
        <is>
          <t>examen · prueba escrita</t>
        </is>
      </c>
      <c r="H30" s="55" t="inlineStr">
        <is>
          <t>EV1</t>
        </is>
      </c>
      <c r="I30" s="58" t="inlineStr">
        <is>
          <t>variable</t>
        </is>
      </c>
      <c r="J30" s="79"/>
    </row>
    <row r="31" ht="18" customHeight="1">
      <c r="B31" s="64" t="inlineStr">
        <is>
          <t>EX2</t>
        </is>
      </c>
      <c r="C31" s="77" t="inlineStr">
        <is>
          <t>PAR</t>
        </is>
      </c>
      <c r="D31" s="60" t="inlineStr">
        <is>
          <t>RA3, RA4, RA5</t>
        </is>
      </c>
      <c r="E31" s="63" t="inlineStr">
        <is>
          <t>Examen Evaluación 2</t>
        </is>
      </c>
      <c r="F31" s="64" t="inlineStr">
        <is>
          <t>📝 Examen</t>
        </is>
      </c>
      <c r="G31" s="63" t="inlineStr">
        <is>
          <t>examen · prueba escrita</t>
        </is>
      </c>
      <c r="H31" s="61" t="inlineStr">
        <is>
          <t>EV2</t>
        </is>
      </c>
      <c r="I31" s="64" t="inlineStr">
        <is>
          <t>variable</t>
        </is>
      </c>
      <c r="J31" s="78"/>
    </row>
    <row r="32" ht="18" customHeight="1">
      <c r="B32" s="58" t="inlineStr">
        <is>
          <t>EX3</t>
        </is>
      </c>
      <c r="C32" s="77" t="inlineStr">
        <is>
          <t>PAR</t>
        </is>
      </c>
      <c r="D32" s="60" t="inlineStr">
        <is>
          <t>RA6</t>
        </is>
      </c>
      <c r="E32" s="57" t="inlineStr">
        <is>
          <t>Examen Evaluación 3</t>
        </is>
      </c>
      <c r="F32" s="58" t="inlineStr">
        <is>
          <t>📝 Examen</t>
        </is>
      </c>
      <c r="G32" s="57" t="inlineStr">
        <is>
          <t>examen · prueba escrita</t>
        </is>
      </c>
      <c r="H32" s="73" t="inlineStr">
        <is>
          <t>EV3</t>
        </is>
      </c>
      <c r="I32" s="58" t="inlineStr">
        <is>
          <t>variable</t>
        </is>
      </c>
      <c r="J32" s="79"/>
    </row>
    <row r="33" ht="5" customHeight="1">
      <c r="B33" s="1"/>
      <c r="C33" s="1"/>
      <c r="D33" s="1"/>
      <c r="E33" s="1"/>
      <c r="F33" s="1"/>
      <c r="G33" s="1"/>
      <c r="H33" s="1"/>
      <c r="I33" s="1"/>
      <c r="J33" s="1"/>
    </row>
    <row r="34" ht="14" customHeight="1">
      <c r="B34" s="80" t="inlineStr">
        <is>
          <t xml:space="preserve">  INSTRUCCIONES DE USO</t>
        </is>
      </c>
    </row>
    <row r="35" ht="16" customHeight="1">
      <c r="B35" s="81" t="inlineStr">
        <is>
          <t>• CU13 Buscar actividad: usa Ctrl+F en Excel para buscar por módulo, RA o tag.</t>
        </is>
      </c>
    </row>
    <row r="36" ht="16" customHeight="1">
      <c r="B36" s="81" t="inlineStr">
        <is>
          <t>• CU12 Duplicar actividad: copia la fila y pégala en la hoja Actividades del módulo destino.</t>
        </is>
      </c>
    </row>
    <row r="37" ht="16" customHeight="1">
      <c r="B37" s="81" t="inlineStr">
        <is>
          <t>• CU14 Crear rúbrica: ve a la hoja '{ABREV} · Rúbricas' del módulo correspondiente.</t>
        </is>
      </c>
    </row>
    <row r="38" ht="16" customHeight="1">
      <c r="B38" s="81" t="inlineStr">
        <is>
          <t>• CU05 Crear actividad: añade una fila en esta tabla y en la hoja Actividades del módulo.</t>
        </is>
      </c>
    </row>
    <row r="39" ht="16" customHeight="1">
      <c r="B39" s="81" t="inlineStr">
        <is>
          <t>• 📖 Apuntes: haz clic en 'Ver apunte' para abrir el HTML de la UT en el navegador.</t>
        </is>
      </c>
    </row>
    <row r="40" ht="16" customHeight="1">
      <c r="B40" s="81" t="inlineStr">
        <is>
          <t>• Para añadir un nuevo módulo edita teacher_config.py y regenera el libro.</t>
        </is>
      </c>
    </row>
  </sheetData>
  <mergeCells count="10">
    <mergeCell ref="B38:J38"/>
    <mergeCell ref="B34:J34"/>
    <mergeCell ref="B37:J37"/>
    <mergeCell ref="B36:J36"/>
    <mergeCell ref="B40:J40"/>
    <mergeCell ref="B35:J35"/>
    <mergeCell ref="B2:K2"/>
    <mergeCell ref="B39:J39"/>
    <mergeCell ref="B8:I8"/>
    <mergeCell ref="B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pane xSplit="1" ySplit="9" topLeftCell="B10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  <col width="20" customWidth="1" min="7" max="7"/>
    <col width="10" customWidth="1" min="8" max="8"/>
    <col width="16" customWidth="1" min="9" max="9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📅 Calendario Académico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Exámenes · Entregas · Recuperaciones — Curso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HYPERLINK("#Inicio!A1","🏠 Inicio")</f>
        <v/>
      </c>
      <c r="C5" s="6">
        <f>HYPERLINK("#Configuración!A1","⚙️ Config")</f>
        <v/>
      </c>
      <c r="D5" s="6">
        <f>HYPERLINK("#Mis Módulos!A1","📚 Módulos")</f>
        <v/>
      </c>
      <c r="E5" s="6">
        <f>HYPERLINK("#Biblioteca!A1","📖 Biblioteca")</f>
        <v/>
      </c>
      <c r="F5" s="5" t="inlineStr">
        <is>
          <t>📅 Calendario</t>
        </is>
      </c>
      <c r="G5" s="6">
        <f>HYPERLINK("#Hoy!A1","☀️ Hoy")</f>
        <v/>
      </c>
      <c r="H5" s="6">
        <f>HYPERLINK("#Dashboard Global!A1","📊 Dashboard+")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B8" s="35" t="inlineStr">
        <is>
          <t xml:space="preserve">  CALENDARIO DE EVENTOS ACADÉMICOS — introduce las fechas manualmente</t>
        </is>
      </c>
    </row>
    <row r="9" ht="28" customHeight="1">
      <c r="B9" s="36" t="inlineStr">
        <is>
          <t>Módulo</t>
        </is>
      </c>
      <c r="C9" s="36" t="inlineStr">
        <is>
          <t>Fecha inicio</t>
        </is>
      </c>
      <c r="D9" s="36" t="inlineStr">
        <is>
          <t>Fecha fin</t>
        </is>
      </c>
      <c r="E9" s="36" t="inlineStr">
        <is>
          <t>Evaluación</t>
        </is>
      </c>
      <c r="F9" s="36" t="inlineStr">
        <is>
          <t>Descripción</t>
        </is>
      </c>
      <c r="G9" s="37" t="inlineStr">
        <is>
          <t>Grupo</t>
        </is>
      </c>
      <c r="H9" s="37" t="inlineStr">
        <is>
          <t>Tipo</t>
        </is>
      </c>
      <c r="I9" s="37" t="inlineStr">
        <is>
          <t>Estado</t>
        </is>
      </c>
    </row>
    <row r="10" ht="18" customHeight="1">
      <c r="B10" s="60"/>
      <c r="C10" s="82"/>
      <c r="D10" s="82"/>
      <c r="E10" s="60"/>
      <c r="F10" s="63"/>
      <c r="G10" s="60"/>
      <c r="H10" s="60"/>
      <c r="I10" s="60"/>
    </row>
    <row r="11" ht="18" customHeight="1">
      <c r="B11" s="60"/>
      <c r="C11" s="83"/>
      <c r="D11" s="83"/>
      <c r="E11" s="54"/>
      <c r="F11" s="57"/>
      <c r="G11" s="54"/>
      <c r="H11" s="54"/>
      <c r="I11" s="54"/>
    </row>
    <row r="12" ht="18" customHeight="1">
      <c r="B12" s="60"/>
      <c r="C12" s="82"/>
      <c r="D12" s="82"/>
      <c r="E12" s="60"/>
      <c r="F12" s="63"/>
      <c r="G12" s="60"/>
      <c r="H12" s="60"/>
      <c r="I12" s="60"/>
    </row>
    <row r="13" ht="18" customHeight="1">
      <c r="B13" s="60"/>
      <c r="C13" s="83"/>
      <c r="D13" s="83"/>
      <c r="E13" s="54"/>
      <c r="F13" s="57"/>
      <c r="G13" s="54"/>
      <c r="H13" s="54"/>
      <c r="I13" s="54"/>
    </row>
    <row r="14" ht="18" customHeight="1">
      <c r="B14" s="60"/>
      <c r="C14" s="82"/>
      <c r="D14" s="82"/>
      <c r="E14" s="60"/>
      <c r="F14" s="63"/>
      <c r="G14" s="60"/>
      <c r="H14" s="60"/>
      <c r="I14" s="60"/>
    </row>
    <row r="15" ht="18" customHeight="1">
      <c r="B15" s="60"/>
      <c r="C15" s="83"/>
      <c r="D15" s="83"/>
      <c r="E15" s="54"/>
      <c r="F15" s="57"/>
      <c r="G15" s="54"/>
      <c r="H15" s="54"/>
      <c r="I15" s="54"/>
    </row>
    <row r="16" ht="18" customHeight="1">
      <c r="B16" s="60"/>
      <c r="C16" s="82"/>
      <c r="D16" s="82"/>
      <c r="E16" s="60"/>
      <c r="F16" s="63"/>
      <c r="G16" s="60"/>
      <c r="H16" s="60"/>
      <c r="I16" s="60"/>
    </row>
    <row r="17" ht="18" customHeight="1">
      <c r="B17" s="60"/>
      <c r="C17" s="83"/>
      <c r="D17" s="83"/>
      <c r="E17" s="54"/>
      <c r="F17" s="57"/>
      <c r="G17" s="54"/>
      <c r="H17" s="54"/>
      <c r="I17" s="54"/>
    </row>
    <row r="18" ht="18" customHeight="1">
      <c r="B18" s="60"/>
      <c r="C18" s="82"/>
      <c r="D18" s="82"/>
      <c r="E18" s="60"/>
      <c r="F18" s="63"/>
      <c r="G18" s="60"/>
      <c r="H18" s="60"/>
      <c r="I18" s="60"/>
    </row>
    <row r="19" ht="18" customHeight="1">
      <c r="B19" s="60"/>
      <c r="C19" s="83"/>
      <c r="D19" s="83"/>
      <c r="E19" s="54"/>
      <c r="F19" s="57"/>
      <c r="G19" s="54"/>
      <c r="H19" s="54"/>
      <c r="I19" s="54"/>
    </row>
    <row r="20" ht="18" customHeight="1">
      <c r="B20" s="60"/>
      <c r="C20" s="82"/>
      <c r="D20" s="82"/>
      <c r="E20" s="60"/>
      <c r="F20" s="63"/>
      <c r="G20" s="60"/>
      <c r="H20" s="60"/>
      <c r="I20" s="60"/>
    </row>
    <row r="21" ht="18" customHeight="1">
      <c r="B21" s="60"/>
      <c r="C21" s="83"/>
      <c r="D21" s="83"/>
      <c r="E21" s="54"/>
      <c r="F21" s="57"/>
      <c r="G21" s="54"/>
      <c r="H21" s="54"/>
      <c r="I21" s="54"/>
    </row>
    <row r="22" ht="18" customHeight="1">
      <c r="B22" s="60"/>
      <c r="C22" s="82"/>
      <c r="D22" s="82"/>
      <c r="E22" s="60"/>
      <c r="F22" s="63"/>
      <c r="G22" s="60"/>
      <c r="H22" s="60"/>
      <c r="I22" s="60"/>
    </row>
    <row r="23" ht="18" customHeight="1">
      <c r="B23" s="60"/>
      <c r="C23" s="83"/>
      <c r="D23" s="83"/>
      <c r="E23" s="54"/>
      <c r="F23" s="57"/>
      <c r="G23" s="54"/>
      <c r="H23" s="54"/>
      <c r="I23" s="54"/>
    </row>
    <row r="24" ht="18" customHeight="1">
      <c r="B24" s="60"/>
      <c r="C24" s="82"/>
      <c r="D24" s="82"/>
      <c r="E24" s="60"/>
      <c r="F24" s="63"/>
      <c r="G24" s="60"/>
      <c r="H24" s="60"/>
      <c r="I24" s="60"/>
    </row>
    <row r="25" ht="18" customHeight="1">
      <c r="B25" s="60"/>
      <c r="C25" s="83"/>
      <c r="D25" s="83"/>
      <c r="E25" s="54"/>
      <c r="F25" s="57"/>
      <c r="G25" s="54"/>
      <c r="H25" s="54"/>
      <c r="I25" s="54"/>
    </row>
    <row r="26" ht="18" customHeight="1">
      <c r="B26" s="60"/>
      <c r="C26" s="82"/>
      <c r="D26" s="82"/>
      <c r="E26" s="60"/>
      <c r="F26" s="63"/>
      <c r="G26" s="60"/>
      <c r="H26" s="60"/>
      <c r="I26" s="60"/>
    </row>
    <row r="27" ht="18" customHeight="1">
      <c r="B27" s="60"/>
      <c r="C27" s="83"/>
      <c r="D27" s="83"/>
      <c r="E27" s="54"/>
      <c r="F27" s="57"/>
      <c r="G27" s="54"/>
      <c r="H27" s="54"/>
      <c r="I27" s="54"/>
    </row>
    <row r="28" ht="18" customHeight="1">
      <c r="B28" s="60"/>
      <c r="C28" s="82"/>
      <c r="D28" s="82"/>
      <c r="E28" s="60"/>
      <c r="F28" s="63"/>
      <c r="G28" s="60"/>
      <c r="H28" s="60"/>
      <c r="I28" s="60"/>
    </row>
    <row r="29" ht="18" customHeight="1">
      <c r="B29" s="60"/>
      <c r="C29" s="83"/>
      <c r="D29" s="83"/>
      <c r="E29" s="54"/>
      <c r="F29" s="57"/>
      <c r="G29" s="54"/>
      <c r="H29" s="54"/>
      <c r="I29" s="54"/>
    </row>
    <row r="30" ht="18" customHeight="1">
      <c r="B30" s="60"/>
      <c r="C30" s="82"/>
      <c r="D30" s="82"/>
      <c r="E30" s="60"/>
      <c r="F30" s="63"/>
      <c r="G30" s="60"/>
      <c r="H30" s="60"/>
      <c r="I30" s="60"/>
    </row>
    <row r="31" ht="18" customHeight="1">
      <c r="B31" s="60"/>
      <c r="C31" s="83"/>
      <c r="D31" s="83"/>
      <c r="E31" s="54"/>
      <c r="F31" s="57"/>
      <c r="G31" s="54"/>
      <c r="H31" s="54"/>
      <c r="I31" s="54"/>
    </row>
    <row r="32" ht="18" customHeight="1">
      <c r="B32" s="60"/>
      <c r="C32" s="82"/>
      <c r="D32" s="82"/>
      <c r="E32" s="60"/>
      <c r="F32" s="63"/>
      <c r="G32" s="60"/>
      <c r="H32" s="60"/>
      <c r="I32" s="60"/>
    </row>
    <row r="33" ht="18" customHeight="1">
      <c r="B33" s="60"/>
      <c r="C33" s="83"/>
      <c r="D33" s="83"/>
      <c r="E33" s="54"/>
      <c r="F33" s="57"/>
      <c r="G33" s="54"/>
      <c r="H33" s="54"/>
      <c r="I33" s="54"/>
    </row>
    <row r="34" ht="18" customHeight="1">
      <c r="B34" s="60"/>
      <c r="C34" s="82"/>
      <c r="D34" s="82"/>
      <c r="E34" s="60"/>
      <c r="F34" s="63"/>
      <c r="G34" s="60"/>
      <c r="H34" s="60"/>
      <c r="I34" s="60"/>
    </row>
    <row r="35" ht="18" customHeight="1">
      <c r="B35" s="60"/>
      <c r="C35" s="83"/>
      <c r="D35" s="83"/>
      <c r="E35" s="54"/>
      <c r="F35" s="57"/>
      <c r="G35" s="54"/>
      <c r="H35" s="54"/>
      <c r="I35" s="54"/>
    </row>
    <row r="36" ht="18" customHeight="1">
      <c r="B36" s="60"/>
      <c r="C36" s="82"/>
      <c r="D36" s="82"/>
      <c r="E36" s="60"/>
      <c r="F36" s="63"/>
      <c r="G36" s="60"/>
      <c r="H36" s="60"/>
      <c r="I36" s="60"/>
    </row>
    <row r="37" ht="18" customHeight="1">
      <c r="B37" s="60"/>
      <c r="C37" s="83"/>
      <c r="D37" s="83"/>
      <c r="E37" s="54"/>
      <c r="F37" s="57"/>
      <c r="G37" s="54"/>
      <c r="H37" s="54"/>
      <c r="I37" s="54"/>
    </row>
    <row r="38" ht="18" customHeight="1">
      <c r="B38" s="60"/>
      <c r="C38" s="82"/>
      <c r="D38" s="82"/>
      <c r="E38" s="60"/>
      <c r="F38" s="63"/>
      <c r="G38" s="60"/>
      <c r="H38" s="60"/>
      <c r="I38" s="60"/>
    </row>
    <row r="39" ht="18" customHeight="1">
      <c r="B39" s="60"/>
      <c r="C39" s="83"/>
      <c r="D39" s="83"/>
      <c r="E39" s="54"/>
      <c r="F39" s="57"/>
      <c r="G39" s="54"/>
      <c r="H39" s="54"/>
      <c r="I39" s="54"/>
    </row>
    <row r="40" ht="18" customHeight="1">
      <c r="B40" s="60"/>
      <c r="C40" s="82"/>
      <c r="D40" s="82"/>
      <c r="E40" s="60"/>
      <c r="F40" s="63"/>
      <c r="G40" s="60"/>
      <c r="H40" s="60"/>
      <c r="I40" s="60"/>
    </row>
    <row r="41" ht="18" customHeight="1">
      <c r="B41" s="60"/>
      <c r="C41" s="83"/>
      <c r="D41" s="83"/>
      <c r="E41" s="54"/>
      <c r="F41" s="57"/>
      <c r="G41" s="54"/>
      <c r="H41" s="54"/>
      <c r="I41" s="54"/>
    </row>
    <row r="42" ht="18" customHeight="1">
      <c r="B42" s="60"/>
      <c r="C42" s="82"/>
      <c r="D42" s="82"/>
      <c r="E42" s="60"/>
      <c r="F42" s="63"/>
      <c r="G42" s="60"/>
      <c r="H42" s="60"/>
      <c r="I42" s="60"/>
    </row>
    <row r="43" ht="18" customHeight="1">
      <c r="B43" s="60"/>
      <c r="C43" s="83"/>
      <c r="D43" s="83"/>
      <c r="E43" s="54"/>
      <c r="F43" s="57"/>
      <c r="G43" s="54"/>
      <c r="H43" s="54"/>
      <c r="I43" s="54"/>
    </row>
    <row r="44" ht="18" customHeight="1">
      <c r="B44" s="60"/>
      <c r="C44" s="82"/>
      <c r="D44" s="82"/>
      <c r="E44" s="60"/>
      <c r="F44" s="63"/>
      <c r="G44" s="60"/>
      <c r="H44" s="60"/>
      <c r="I44" s="60"/>
    </row>
    <row r="45" ht="18" customHeight="1">
      <c r="B45" s="60"/>
      <c r="C45" s="83"/>
      <c r="D45" s="83"/>
      <c r="E45" s="54"/>
      <c r="F45" s="57"/>
      <c r="G45" s="54"/>
      <c r="H45" s="54"/>
      <c r="I45" s="54"/>
    </row>
    <row r="46" ht="18" customHeight="1">
      <c r="B46" s="60"/>
      <c r="C46" s="82"/>
      <c r="D46" s="82"/>
      <c r="E46" s="60"/>
      <c r="F46" s="63"/>
      <c r="G46" s="60"/>
      <c r="H46" s="60"/>
      <c r="I46" s="60"/>
    </row>
    <row r="47" ht="18" customHeight="1">
      <c r="B47" s="60"/>
      <c r="C47" s="83"/>
      <c r="D47" s="83"/>
      <c r="E47" s="54"/>
      <c r="F47" s="57"/>
      <c r="G47" s="54"/>
      <c r="H47" s="54"/>
      <c r="I47" s="54"/>
    </row>
    <row r="48" ht="18" customHeight="1">
      <c r="B48" s="60"/>
      <c r="C48" s="82"/>
      <c r="D48" s="82"/>
      <c r="E48" s="60"/>
      <c r="F48" s="63"/>
      <c r="G48" s="60"/>
      <c r="H48" s="60"/>
      <c r="I48" s="60"/>
    </row>
    <row r="49" ht="18" customHeight="1">
      <c r="B49" s="60"/>
      <c r="C49" s="83"/>
      <c r="D49" s="83"/>
      <c r="E49" s="54"/>
      <c r="F49" s="57"/>
      <c r="G49" s="54"/>
      <c r="H49" s="54"/>
      <c r="I49" s="54"/>
    </row>
    <row r="50" ht="18" customHeight="1">
      <c r="B50" s="60"/>
      <c r="C50" s="82"/>
      <c r="D50" s="82"/>
      <c r="E50" s="60"/>
      <c r="F50" s="63"/>
      <c r="G50" s="60"/>
      <c r="H50" s="60"/>
      <c r="I50" s="60"/>
    </row>
    <row r="51" ht="18" customHeight="1">
      <c r="B51" s="60"/>
      <c r="C51" s="83"/>
      <c r="D51" s="83"/>
      <c r="E51" s="54"/>
      <c r="F51" s="57"/>
      <c r="G51" s="54"/>
      <c r="H51" s="54"/>
      <c r="I51" s="54"/>
    </row>
    <row r="52" ht="18" customHeight="1">
      <c r="B52" s="60"/>
      <c r="C52" s="82"/>
      <c r="D52" s="82"/>
      <c r="E52" s="60"/>
      <c r="F52" s="63"/>
      <c r="G52" s="60"/>
      <c r="H52" s="60"/>
      <c r="I52" s="60"/>
    </row>
    <row r="53" ht="18" customHeight="1">
      <c r="B53" s="60"/>
      <c r="C53" s="83"/>
      <c r="D53" s="83"/>
      <c r="E53" s="54"/>
      <c r="F53" s="57"/>
      <c r="G53" s="54"/>
      <c r="H53" s="54"/>
      <c r="I53" s="54"/>
    </row>
    <row r="54" ht="18" customHeight="1">
      <c r="B54" s="60"/>
      <c r="C54" s="82"/>
      <c r="D54" s="82"/>
      <c r="E54" s="60"/>
      <c r="F54" s="63"/>
      <c r="G54" s="60"/>
      <c r="H54" s="60"/>
      <c r="I54" s="60"/>
    </row>
    <row r="55" ht="18" customHeight="1">
      <c r="B55" s="60"/>
      <c r="C55" s="83"/>
      <c r="D55" s="83"/>
      <c r="E55" s="54"/>
      <c r="F55" s="57"/>
      <c r="G55" s="54"/>
      <c r="H55" s="54"/>
      <c r="I55" s="54"/>
    </row>
    <row r="56" ht="18" customHeight="1">
      <c r="B56" s="60"/>
      <c r="C56" s="82"/>
      <c r="D56" s="82"/>
      <c r="E56" s="60"/>
      <c r="F56" s="63"/>
      <c r="G56" s="60"/>
      <c r="H56" s="60"/>
      <c r="I56" s="60"/>
    </row>
    <row r="57" ht="18" customHeight="1">
      <c r="B57" s="60"/>
      <c r="C57" s="83"/>
      <c r="D57" s="83"/>
      <c r="E57" s="54"/>
      <c r="F57" s="57"/>
      <c r="G57" s="54"/>
      <c r="H57" s="54"/>
      <c r="I57" s="54"/>
    </row>
    <row r="58" ht="18" customHeight="1">
      <c r="B58" s="60"/>
      <c r="C58" s="82"/>
      <c r="D58" s="82"/>
      <c r="E58" s="60"/>
      <c r="F58" s="63"/>
      <c r="G58" s="60"/>
      <c r="H58" s="60"/>
      <c r="I58" s="60"/>
    </row>
    <row r="59" ht="18" customHeight="1">
      <c r="B59" s="60"/>
      <c r="C59" s="83"/>
      <c r="D59" s="83"/>
      <c r="E59" s="54"/>
      <c r="F59" s="57"/>
      <c r="G59" s="54"/>
      <c r="H59" s="54"/>
      <c r="I59" s="54"/>
    </row>
    <row r="60" ht="18" customHeight="1">
      <c r="B60" s="60"/>
      <c r="C60" s="82"/>
      <c r="D60" s="82"/>
      <c r="E60" s="60"/>
      <c r="F60" s="63"/>
      <c r="G60" s="60"/>
      <c r="H60" s="60"/>
      <c r="I60" s="60"/>
    </row>
    <row r="61" ht="18" customHeight="1">
      <c r="B61" s="60"/>
      <c r="C61" s="83"/>
      <c r="D61" s="83"/>
      <c r="E61" s="54"/>
      <c r="F61" s="57"/>
      <c r="G61" s="54"/>
      <c r="H61" s="54"/>
      <c r="I61" s="54"/>
    </row>
    <row r="62" ht="18" customHeight="1">
      <c r="B62" s="60"/>
      <c r="C62" s="82"/>
      <c r="D62" s="82"/>
      <c r="E62" s="60"/>
      <c r="F62" s="63"/>
      <c r="G62" s="60"/>
      <c r="H62" s="60"/>
      <c r="I62" s="60"/>
    </row>
    <row r="63" ht="18" customHeight="1">
      <c r="B63" s="60"/>
      <c r="C63" s="83"/>
      <c r="D63" s="83"/>
      <c r="E63" s="54"/>
      <c r="F63" s="57"/>
      <c r="G63" s="54"/>
      <c r="H63" s="54"/>
      <c r="I63" s="54"/>
    </row>
    <row r="64" ht="18" customHeight="1">
      <c r="B64" s="60"/>
      <c r="C64" s="82"/>
      <c r="D64" s="82"/>
      <c r="E64" s="60"/>
      <c r="F64" s="63"/>
      <c r="G64" s="60"/>
      <c r="H64" s="60"/>
      <c r="I64" s="60"/>
    </row>
    <row r="65" ht="18" customHeight="1">
      <c r="B65" s="60"/>
      <c r="C65" s="83"/>
      <c r="D65" s="83"/>
      <c r="E65" s="54"/>
      <c r="F65" s="57"/>
      <c r="G65" s="54"/>
      <c r="H65" s="54"/>
      <c r="I65" s="54"/>
    </row>
    <row r="66" ht="18" customHeight="1">
      <c r="B66" s="60"/>
      <c r="C66" s="82"/>
      <c r="D66" s="82"/>
      <c r="E66" s="60"/>
      <c r="F66" s="63"/>
      <c r="G66" s="60"/>
      <c r="H66" s="60"/>
      <c r="I66" s="60"/>
    </row>
    <row r="67" ht="18" customHeight="1">
      <c r="B67" s="60"/>
      <c r="C67" s="83"/>
      <c r="D67" s="83"/>
      <c r="E67" s="54"/>
      <c r="F67" s="57"/>
      <c r="G67" s="54"/>
      <c r="H67" s="54"/>
      <c r="I67" s="54"/>
    </row>
    <row r="68" ht="18" customHeight="1">
      <c r="B68" s="60"/>
      <c r="C68" s="82"/>
      <c r="D68" s="82"/>
      <c r="E68" s="60"/>
      <c r="F68" s="63"/>
      <c r="G68" s="60"/>
      <c r="H68" s="60"/>
      <c r="I68" s="60"/>
    </row>
    <row r="69" ht="18" customHeight="1">
      <c r="B69" s="60"/>
      <c r="C69" s="83"/>
      <c r="D69" s="83"/>
      <c r="E69" s="54"/>
      <c r="F69" s="57"/>
      <c r="G69" s="54"/>
      <c r="H69" s="54"/>
      <c r="I69" s="54"/>
    </row>
    <row r="70" ht="14" customHeight="1">
      <c r="B70" s="44" t="inlineStr">
        <is>
          <t>★  Introduce los eventos del curso: exámenes, entregas de proyectos y recuperaciones. Usa Ctrl+F para buscar por módulo o grupo.</t>
        </is>
      </c>
    </row>
  </sheetData>
  <mergeCells count="4">
    <mergeCell ref="B70:I70"/>
    <mergeCell ref="B8:I8"/>
    <mergeCell ref="B3:K3"/>
    <mergeCell ref="B2:K2"/>
  </mergeCells>
  <dataValidations count="5">
    <dataValidation sqref="B10:B69" showDropDown="0" showInputMessage="0" showErrorMessage="0" allowBlank="1" type="list">
      <formula1>"ISO,PAR"</formula1>
    </dataValidation>
    <dataValidation sqref="E10:E69" showDropDown="0" showInputMessage="0" showErrorMessage="0" allowBlank="1" type="list">
      <formula1>"EV1,EV2,EV3"</formula1>
    </dataValidation>
    <dataValidation sqref="G10:G69" showDropDown="0" showInputMessage="0" showErrorMessage="0" allowBlank="1" type="list">
      <formula1>"1º ASIR-A,1º ASIR-A"</formula1>
    </dataValidation>
    <dataValidation sqref="H10:H69" showDropDown="0" showInputMessage="0" showErrorMessage="0" allowBlank="1" type="list">
      <formula1>"Examen,Entrega,Recuperación,Tutoría,Otro"</formula1>
    </dataValidation>
    <dataValidation sqref="I10:I69" showDropDown="0" showInputMessage="0" showErrorMessage="0" allowBlank="1" type="list">
      <formula1>"Pendiente,Confirmado,Realizado,Cancelado"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35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☀️ Panel Diario — Hoy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Pendientes · Próximos exámenes · Alumnos en riesgo · Tutorías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HYPERLINK("#Inicio!A1","🏠 Inicio")</f>
        <v/>
      </c>
      <c r="C5" s="6">
        <f>HYPERLINK("#Configuración!A1","⚙️ Config")</f>
        <v/>
      </c>
      <c r="D5" s="6">
        <f>HYPERLINK("#Mis Módulos!A1","📚 Módulos")</f>
        <v/>
      </c>
      <c r="E5" s="6">
        <f>HYPERLINK("#Biblioteca!A1","📖 Biblioteca")</f>
        <v/>
      </c>
      <c r="F5" s="6">
        <f>HYPERLINK("#Calendario!A1","📅 Calendario")</f>
        <v/>
      </c>
      <c r="G5" s="5" t="inlineStr">
        <is>
          <t>☀️ Hoy</t>
        </is>
      </c>
      <c r="H5" s="6">
        <f>HYPERLINK("#Dashboard Global!A1","📊 Dashboard+")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30" customHeight="1">
      <c r="B8" s="84">
        <f>TEXT(TODAY(),"DDDD, D DE MMMM DE YYYY")</f>
        <v/>
      </c>
      <c r="E8" s="85" t="inlineStr">
        <is>
          <t>Curso académico 2026-2027</t>
        </is>
      </c>
    </row>
    <row r="9" ht="5" customHeight="1">
      <c r="B9" s="1"/>
      <c r="C9" s="1"/>
      <c r="D9" s="1"/>
      <c r="E9" s="1"/>
      <c r="F9" s="1"/>
      <c r="G9" s="1"/>
    </row>
    <row r="10" ht="14" customHeight="1">
      <c r="B10" s="35" t="inlineStr">
        <is>
          <t xml:space="preserve">  MIS MÓDULOS HOY</t>
        </is>
      </c>
    </row>
    <row r="11" ht="20" customHeight="1">
      <c r="B11" s="86" t="inlineStr">
        <is>
          <t>Módulo</t>
        </is>
      </c>
      <c r="C11" s="86" t="inlineStr">
        <is>
          <t>Nombre completo</t>
        </is>
      </c>
      <c r="D11" s="87" t="inlineStr">
        <is>
          <t>Grupo</t>
        </is>
      </c>
      <c r="E11" s="87" t="inlineStr">
        <is>
          <t>Horas/sem</t>
        </is>
      </c>
      <c r="F11" s="87" t="inlineStr">
        <is>
          <t>Próx. examen</t>
        </is>
      </c>
      <c r="G11" s="87" t="inlineStr">
        <is>
          <t>Estado eval</t>
        </is>
      </c>
    </row>
    <row r="12" ht="20" customHeight="1">
      <c r="B12" s="88">
        <f>HYPERLINK("#ISO · Dashboard!A1","ISO")</f>
        <v/>
      </c>
      <c r="C12" s="57" t="inlineStr">
        <is>
          <t>Implantación de Sistemas Operativos</t>
        </is>
      </c>
      <c r="D12" s="89" t="inlineStr">
        <is>
          <t>1º ASIR-A</t>
        </is>
      </c>
      <c r="E12" s="58" t="inlineStr">
        <is>
          <t>6 h/sem</t>
        </is>
      </c>
      <c r="F12" s="90" t="inlineStr">
        <is>
          <t>→ ver Calendario</t>
        </is>
      </c>
      <c r="G12" s="74" t="inlineStr">
        <is>
          <t>En curso</t>
        </is>
      </c>
    </row>
    <row r="13" ht="20" customHeight="1">
      <c r="B13" s="88">
        <f>HYPERLINK("#PAR · Dashboard!A1","PAR")</f>
        <v/>
      </c>
      <c r="C13" s="57" t="inlineStr">
        <is>
          <t>Planificación y Administración de Redes</t>
        </is>
      </c>
      <c r="D13" s="89" t="inlineStr">
        <is>
          <t>1º ASIR-A</t>
        </is>
      </c>
      <c r="E13" s="58" t="inlineStr">
        <is>
          <t>5 h/sem</t>
        </is>
      </c>
      <c r="F13" s="90" t="inlineStr">
        <is>
          <t>→ ver Calendario</t>
        </is>
      </c>
      <c r="G13" s="74" t="inlineStr">
        <is>
          <t>En curso</t>
        </is>
      </c>
    </row>
    <row r="14" ht="5" customHeight="1">
      <c r="B14" s="1"/>
      <c r="C14" s="1"/>
      <c r="D14" s="1"/>
      <c r="E14" s="1"/>
      <c r="F14" s="1"/>
      <c r="G14" s="1"/>
    </row>
    <row r="15" ht="14" customHeight="1">
      <c r="B15" s="91" t="inlineStr">
        <is>
          <t xml:space="preserve">  ⚠️ ALUMNOS EN RIESGO — KPIs por módulo (desde Dashboard)</t>
        </is>
      </c>
    </row>
    <row r="16" ht="20" customHeight="1">
      <c r="B16" s="86" t="inlineStr">
        <is>
          <t>Módulo</t>
        </is>
      </c>
      <c r="C16" s="87" t="inlineStr">
        <is>
          <t>Grupo</t>
        </is>
      </c>
      <c r="D16" s="87" t="inlineStr">
        <is>
          <t>Activos</t>
        </is>
      </c>
      <c r="E16" s="92" t="inlineStr">
        <is>
          <t>Aptos</t>
        </is>
      </c>
      <c r="F16" s="93" t="inlineStr">
        <is>
          <t>No Aptos</t>
        </is>
      </c>
      <c r="G16" s="94" t="inlineStr">
        <is>
          <t>En Riesgo (&lt;4)</t>
        </is>
      </c>
    </row>
    <row r="17" ht="20" customHeight="1">
      <c r="B17" s="39" t="inlineStr">
        <is>
          <t>ISO</t>
        </is>
      </c>
      <c r="C17" s="95" t="inlineStr">
        <is>
          <t>1º ASIR-A</t>
        </is>
      </c>
      <c r="D17" s="39">
        <f>IFERROR(COUNTA('ISO · Alumnos'!C10:C39),"")</f>
        <v/>
      </c>
      <c r="E17" s="96">
        <f>IFERROR('ISO · Dashboard'!E10,"–")</f>
        <v/>
      </c>
      <c r="F17" s="97">
        <f>IFERROR('ISO · Dashboard'!G10,"–")</f>
        <v/>
      </c>
      <c r="G17" s="98">
        <f>IFERROR('ISO · Dashboard'!I10,"–")</f>
        <v/>
      </c>
    </row>
    <row r="18" ht="20" customHeight="1">
      <c r="B18" s="39" t="inlineStr">
        <is>
          <t>PAR</t>
        </is>
      </c>
      <c r="C18" s="95" t="inlineStr">
        <is>
          <t>1º ASIR-A</t>
        </is>
      </c>
      <c r="D18" s="39">
        <f>IFERROR(COUNTA('PAR · Alumnos'!C10:C39),"")</f>
        <v/>
      </c>
      <c r="E18" s="96">
        <f>IFERROR('PAR · Dashboard'!E10,"–")</f>
        <v/>
      </c>
      <c r="F18" s="97">
        <f>IFERROR('PAR · Dashboard'!G10,"–")</f>
        <v/>
      </c>
      <c r="G18" s="98">
        <f>IFERROR('PAR · Dashboard'!I10,"–")</f>
        <v/>
      </c>
    </row>
    <row r="19" ht="5" customHeight="1">
      <c r="B19" s="1"/>
      <c r="C19" s="1"/>
      <c r="D19" s="1"/>
      <c r="E19" s="1"/>
      <c r="F19" s="1"/>
      <c r="G19" s="1"/>
    </row>
    <row r="20" ht="14" customHeight="1">
      <c r="B20" s="80" t="inlineStr">
        <is>
          <t xml:space="preserve">  📝 NOTAS RÁPIDAS DEL DÍA — borra y reescribe cada jornada</t>
        </is>
      </c>
    </row>
    <row r="21" ht="20" customHeight="1">
      <c r="B21" s="99"/>
    </row>
    <row r="22" ht="20" customHeight="1">
      <c r="B22" s="100"/>
    </row>
    <row r="23" ht="20" customHeight="1">
      <c r="B23" s="99"/>
    </row>
    <row r="24" ht="20" customHeight="1">
      <c r="B24" s="100"/>
    </row>
    <row r="25" ht="20" customHeight="1">
      <c r="B25" s="99"/>
    </row>
    <row r="26" ht="20" customHeight="1">
      <c r="B26" s="100"/>
    </row>
    <row r="27" ht="20" customHeight="1">
      <c r="B27" s="99"/>
    </row>
    <row r="28" ht="20" customHeight="1">
      <c r="B28" s="100"/>
    </row>
    <row r="29" ht="14" customHeight="1">
      <c r="B29" s="44" t="inlineStr">
        <is>
          <t>★  El bloque 'En Riesgo' lee los KPIs directamente desde el Dashboard de cada módulo.</t>
        </is>
      </c>
    </row>
  </sheetData>
  <mergeCells count="16">
    <mergeCell ref="B24:G24"/>
    <mergeCell ref="B20:G20"/>
    <mergeCell ref="B10:G10"/>
    <mergeCell ref="B28:G28"/>
    <mergeCell ref="B22:G22"/>
    <mergeCell ref="B8:D8"/>
    <mergeCell ref="B23:G23"/>
    <mergeCell ref="E8:G8"/>
    <mergeCell ref="B27:G27"/>
    <mergeCell ref="B26:G26"/>
    <mergeCell ref="B29:G29"/>
    <mergeCell ref="B2:K2"/>
    <mergeCell ref="B21:G21"/>
    <mergeCell ref="B15:G15"/>
    <mergeCell ref="B3:K3"/>
    <mergeCell ref="B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📊 Dashboard Global — Curso Completo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Estadísticas consolidadas por módulo y grupo · Curso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HYPERLINK("#Inicio!A1","🏠 Inicio")</f>
        <v/>
      </c>
      <c r="C5" s="6">
        <f>HYPERLINK("#Configuración!A1","⚙️ Config")</f>
        <v/>
      </c>
      <c r="D5" s="6">
        <f>HYPERLINK("#Mis Módulos!A1","📚 Módulos")</f>
        <v/>
      </c>
      <c r="E5" s="6">
        <f>HYPERLINK("#Biblioteca!A1","📖 Biblioteca")</f>
        <v/>
      </c>
      <c r="F5" s="6">
        <f>HYPERLINK("#Calendario!A1","📅 Calendario")</f>
        <v/>
      </c>
      <c r="G5" s="6">
        <f>HYPERLINK("#Hoy!A1","☀️ Hoy")</f>
        <v/>
      </c>
      <c r="H5" s="5" t="inlineStr">
        <is>
          <t>📊 Dashboard+</t>
        </is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B8" s="35" t="inlineStr">
        <is>
          <t xml:space="preserve">  RESUMEN POR MÓDULO — datos en tiempo real desde cada Dashboard</t>
        </is>
      </c>
    </row>
    <row r="9" ht="28" customHeight="1">
      <c r="B9" s="36" t="inlineStr">
        <is>
          <t>Módulo</t>
        </is>
      </c>
      <c r="C9" s="36" t="inlineStr">
        <is>
          <t>Nombre</t>
        </is>
      </c>
      <c r="D9" s="37" t="inlineStr">
        <is>
          <t>Activos</t>
        </is>
      </c>
      <c r="E9" s="101" t="inlineStr">
        <is>
          <t>✅ Aptos</t>
        </is>
      </c>
      <c r="F9" s="102" t="inlineStr">
        <is>
          <t>❌ No Aptos</t>
        </is>
      </c>
      <c r="G9" s="103" t="inlineStr">
        <is>
          <t>⚠️ En Riesgo</t>
        </is>
      </c>
      <c r="H9" s="37" t="inlineStr">
        <is>
          <t>Media grupo</t>
        </is>
      </c>
      <c r="I9" s="37" t="inlineStr">
        <is>
          <t>% Aprobados</t>
        </is>
      </c>
    </row>
    <row r="10" ht="24" customHeight="1">
      <c r="B10" s="104">
        <f>HYPERLINK("#ISO · Dashboard!A1","ISO")</f>
        <v/>
      </c>
      <c r="C10" s="105" t="inlineStr">
        <is>
          <t>Implantación de Sistemas Operativos</t>
        </is>
      </c>
      <c r="D10" s="106">
        <f>IFERROR(COUNTA('ISO · Alumnos'!C10:C39),"")</f>
        <v/>
      </c>
      <c r="E10" s="107">
        <f>IFERROR(COUNTIF('ISO · 1ªORD'!M11:M40,"APTO"),"")</f>
        <v/>
      </c>
      <c r="F10" s="108">
        <f>IFERROR(COUNTIF('ISO · 1ªORD'!M11:M40,"NO APTO"),"")</f>
        <v/>
      </c>
      <c r="G10" s="109">
        <f>IFERROR(COUNTIFS('ISO · 1ªORD'!L11:L40,"&gt;0",'ISO · 1ªORD'!L11:L40,"&lt;4"),"")</f>
        <v/>
      </c>
      <c r="H10" s="110">
        <f>IFERROR(ROUND(AVERAGE('ISO · 1ªORD'!L11:L40),2),"")</f>
        <v/>
      </c>
      <c r="I10" s="111">
        <f>IFERROR(TEXT(COUNTIF('ISO · 1ªORD'!M11:M40,"APTO")/COUNTA('ISO · 1ªORD'!M11:M40),"0%"),"")</f>
        <v/>
      </c>
    </row>
    <row r="11" ht="24" customHeight="1">
      <c r="B11" s="104">
        <f>HYPERLINK("#PAR · Dashboard!A1","PAR")</f>
        <v/>
      </c>
      <c r="C11" s="105" t="inlineStr">
        <is>
          <t>Planificación y Administración de Rede</t>
        </is>
      </c>
      <c r="D11" s="106">
        <f>IFERROR(COUNTA('PAR · Alumnos'!C10:C39),"")</f>
        <v/>
      </c>
      <c r="E11" s="107">
        <f>IFERROR(COUNTIF('PAR · 1ªORD'!K11:K40,"APTO"),"")</f>
        <v/>
      </c>
      <c r="F11" s="108">
        <f>IFERROR(COUNTIF('PAR · 1ªORD'!K11:K40,"NO APTO"),"")</f>
        <v/>
      </c>
      <c r="G11" s="109">
        <f>IFERROR(COUNTIFS('PAR · 1ªORD'!J11:J40,"&gt;0",'PAR · 1ªORD'!J11:J40,"&lt;4"),"")</f>
        <v/>
      </c>
      <c r="H11" s="110">
        <f>IFERROR(ROUND(AVERAGE('PAR · 1ªORD'!J11:J40),2),"")</f>
        <v/>
      </c>
      <c r="I11" s="111">
        <f>IFERROR(TEXT(COUNTIF('PAR · 1ªORD'!K11:K40,"APTO")/COUNTA('PAR · 1ªORD'!K11:K40),"0%"),"")</f>
        <v/>
      </c>
    </row>
    <row r="12" ht="22" customHeight="1">
      <c r="B12" s="112" t="inlineStr">
        <is>
          <t>TOTAL CURSO</t>
        </is>
      </c>
      <c r="C12" s="112"/>
      <c r="D12" s="113">
        <f>SUM(D10:D11)</f>
        <v/>
      </c>
      <c r="E12" s="114">
        <f>SUM(E10:E11)</f>
        <v/>
      </c>
      <c r="F12" s="115">
        <f>SUM(F10:F11)</f>
        <v/>
      </c>
      <c r="G12" s="116">
        <f>SUM(G10:G11)</f>
        <v/>
      </c>
      <c r="H12" s="113">
        <f>IFERROR(ROUND(AVERAGE(H10:H11),2),"")</f>
        <v/>
      </c>
      <c r="I12" s="117">
        <f>IFERROR(TEXT(E11/D11,"0%"),"")</f>
        <v/>
      </c>
    </row>
    <row r="13" ht="5" customHeight="1">
      <c r="B13" s="1"/>
      <c r="C13" s="1"/>
      <c r="D13" s="1"/>
      <c r="E13" s="1"/>
      <c r="F13" s="1"/>
      <c r="G13" s="1"/>
      <c r="H13" s="1"/>
      <c r="I13" s="1"/>
    </row>
    <row r="14" ht="14" customHeight="1">
      <c r="B14" s="80" t="inlineStr">
        <is>
          <t xml:space="preserve">  ACCESOS RÁPIDOS — Dashboards por módulo</t>
        </is>
      </c>
    </row>
    <row r="15" ht="20" customHeight="1">
      <c r="B15" s="118" t="inlineStr">
        <is>
          <t>ISO — 1º ASIR-A</t>
        </is>
      </c>
      <c r="C15" s="41">
        <f>HYPERLINK("#ISO · Dashboard!A1","📊 Dashboard ISO")</f>
        <v/>
      </c>
      <c r="E15" s="119">
        <f>HYPERLINK("#ISO · Programación!A1","📋 Programación ISO")</f>
        <v/>
      </c>
      <c r="G15" s="119">
        <f>HYPERLINK("#ISO · Informe Grupo!A1","📄 Inf.Grupo ISO")</f>
        <v/>
      </c>
    </row>
    <row r="16" ht="20" customHeight="1">
      <c r="B16" s="118" t="inlineStr">
        <is>
          <t>PAR — 1º ASIR-A</t>
        </is>
      </c>
      <c r="C16" s="41">
        <f>HYPERLINK("#PAR · Dashboard!A1","📊 Dashboard PAR")</f>
        <v/>
      </c>
      <c r="E16" s="119">
        <f>HYPERLINK("#PAR · Programación!A1","📋 Programación PAR")</f>
        <v/>
      </c>
      <c r="G16" s="119">
        <f>HYPERLINK("#PAR · Informe Grupo!A1","📄 Inf.Grupo PAR")</f>
        <v/>
      </c>
    </row>
    <row r="18" ht="14" customHeight="1">
      <c r="B18" s="44" t="inlineStr">
        <is>
          <t>★  Todos los indicadores se calculan automáticamente desde las hojas 1ªORD y Alumnos de cada módulo.</t>
        </is>
      </c>
    </row>
  </sheetData>
  <mergeCells count="13">
    <mergeCell ref="B18:I18"/>
    <mergeCell ref="E16:F16"/>
    <mergeCell ref="C16:D16"/>
    <mergeCell ref="E15:F15"/>
    <mergeCell ref="C15:D15"/>
    <mergeCell ref="G16:H16"/>
    <mergeCell ref="G15:H15"/>
    <mergeCell ref="B15"/>
    <mergeCell ref="B16"/>
    <mergeCell ref="B14:I14"/>
    <mergeCell ref="B2:K2"/>
    <mergeCell ref="B8:I8"/>
    <mergeCell ref="B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3" t="inlineStr">
        <is>
          <t>EvalFP — Asistente IA (Sprint 2.6)</t>
        </is>
      </c>
    </row>
    <row r="2">
      <c r="A2" s="120" t="inlineStr">
        <is>
          <t>Generación de contenido pedagógico asistido por IA</t>
        </is>
      </c>
    </row>
    <row r="3">
      <c r="A3" t="inlineStr">
        <is>
          <t>────────────────────────────────────────────────────────────</t>
        </is>
      </c>
    </row>
    <row r="5">
      <c r="A5" s="121" t="inlineStr">
        <is>
          <t>¿Qué genera?</t>
        </is>
      </c>
      <c r="B5" s="122" t="inlineStr">
        <is>
          <t>Descriptores de rúbrica · Propuestas de actividades · Informes individuales</t>
        </is>
      </c>
    </row>
    <row r="6">
      <c r="A6" s="121" t="inlineStr">
        <is>
          <t>Script</t>
        </is>
      </c>
      <c r="B6" s="122" t="inlineStr">
        <is>
          <t>scripts/ai_asistente.py</t>
        </is>
      </c>
    </row>
    <row r="7">
      <c r="A7" s="121" t="inlineStr">
        <is>
          <t>Dependencia</t>
        </is>
      </c>
      <c r="B7" s="122" t="inlineStr">
        <is>
          <t>pip install anthropic   (o pip install openai)</t>
        </is>
      </c>
    </row>
    <row r="8">
      <c r="A8" s="121" t="inlineStr">
        <is>
          <t>API Key (Claude)</t>
        </is>
      </c>
      <c r="B8" s="122" t="inlineStr">
        <is>
          <t>Configura la variable de entorno: ANTHROPIC_API_KEY=sk-ant-...</t>
        </is>
      </c>
    </row>
    <row r="9">
      <c r="A9" s="121" t="inlineStr">
        <is>
          <t>API Key (OpenAI)</t>
        </is>
      </c>
      <c r="B9" s="122" t="inlineStr">
        <is>
          <t>Configura la variable de entorno: OPENAI_API_KEY=sk-...</t>
        </is>
      </c>
    </row>
    <row r="10">
      <c r="A10" s="121" t="inlineStr">
        <is>
          <t>Sin API Key</t>
        </is>
      </c>
      <c r="B10" s="122" t="inlineStr">
        <is>
          <t>Funciona en modo DEMO con texto de ejemplo (sin llamada a API)</t>
        </is>
      </c>
    </row>
    <row r="12">
      <c r="A12" s="123" t="inlineStr">
        <is>
          <t>Comandos de ejemplo</t>
        </is>
      </c>
      <c r="B12" s="7"/>
    </row>
    <row r="13">
      <c r="B13" s="124" t="inlineStr">
        <is>
          <t>python scripts/ai_asistente.py --ayuda</t>
        </is>
      </c>
    </row>
    <row r="14">
      <c r="B14" s="124" t="inlineStr">
        <is>
          <t># Módulo ISO</t>
        </is>
      </c>
    </row>
    <row r="15">
      <c r="B15" s="124" t="inlineStr">
        <is>
          <t>python scripts/ai_asistente.py rubrica   --modulo iso_data --ra RA1</t>
        </is>
      </c>
    </row>
    <row r="16">
      <c r="B16" s="124" t="inlineStr">
        <is>
          <t>python scripts/ai_asistente.py actividad --modulo iso_data --ra RA2 --n 3</t>
        </is>
      </c>
    </row>
    <row r="17">
      <c r="B17" s="124" t="inlineStr">
        <is>
          <t>python scripts/ai_asistente.py todo      --modulo iso_data --salida ia_output/iso</t>
        </is>
      </c>
    </row>
    <row r="18">
      <c r="B18" s="124" t="inlineStr">
        <is>
          <t># Módulo PAR</t>
        </is>
      </c>
    </row>
    <row r="19">
      <c r="B19" s="124" t="inlineStr">
        <is>
          <t>python scripts/ai_asistente.py rubrica   --modulo par_data --ra RA1</t>
        </is>
      </c>
    </row>
    <row r="20">
      <c r="B20" s="124" t="inlineStr">
        <is>
          <t>python scripts/ai_asistente.py actividad --modulo par_data --ra RA2 --n 3</t>
        </is>
      </c>
    </row>
    <row r="21">
      <c r="B21" s="124" t="inlineStr">
        <is>
          <t>python scripts/ai_asistente.py todo      --modulo par_data --salida ia_output/par</t>
        </is>
      </c>
    </row>
    <row r="23">
      <c r="A23" s="121" t="inlineStr">
        <is>
          <t>Generación completa</t>
        </is>
      </c>
    </row>
    <row r="24">
      <c r="B24" s="124" t="inlineStr">
        <is>
          <t>python scripts/build_template.py --ia   # genera xlsx + contenido IA</t>
        </is>
      </c>
    </row>
    <row r="26">
      <c r="A26" s="120" t="inlineStr">
        <is>
          <t>Módulos configurados: ISO, PAR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pane xSplit="3" ySplit="9" topLeftCell="D10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8" customWidth="1" min="3" max="3"/>
    <col width="35" customWidth="1" min="4" max="4"/>
    <col width="7" customWidth="1" min="5" max="5"/>
    <col width="7" customWidth="1" min="6" max="6"/>
    <col width="8" customWidth="1" min="7" max="7"/>
    <col width="24" customWidth="1" min="8" max="8"/>
    <col width="7" customWidth="1" min="9" max="9"/>
    <col width="9" customWidth="1" min="10" max="10"/>
    <col width="9" customWidth="1" min="11" max="11"/>
    <col width="10" customWidth="1" min="12" max="12"/>
    <col width="22" customWidth="1" min="13" max="13"/>
    <col width="16" customWidth="1" min="14" max="14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📋 Programación Didáctica — ISO 1º ASIR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Distribución de RAs y CEs por Unidad de Trabajo · Implantación de Sistemas Operativos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5" t="inlineStr">
        <is>
          <t>📋 Programa</t>
        </is>
      </c>
      <c r="D5" s="6">
        <f>HYPERLINK("#ISO · Alumnos!A1","👥 Alumnos")</f>
        <v/>
      </c>
      <c r="E5" s="6">
        <f>HYPERLINK("#ISO · Actividades!A1","📝 Actividades")</f>
        <v/>
      </c>
      <c r="F5" s="6">
        <f>HYPERLINK("#ISO · Reg. Notas!A1","📊 Reg. Notas")</f>
        <v/>
      </c>
      <c r="G5" s="6">
        <f>HYPERLINK("#ISO · Resumen!A1","📈 Resumen")</f>
        <v/>
      </c>
      <c r="H5" s="6">
        <f>HYPERLINK("#ISO · Evaluación 1!A1","Eval 1")</f>
        <v/>
      </c>
      <c r="I5" s="6">
        <f>HYPERLINK("#ISO · Evaluación 2!A1","Eval 2")</f>
        <v/>
      </c>
      <c r="J5" s="6">
        <f>HYPERLINK("#ISO · Evaluación 3!A1","Eval 3")</f>
        <v/>
      </c>
      <c r="K5" s="6">
        <f>HYPERLINK("#ISO · 1ªORD!A1","1ª ORD")</f>
        <v/>
      </c>
      <c r="L5" s="6">
        <f>HYPERLINK("#ISO · 2ªORD!A1","2ª ORD")</f>
        <v/>
      </c>
      <c r="M5" s="6">
        <f>HYPERLINK("#ISO · Rúbricas!A1","🎯 Rúbricas")</f>
        <v/>
      </c>
      <c r="N5" s="6">
        <f>HYPERLINK("#ISO · Informe Grupo!A1","📊 Inf.Grupo")</f>
        <v/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22" customHeight="1">
      <c r="B8" s="125" t="inlineStr">
        <is>
          <t>MAPA DE UNIDADES DE TRABAJO · RESULTADOS DE APRENDIZAJE · CRITERIOS DE EVALUACIÓN</t>
        </is>
      </c>
    </row>
    <row r="9" ht="36" customHeight="1">
      <c r="B9" s="126" t="inlineStr">
        <is>
          <t>Eval.</t>
        </is>
      </c>
      <c r="C9" s="126" t="inlineStr">
        <is>
          <t>UT</t>
        </is>
      </c>
      <c r="D9" s="126" t="inlineStr">
        <is>
          <t>Unidad de Trabajo</t>
        </is>
      </c>
      <c r="E9" s="126" t="inlineStr">
        <is>
          <t>Horas</t>
        </is>
      </c>
      <c r="F9" s="126" t="inlineStr">
        <is>
          <t>% Total</t>
        </is>
      </c>
      <c r="G9" s="126" t="inlineStr">
        <is>
          <t>RA</t>
        </is>
      </c>
      <c r="H9" s="126" t="inlineStr">
        <is>
          <t>Criterios de Evaluación (CEs)</t>
        </is>
      </c>
      <c r="I9" s="126" t="inlineStr">
        <is>
          <t>N.º CEs</t>
        </is>
      </c>
      <c r="J9" s="126" t="inlineStr">
        <is>
          <t>% RA en UT</t>
        </is>
      </c>
      <c r="K9" s="126" t="inlineStr">
        <is>
          <t>Horas RA en UT</t>
        </is>
      </c>
      <c r="L9" s="126" t="inlineStr">
        <is>
          <t>% Pond. Global RA</t>
        </is>
      </c>
      <c r="M9" s="126" t="inlineStr">
        <is>
          <t>Instrumento(s)</t>
        </is>
      </c>
      <c r="N9" s="126" t="inlineStr">
        <is>
          <t>📖 Apuntes</t>
        </is>
      </c>
    </row>
    <row r="10" ht="22" customHeight="1">
      <c r="B10" s="127" t="inlineStr">
        <is>
          <t>EV1</t>
        </is>
      </c>
      <c r="C10" s="14" t="inlineStr">
        <is>
          <t>UT1</t>
        </is>
      </c>
      <c r="D10" s="128" t="inlineStr">
        <is>
          <t>Instalación de software libre y propietario</t>
        </is>
      </c>
      <c r="E10" s="129" t="n">
        <v>30</v>
      </c>
      <c r="F10" s="17" t="inlineStr">
        <is>
          <t>16.1%</t>
        </is>
      </c>
      <c r="G10" s="130" t="inlineStr">
        <is>
          <t>RA1</t>
        </is>
      </c>
      <c r="H10" s="131" t="inlineStr">
        <is>
          <t>CR1  CR2  CR3  CR4  CR5  CR6  CR7  CR8</t>
        </is>
      </c>
      <c r="I10" s="17" t="n">
        <v>8</v>
      </c>
      <c r="J10" s="17" t="inlineStr">
        <is>
          <t>80.0%</t>
        </is>
      </c>
      <c r="K10" s="17" t="n">
        <v>24</v>
      </c>
      <c r="L10" s="132" t="inlineStr">
        <is>
          <t>13%</t>
        </is>
      </c>
      <c r="M10" s="133" t="inlineStr">
        <is>
          <t>📝 Examen  ·  🔧 Práctica</t>
        </is>
      </c>
      <c r="N10" s="59">
        <f>HYPERLINK("../apuntes/04-FP/ISO/1-asir/instalacion-de-software-libre-y-propietario/index.html","📖 Ver apunte")</f>
        <v/>
      </c>
    </row>
    <row r="11" ht="22" customHeight="1">
      <c r="B11" s="134"/>
      <c r="C11" s="14"/>
      <c r="D11" s="135"/>
      <c r="E11" s="17"/>
      <c r="F11" s="17"/>
      <c r="G11" s="136" t="inlineStr">
        <is>
          <t>RA2</t>
        </is>
      </c>
      <c r="H11" s="137" t="inlineStr">
        <is>
          <t>CR7  CR8</t>
        </is>
      </c>
      <c r="I11" s="17" t="n">
        <v>2</v>
      </c>
      <c r="J11" s="17" t="inlineStr">
        <is>
          <t>20.0%</t>
        </is>
      </c>
      <c r="K11" s="17" t="n">
        <v>6</v>
      </c>
      <c r="L11" s="138" t="inlineStr">
        <is>
          <t>19%</t>
        </is>
      </c>
      <c r="M11" s="139" t="inlineStr">
        <is>
          <t>📝 Examen  ·  🔧 Práctica</t>
        </is>
      </c>
      <c r="N11" s="78"/>
    </row>
    <row r="12" ht="4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22" customHeight="1">
      <c r="B13" s="127" t="inlineStr">
        <is>
          <t>EV1</t>
        </is>
      </c>
      <c r="C13" s="14" t="inlineStr">
        <is>
          <t>UT2</t>
        </is>
      </c>
      <c r="D13" s="140" t="inlineStr">
        <is>
          <t>Administración de software base</t>
        </is>
      </c>
      <c r="E13" s="95" t="n">
        <v>25</v>
      </c>
      <c r="F13" s="20" t="inlineStr">
        <is>
          <t>13.4%</t>
        </is>
      </c>
      <c r="G13" s="136" t="inlineStr">
        <is>
          <t>RA2</t>
        </is>
      </c>
      <c r="H13" s="137" t="inlineStr">
        <is>
          <t>CR1  CR2  CR3  CR4  CR5  CR6  CR10  CR11  CR12  CR13  CR14  CR16  CR17  CR19</t>
        </is>
      </c>
      <c r="I13" s="20" t="n">
        <v>14</v>
      </c>
      <c r="J13" s="20" t="inlineStr">
        <is>
          <t>93.3%</t>
        </is>
      </c>
      <c r="K13" s="20" t="n">
        <v>23.3</v>
      </c>
      <c r="L13" s="138" t="inlineStr">
        <is>
          <t>19%</t>
        </is>
      </c>
      <c r="M13" s="139" t="inlineStr">
        <is>
          <t>📝 Examen  ·  🔧 Práctica</t>
        </is>
      </c>
      <c r="N13" s="59">
        <f>HYPERLINK("../apuntes/04-FP/ISO/1-asir/administracion-de-software-base/index.html","📖 Ver apunte")</f>
        <v/>
      </c>
    </row>
    <row r="14" ht="22" customHeight="1">
      <c r="B14" s="134"/>
      <c r="C14" s="14"/>
      <c r="D14" s="141"/>
      <c r="E14" s="20"/>
      <c r="F14" s="20"/>
      <c r="G14" s="142" t="inlineStr">
        <is>
          <t>RA7</t>
        </is>
      </c>
      <c r="H14" s="143" t="inlineStr">
        <is>
          <t>CR1</t>
        </is>
      </c>
      <c r="I14" s="20" t="n">
        <v>1</v>
      </c>
      <c r="J14" s="20" t="inlineStr">
        <is>
          <t>6.7%</t>
        </is>
      </c>
      <c r="K14" s="20" t="n">
        <v>1.7</v>
      </c>
      <c r="L14" s="144" t="inlineStr">
        <is>
          <t>13%</t>
        </is>
      </c>
      <c r="M14" s="145" t="inlineStr">
        <is>
          <t>📝 Examen  ·  🔧 Práctica</t>
        </is>
      </c>
      <c r="N14" s="79"/>
    </row>
    <row r="15" ht="4" customHeight="1"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</row>
    <row r="16" ht="22" customHeight="1">
      <c r="B16" s="147" t="inlineStr">
        <is>
          <t>EV2</t>
        </is>
      </c>
      <c r="C16" s="14" t="inlineStr">
        <is>
          <t>UT3</t>
        </is>
      </c>
      <c r="D16" s="128" t="inlineStr">
        <is>
          <t>Administración y aseguramiento de la información</t>
        </is>
      </c>
      <c r="E16" s="129" t="n">
        <v>22</v>
      </c>
      <c r="F16" s="17" t="inlineStr">
        <is>
          <t>11.8%</t>
        </is>
      </c>
      <c r="G16" s="148" t="inlineStr">
        <is>
          <t>RA3</t>
        </is>
      </c>
      <c r="H16" s="143" t="inlineStr">
        <is>
          <t>CR1  CR2  CR3  CR4  CR5  CR6  CR7  CR8</t>
        </is>
      </c>
      <c r="I16" s="17" t="n">
        <v>8</v>
      </c>
      <c r="J16" s="17" t="inlineStr">
        <is>
          <t>72.7%</t>
        </is>
      </c>
      <c r="K16" s="17" t="n">
        <v>16</v>
      </c>
      <c r="L16" s="144" t="inlineStr">
        <is>
          <t>9%</t>
        </is>
      </c>
      <c r="M16" s="145" t="inlineStr">
        <is>
          <t>📝 Examen  ·  🔧 Práctica</t>
        </is>
      </c>
      <c r="N16" s="59">
        <f>HYPERLINK("../apuntes/04-FP/ISO/1-asir/administracion-y-aseguramiento-de-la-informacion/index.html","📖 Ver apunte")</f>
        <v/>
      </c>
    </row>
    <row r="17" ht="22" customHeight="1">
      <c r="B17" s="134"/>
      <c r="C17" s="14"/>
      <c r="D17" s="135"/>
      <c r="E17" s="17"/>
      <c r="F17" s="17"/>
      <c r="G17" s="136" t="inlineStr">
        <is>
          <t>RA2</t>
        </is>
      </c>
      <c r="H17" s="137" t="inlineStr">
        <is>
          <t>CR9  CR15  CR18</t>
        </is>
      </c>
      <c r="I17" s="17" t="n">
        <v>3</v>
      </c>
      <c r="J17" s="17" t="inlineStr">
        <is>
          <t>27.3%</t>
        </is>
      </c>
      <c r="K17" s="17" t="n">
        <v>6</v>
      </c>
      <c r="L17" s="138" t="inlineStr">
        <is>
          <t>19%</t>
        </is>
      </c>
      <c r="M17" s="139" t="inlineStr">
        <is>
          <t>📝 Examen  ·  🔧 Práctica</t>
        </is>
      </c>
      <c r="N17" s="78"/>
    </row>
    <row r="18" ht="4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22" customHeight="1">
      <c r="B19" s="147" t="inlineStr">
        <is>
          <t>EV2</t>
        </is>
      </c>
      <c r="C19" s="14" t="inlineStr">
        <is>
          <t>UT4</t>
        </is>
      </c>
      <c r="D19" s="140" t="inlineStr">
        <is>
          <t>Gestión de dominios</t>
        </is>
      </c>
      <c r="E19" s="95" t="n">
        <v>30</v>
      </c>
      <c r="F19" s="20" t="inlineStr">
        <is>
          <t>16.1%</t>
        </is>
      </c>
      <c r="G19" s="149" t="inlineStr">
        <is>
          <t>RA4</t>
        </is>
      </c>
      <c r="H19" s="150" t="inlineStr">
        <is>
          <t>CR1  CR2  CR3  CR4  CR5  CR6  CR7  CR8</t>
        </is>
      </c>
      <c r="I19" s="20" t="n">
        <v>8</v>
      </c>
      <c r="J19" s="20" t="inlineStr">
        <is>
          <t>100.0%</t>
        </is>
      </c>
      <c r="K19" s="20" t="n">
        <v>30</v>
      </c>
      <c r="L19" s="151" t="inlineStr">
        <is>
          <t>16%</t>
        </is>
      </c>
      <c r="M19" s="152" t="inlineStr">
        <is>
          <t>📝 Examen  ·  🔧 Práctica</t>
        </is>
      </c>
      <c r="N19" s="59">
        <f>HYPERLINK("../apuntes/04-FP/ISO/1-asir/gestion-de-dominios/index.html","📖 Ver apunte")</f>
        <v/>
      </c>
    </row>
    <row r="20" ht="4" customHeight="1"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</row>
    <row r="21" ht="22" customHeight="1">
      <c r="B21" s="147" t="inlineStr">
        <is>
          <t>EV2</t>
        </is>
      </c>
      <c r="C21" s="14" t="inlineStr">
        <is>
          <t>UT5</t>
        </is>
      </c>
      <c r="D21" s="128" t="inlineStr">
        <is>
          <t>Administración de acceso al dominio</t>
        </is>
      </c>
      <c r="E21" s="129" t="n">
        <v>25</v>
      </c>
      <c r="F21" s="17" t="inlineStr">
        <is>
          <t>13.4%</t>
        </is>
      </c>
      <c r="G21" s="153" t="inlineStr">
        <is>
          <t>RA5</t>
        </is>
      </c>
      <c r="H21" s="154" t="inlineStr">
        <is>
          <t>CR1  CR2  CR3  CR4  CR5  CR6  CR7</t>
        </is>
      </c>
      <c r="I21" s="17" t="n">
        <v>7</v>
      </c>
      <c r="J21" s="17" t="inlineStr">
        <is>
          <t>87.5%</t>
        </is>
      </c>
      <c r="K21" s="17" t="n">
        <v>21.9</v>
      </c>
      <c r="L21" s="155" t="inlineStr">
        <is>
          <t>13%</t>
        </is>
      </c>
      <c r="M21" s="156" t="inlineStr">
        <is>
          <t>📝 Examen  ·  🔧 Práctica</t>
        </is>
      </c>
      <c r="N21" s="59">
        <f>HYPERLINK("../apuntes/04-FP/ISO/1-asir/administracion-de-acceso-al-dominio/index.html","📖 Ver apunte")</f>
        <v/>
      </c>
    </row>
    <row r="22" ht="22" customHeight="1">
      <c r="B22" s="134"/>
      <c r="C22" s="14"/>
      <c r="D22" s="135"/>
      <c r="E22" s="17"/>
      <c r="F22" s="17"/>
      <c r="G22" s="142" t="inlineStr">
        <is>
          <t>RA7</t>
        </is>
      </c>
      <c r="H22" s="143" t="inlineStr">
        <is>
          <t>CR1</t>
        </is>
      </c>
      <c r="I22" s="17" t="n">
        <v>1</v>
      </c>
      <c r="J22" s="17" t="inlineStr">
        <is>
          <t>12.5%</t>
        </is>
      </c>
      <c r="K22" s="17" t="n">
        <v>3.1</v>
      </c>
      <c r="L22" s="144" t="inlineStr">
        <is>
          <t>13%</t>
        </is>
      </c>
      <c r="M22" s="145" t="inlineStr">
        <is>
          <t>📝 Examen  ·  🔧 Práctica</t>
        </is>
      </c>
      <c r="N22" s="78"/>
    </row>
    <row r="23" ht="4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22" customHeight="1">
      <c r="B24" s="157" t="inlineStr">
        <is>
          <t>EV3</t>
        </is>
      </c>
      <c r="C24" s="14" t="inlineStr">
        <is>
          <t>UT6</t>
        </is>
      </c>
      <c r="D24" s="140" t="inlineStr">
        <is>
          <t>Supervisión del rendimiento del sistema</t>
        </is>
      </c>
      <c r="E24" s="95" t="n">
        <v>22</v>
      </c>
      <c r="F24" s="20" t="inlineStr">
        <is>
          <t>11.8%</t>
        </is>
      </c>
      <c r="G24" s="158" t="inlineStr">
        <is>
          <t>RA6</t>
        </is>
      </c>
      <c r="H24" s="159" t="inlineStr">
        <is>
          <t>CR1  CR2  CR3  CR4  CR5  CR6  CR7  CR8  CR9  CR10</t>
        </is>
      </c>
      <c r="I24" s="20" t="n">
        <v>10</v>
      </c>
      <c r="J24" s="20" t="inlineStr">
        <is>
          <t>100.0%</t>
        </is>
      </c>
      <c r="K24" s="20" t="n">
        <v>22</v>
      </c>
      <c r="L24" s="160" t="inlineStr">
        <is>
          <t>12%</t>
        </is>
      </c>
      <c r="M24" s="161" t="inlineStr">
        <is>
          <t>📝 Examen  ·  🔧 Práctica</t>
        </is>
      </c>
      <c r="N24" s="59">
        <f>HYPERLINK("../apuntes/04-FP/ISO/1-asir/supervision-del-rendimiento-del-sistema/index.html","📖 Ver apunte")</f>
        <v/>
      </c>
    </row>
    <row r="25" ht="4" customHeight="1"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</row>
    <row r="26" ht="22" customHeight="1">
      <c r="B26" s="157" t="inlineStr">
        <is>
          <t>EV3</t>
        </is>
      </c>
      <c r="C26" s="14" t="inlineStr">
        <is>
          <t>UT7</t>
        </is>
      </c>
      <c r="D26" s="128" t="inlineStr">
        <is>
          <t>Directivas de seguridad y auditorías</t>
        </is>
      </c>
      <c r="E26" s="129" t="n">
        <v>22</v>
      </c>
      <c r="F26" s="17" t="inlineStr">
        <is>
          <t>11.8%</t>
        </is>
      </c>
      <c r="G26" s="142" t="inlineStr">
        <is>
          <t>RA7</t>
        </is>
      </c>
      <c r="H26" s="143" t="inlineStr">
        <is>
          <t>CR1  CR2  CR3  CR4  CR5  CR6  CR7  CR8  CR9</t>
        </is>
      </c>
      <c r="I26" s="17" t="n">
        <v>9</v>
      </c>
      <c r="J26" s="17" t="inlineStr">
        <is>
          <t>90.0%</t>
        </is>
      </c>
      <c r="K26" s="17" t="n">
        <v>19.8</v>
      </c>
      <c r="L26" s="144" t="inlineStr">
        <is>
          <t>13%</t>
        </is>
      </c>
      <c r="M26" s="145" t="inlineStr">
        <is>
          <t>📝 Examen  ·  🔧 Práctica</t>
        </is>
      </c>
      <c r="N26" s="59">
        <f>HYPERLINK("../apuntes/04-FP/ISO/1-asir/directivas-de-seguridad-y-auditorias/index.html","📖 Ver apunte")</f>
        <v/>
      </c>
    </row>
    <row r="27" ht="22" customHeight="1">
      <c r="B27" s="134"/>
      <c r="C27" s="14"/>
      <c r="D27" s="135"/>
      <c r="E27" s="17"/>
      <c r="F27" s="17"/>
      <c r="G27" s="153" t="inlineStr">
        <is>
          <t>RA5</t>
        </is>
      </c>
      <c r="H27" s="154" t="inlineStr">
        <is>
          <t>CR8</t>
        </is>
      </c>
      <c r="I27" s="17" t="n">
        <v>1</v>
      </c>
      <c r="J27" s="17" t="inlineStr">
        <is>
          <t>10.0%</t>
        </is>
      </c>
      <c r="K27" s="17" t="n">
        <v>2.2</v>
      </c>
      <c r="L27" s="155" t="inlineStr">
        <is>
          <t>13%</t>
        </is>
      </c>
      <c r="M27" s="156" t="inlineStr">
        <is>
          <t>📝 Examen  ·  🔧 Práctica</t>
        </is>
      </c>
      <c r="N27" s="78"/>
    </row>
    <row r="28" ht="4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22" customHeight="1">
      <c r="B29" s="157" t="inlineStr">
        <is>
          <t>EV3</t>
        </is>
      </c>
      <c r="C29" s="14" t="inlineStr">
        <is>
          <t>UT8</t>
        </is>
      </c>
      <c r="D29" s="140" t="inlineStr">
        <is>
          <t>Resolución de incidencias y asistencia técnica</t>
        </is>
      </c>
      <c r="E29" s="95" t="n">
        <v>10</v>
      </c>
      <c r="F29" s="20" t="inlineStr">
        <is>
          <t>5.4%</t>
        </is>
      </c>
      <c r="G29" s="162" t="inlineStr">
        <is>
          <t>🏢 RA8</t>
        </is>
      </c>
      <c r="H29" s="163" t="inlineStr">
        <is>
          <t>CR1  CR2  CR3  CR4  CR5  CR6  CR7  CR8  CR9</t>
        </is>
      </c>
      <c r="I29" s="20" t="n">
        <v>9</v>
      </c>
      <c r="J29" s="20" t="inlineStr">
        <is>
          <t>100.0%</t>
        </is>
      </c>
      <c r="K29" s="20" t="n">
        <v>10</v>
      </c>
      <c r="L29" s="164" t="inlineStr">
        <is>
          <t>5%</t>
        </is>
      </c>
      <c r="M29" s="165" t="inlineStr">
        <is>
          <t>🏢 Empresa</t>
        </is>
      </c>
      <c r="N29" s="59">
        <f>HYPERLINK("../apuntes/04-FP/ISO/1-asir/resolucion-de-incidencias-y-asistencia-tecnica/index.html","📖 Ver apunte")</f>
        <v/>
      </c>
    </row>
    <row r="30" ht="4" customHeight="1"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</row>
    <row r="32" ht="20" customHeight="1">
      <c r="B32" s="125" t="inlineStr">
        <is>
          <t>RESUMEN DE RESULTADOS DE APRENDIZAJE — PONDERACIÓN TOTAL DEL MÓDULO</t>
        </is>
      </c>
    </row>
    <row r="33" ht="22" customHeight="1">
      <c r="B33" s="166" t="inlineStr">
        <is>
          <t>Eval.</t>
        </is>
      </c>
      <c r="C33" s="166" t="inlineStr">
        <is>
          <t>RA</t>
        </is>
      </c>
      <c r="D33" s="166" t="inlineStr">
        <is>
          <t>Resultado de Aprendizaje</t>
        </is>
      </c>
      <c r="E33" s="166" t="inlineStr">
        <is>
          <t>Total CEs</t>
        </is>
      </c>
      <c r="F33" s="166" t="inlineStr">
        <is>
          <t>Horas equiv.</t>
        </is>
      </c>
      <c r="G33" s="166" t="inlineStr">
        <is>
          <t>Ponderación %</t>
        </is>
      </c>
      <c r="H33" s="166" t="inlineStr">
        <is>
          <t>Instrumento(s)</t>
        </is>
      </c>
      <c r="I33" s="167"/>
      <c r="J33" s="167"/>
      <c r="K33" s="167"/>
      <c r="L33" s="167"/>
      <c r="M33" s="167"/>
      <c r="N33" s="168"/>
    </row>
    <row r="34" ht="20" customHeight="1">
      <c r="B34" s="127" t="inlineStr">
        <is>
          <t>EV1</t>
        </is>
      </c>
      <c r="C34" s="130" t="inlineStr">
        <is>
          <t>RA1</t>
        </is>
      </c>
      <c r="D34" s="135" t="inlineStr">
        <is>
          <t>Instala sistemas operativos, relacionando sus características con el hardware del equipo y el software de aplicación.</t>
        </is>
      </c>
      <c r="E34" s="17" t="n">
        <v>8</v>
      </c>
      <c r="F34" s="17" t="inlineStr">
        <is>
          <t>24.0 h</t>
        </is>
      </c>
      <c r="G34" s="132" t="inlineStr">
        <is>
          <t>13%</t>
        </is>
      </c>
      <c r="H34" s="169" t="inlineStr">
        <is>
          <t>📝 Examen  ·  🔧 Práctica</t>
        </is>
      </c>
    </row>
    <row r="35" ht="20" customHeight="1">
      <c r="B35" s="127" t="inlineStr">
        <is>
          <t>EV1</t>
        </is>
      </c>
      <c r="C35" s="136" t="inlineStr">
        <is>
          <t>RA2</t>
        </is>
      </c>
      <c r="D35" s="141" t="inlineStr">
        <is>
          <t>Gestiona el software de base, aplicando criterios de explotación del sistema.</t>
        </is>
      </c>
      <c r="E35" s="20" t="n">
        <v>19</v>
      </c>
      <c r="F35" s="20" t="inlineStr">
        <is>
          <t>35.3 h</t>
        </is>
      </c>
      <c r="G35" s="138" t="inlineStr">
        <is>
          <t>19%</t>
        </is>
      </c>
      <c r="H35" s="170" t="inlineStr">
        <is>
          <t>📝 Examen  ·  🔧 Práctica</t>
        </is>
      </c>
    </row>
    <row r="36" ht="20" customHeight="1">
      <c r="B36" s="147" t="inlineStr">
        <is>
          <t>EV2</t>
        </is>
      </c>
      <c r="C36" s="148" t="inlineStr">
        <is>
          <t>RA3</t>
        </is>
      </c>
      <c r="D36" s="135" t="inlineStr">
        <is>
          <t>Asegura y recupera el sistema, aplicando procedimientos de administración de la información.</t>
        </is>
      </c>
      <c r="E36" s="17" t="n">
        <v>8</v>
      </c>
      <c r="F36" s="17" t="inlineStr">
        <is>
          <t>16.0 h</t>
        </is>
      </c>
      <c r="G36" s="144" t="inlineStr">
        <is>
          <t>9%</t>
        </is>
      </c>
      <c r="H36" s="171" t="inlineStr">
        <is>
          <t>📝 Examen  ·  🔧 Práctica</t>
        </is>
      </c>
    </row>
    <row r="37" ht="20" customHeight="1">
      <c r="B37" s="147" t="inlineStr">
        <is>
          <t>EV2</t>
        </is>
      </c>
      <c r="C37" s="149" t="inlineStr">
        <is>
          <t>RA4</t>
        </is>
      </c>
      <c r="D37" s="141" t="inlineStr">
        <is>
          <t>Gestiona dominios, elaborando el modelo lógico de la red en un entorno de trabajo.</t>
        </is>
      </c>
      <c r="E37" s="20" t="n">
        <v>8</v>
      </c>
      <c r="F37" s="20" t="inlineStr">
        <is>
          <t>30.0 h</t>
        </is>
      </c>
      <c r="G37" s="151" t="inlineStr">
        <is>
          <t>16%</t>
        </is>
      </c>
      <c r="H37" s="172" t="inlineStr">
        <is>
          <t>📝 Examen  ·  🔧 Práctica</t>
        </is>
      </c>
    </row>
    <row r="38" ht="20" customHeight="1">
      <c r="B38" s="147" t="inlineStr">
        <is>
          <t>EV2</t>
        </is>
      </c>
      <c r="C38" s="153" t="inlineStr">
        <is>
          <t>RA5</t>
        </is>
      </c>
      <c r="D38" s="135" t="inlineStr">
        <is>
          <t>Administra el acceso al dominio, gestionando servidores de directorio y verificando el acceso de los usuarios.</t>
        </is>
      </c>
      <c r="E38" s="17" t="n">
        <v>8</v>
      </c>
      <c r="F38" s="17" t="inlineStr">
        <is>
          <t>24.1 h</t>
        </is>
      </c>
      <c r="G38" s="155" t="inlineStr">
        <is>
          <t>13%</t>
        </is>
      </c>
      <c r="H38" s="173" t="inlineStr">
        <is>
          <t>📝 Examen  ·  🔧 Práctica</t>
        </is>
      </c>
    </row>
    <row r="39" ht="20" customHeight="1">
      <c r="B39" s="157" t="inlineStr">
        <is>
          <t>EV3</t>
        </is>
      </c>
      <c r="C39" s="158" t="inlineStr">
        <is>
          <t>RA6</t>
        </is>
      </c>
      <c r="D39" s="141" t="inlineStr">
        <is>
          <t>Supervisa el rendimiento del sistema, diagnosticando las causas de pérdidas de rendimiento.</t>
        </is>
      </c>
      <c r="E39" s="20" t="n">
        <v>10</v>
      </c>
      <c r="F39" s="20" t="inlineStr">
        <is>
          <t>22.0 h</t>
        </is>
      </c>
      <c r="G39" s="160" t="inlineStr">
        <is>
          <t>12%</t>
        </is>
      </c>
      <c r="H39" s="174" t="inlineStr">
        <is>
          <t>📝 Examen  ·  🔧 Práctica</t>
        </is>
      </c>
    </row>
    <row r="40" ht="20" customHeight="1">
      <c r="B40" s="157" t="inlineStr">
        <is>
          <t>EV3</t>
        </is>
      </c>
      <c r="C40" s="142" t="inlineStr">
        <is>
          <t>RA7</t>
        </is>
      </c>
      <c r="D40" s="135" t="inlineStr">
        <is>
          <t>Aplica directivas de seguridad y gestiona auditorías, interpretando y aplicando la normativa vigente.</t>
        </is>
      </c>
      <c r="E40" s="17" t="n">
        <v>9</v>
      </c>
      <c r="F40" s="17" t="inlineStr">
        <is>
          <t>24.6 h</t>
        </is>
      </c>
      <c r="G40" s="144" t="inlineStr">
        <is>
          <t>13%</t>
        </is>
      </c>
      <c r="H40" s="171" t="inlineStr">
        <is>
          <t>📝 Examen  ·  🔧 Práctica</t>
        </is>
      </c>
    </row>
    <row r="41" ht="20" customHeight="1">
      <c r="B41" s="157" t="inlineStr">
        <is>
          <t>EV3</t>
        </is>
      </c>
      <c r="C41" s="162" t="inlineStr">
        <is>
          <t>🏢 RA8</t>
        </is>
      </c>
      <c r="D41" s="141" t="inlineStr">
        <is>
          <t>Establece la conexión en red de los sistemas informáticos, configurando dispositivos y protocolos.</t>
        </is>
      </c>
      <c r="E41" s="20" t="n">
        <v>9</v>
      </c>
      <c r="F41" s="20" t="inlineStr">
        <is>
          <t>10.0 h</t>
        </is>
      </c>
      <c r="G41" s="164" t="inlineStr">
        <is>
          <t>5%</t>
        </is>
      </c>
      <c r="H41" s="175" t="inlineStr">
        <is>
          <t>🏢 Empresa</t>
        </is>
      </c>
    </row>
    <row r="42" ht="20" customHeight="1">
      <c r="B42" s="176" t="inlineStr">
        <is>
          <t>TOTAL — 8 Resultados de Aprendizaje</t>
        </is>
      </c>
      <c r="E42" s="14" t="n">
        <v>79</v>
      </c>
      <c r="F42" s="14" t="inlineStr">
        <is>
          <t>186 h</t>
        </is>
      </c>
      <c r="G42" s="14" t="inlineStr">
        <is>
          <t>100%</t>
        </is>
      </c>
      <c r="H42" s="2"/>
    </row>
    <row r="44" ht="14" customHeight="1">
      <c r="B44" s="177" t="inlineStr">
        <is>
          <t>🏢  EVALUACIÓN DUAL — Justificación</t>
        </is>
      </c>
    </row>
    <row r="45" ht="80" customHeight="1">
      <c r="B45" s="178" t="inlineStr">
        <is>
          <t>RA8 — Resolución de incidencias y asistencia técnica — se evalúa en modalidad DUAL de acuerdo con el artículo 42 de la Ley Orgánica 3/2022 de ordenación e integración de la FP, que obliga a dualizar un mínimo del 10% de los Resultados de Aprendizaje. Se ha seleccionado este RA por ser el de mayor aplicabilidad en entorno laboral real (gestión de incidencias ITIL, WDS/MDT, VPN, acceso remoto), el de menor peso ponderado (5% = 0,05 de la nota final) y el que más naturalmente puede ser evaluado por un tutor de empresa sin necesidad de instrumentos técnicos específicos del centro. La calificación la otorga el tutor/a de empresa y se incorpora directamente a la columna RA8 de la hoja 1ªORD.
NOTA IMPORTANTE: En el caso de que este RA no llegue a impartirse en el centro educativo por falta de tiempo lectivo, la evaluación recae íntegramente (100%) en el tutor/a de empresa. Esta circunstancia está prevista y amparada por la modalidad dual: el alumno/a adquiere y demuestra los contenidos de este RA exclusivamente en el entorno de trabajo, y la calificación del tutor/a de empresa es la única que computa para este RA. El peso en la nota final del módulo sigue siendo el mismo: 5% (0,05).</t>
        </is>
      </c>
    </row>
    <row r="46" ht="16" customHeight="1">
      <c r="B46" s="179" t="inlineStr">
        <is>
          <t>Peso del RA dual en la nota final: 5% = 0.05 puntos sobre 1  |  Evaluador: Tutor/a de empresa  |  Base legal: Ley Orgánica 3/2022, art. 42</t>
        </is>
      </c>
    </row>
  </sheetData>
  <mergeCells count="18">
    <mergeCell ref="B46:N46"/>
    <mergeCell ref="H41:N41"/>
    <mergeCell ref="B42:D42"/>
    <mergeCell ref="H37:N37"/>
    <mergeCell ref="H36:N36"/>
    <mergeCell ref="B45:N45"/>
    <mergeCell ref="B8:N8"/>
    <mergeCell ref="B32:N32"/>
    <mergeCell ref="H40:N40"/>
    <mergeCell ref="H39:N39"/>
    <mergeCell ref="H34:N34"/>
    <mergeCell ref="H35:N35"/>
    <mergeCell ref="B44:N44"/>
    <mergeCell ref="H38:N38"/>
    <mergeCell ref="B2:K2"/>
    <mergeCell ref="H42:N42"/>
    <mergeCell ref="B3:K3"/>
    <mergeCell ref="H33:N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5" customWidth="1" min="3" max="3"/>
    <col width="20" customWidth="1" min="4" max="4"/>
    <col width="12" customWidth="1" min="5" max="5"/>
    <col width="15" customWidth="1" min="6" max="6"/>
    <col width="28" customWidth="1" min="7" max="7"/>
    <col width="28" customWidth="1" min="8" max="8"/>
    <col width="15" customWidth="1" min="9" max="9"/>
    <col width="12" customWidth="1" min="10" max="10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👥 Lista de Alumnos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Registro de alumnado del grupo — datos académicos y de contacto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5" t="inlineStr">
        <is>
          <t>👥 Alumnos</t>
        </is>
      </c>
      <c r="E5" s="6">
        <f>HYPERLINK("#ISO · Actividades!A1","📝 Actividades")</f>
        <v/>
      </c>
      <c r="F5" s="6">
        <f>HYPERLINK("#ISO · Reg. Notas!A1","📊 Reg. Notas")</f>
        <v/>
      </c>
      <c r="G5" s="6">
        <f>HYPERLINK("#ISO · Resumen!A1","📈 Resumen")</f>
        <v/>
      </c>
      <c r="H5" s="6">
        <f>HYPERLINK("#ISO · Evaluación 1!A1","Eval 1")</f>
        <v/>
      </c>
      <c r="I5" s="6">
        <f>HYPERLINK("#ISO · Evaluación 2!A1","Eval 2")</f>
        <v/>
      </c>
      <c r="J5" s="6">
        <f>HYPERLINK("#ISO · Evaluación 3!A1","Eval 3")</f>
        <v/>
      </c>
      <c r="K5" s="6">
        <f>HYPERLINK("#ISO · 1ªORD!A1","1ª ORD")</f>
        <v/>
      </c>
      <c r="L5" s="6">
        <f>HYPERLINK("#ISO · 2ªORD!A1","2ª ORD")</f>
        <v/>
      </c>
      <c r="M5" s="6">
        <f>HYPERLINK("#ISO · Rúbricas!A1","🎯 Rúbricas")</f>
        <v/>
      </c>
      <c r="N5" s="6">
        <f>HYPERLINK("#ISO · Informe Grupo!A1","📊 Inf.Grupo")</f>
        <v/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8" customHeight="1">
      <c r="B8" s="180" t="inlineStr">
        <is>
          <t>Total activos:</t>
        </is>
      </c>
      <c r="C8" s="181">
        <f>COUNTIF(J9:J38,"Activo")</f>
        <v/>
      </c>
      <c r="D8" s="180" t="inlineStr">
        <is>
          <t>Bajas:</t>
        </is>
      </c>
      <c r="E8" s="182">
        <f>COUNTIF(J9:J38,"Baja")</f>
        <v/>
      </c>
      <c r="F8" s="180" t="inlineStr">
        <is>
          <t>Pendientes:</t>
        </is>
      </c>
      <c r="G8" s="183">
        <f>COUNTIF(J9:J38,"Pendiente")</f>
        <v/>
      </c>
    </row>
    <row r="9" ht="22" customHeight="1">
      <c r="B9" s="14" t="inlineStr">
        <is>
          <t>Nº</t>
        </is>
      </c>
      <c r="C9" s="14" t="inlineStr">
        <is>
          <t>Apellidos</t>
        </is>
      </c>
      <c r="D9" s="14" t="inlineStr">
        <is>
          <t>Nombre</t>
        </is>
      </c>
      <c r="E9" s="14" t="inlineStr">
        <is>
          <t>NIA / Exp.</t>
        </is>
      </c>
      <c r="F9" s="14" t="inlineStr">
        <is>
          <t>Fecha nacim.</t>
        </is>
      </c>
      <c r="G9" s="14" t="inlineStr">
        <is>
          <t>Email</t>
        </is>
      </c>
      <c r="H9" s="14" t="inlineStr">
        <is>
          <t>Teléfono contacto</t>
        </is>
      </c>
      <c r="I9" s="14" t="inlineStr">
        <is>
          <t>Observaciones</t>
        </is>
      </c>
      <c r="J9" s="14" t="inlineStr">
        <is>
          <t>Estado</t>
        </is>
      </c>
    </row>
    <row r="10" ht="18" customHeight="1">
      <c r="B10" s="184" t="n">
        <v>1</v>
      </c>
      <c r="C10" s="185"/>
      <c r="D10" s="185"/>
      <c r="E10" s="185"/>
      <c r="F10" s="185"/>
      <c r="G10" s="185"/>
      <c r="H10" s="185"/>
      <c r="I10" s="185"/>
      <c r="J10" s="90" t="inlineStr">
        <is>
          <t>Activo</t>
        </is>
      </c>
    </row>
    <row r="11" ht="18" customHeight="1">
      <c r="B11" s="184" t="n">
        <v>2</v>
      </c>
      <c r="C11" s="186"/>
      <c r="D11" s="186"/>
      <c r="E11" s="186"/>
      <c r="F11" s="186"/>
      <c r="G11" s="186"/>
      <c r="H11" s="186"/>
      <c r="I11" s="186"/>
      <c r="J11" s="90" t="inlineStr">
        <is>
          <t>Activo</t>
        </is>
      </c>
    </row>
    <row r="12" ht="18" customHeight="1">
      <c r="B12" s="184" t="n">
        <v>3</v>
      </c>
      <c r="C12" s="185"/>
      <c r="D12" s="185"/>
      <c r="E12" s="185"/>
      <c r="F12" s="185"/>
      <c r="G12" s="185"/>
      <c r="H12" s="185"/>
      <c r="I12" s="185"/>
      <c r="J12" s="90" t="inlineStr">
        <is>
          <t>Activo</t>
        </is>
      </c>
    </row>
    <row r="13" ht="18" customHeight="1">
      <c r="B13" s="184" t="n">
        <v>4</v>
      </c>
      <c r="C13" s="186"/>
      <c r="D13" s="186"/>
      <c r="E13" s="186"/>
      <c r="F13" s="186"/>
      <c r="G13" s="186"/>
      <c r="H13" s="186"/>
      <c r="I13" s="186"/>
      <c r="J13" s="90" t="inlineStr">
        <is>
          <t>Activo</t>
        </is>
      </c>
    </row>
    <row r="14" ht="18" customHeight="1">
      <c r="B14" s="184" t="n">
        <v>5</v>
      </c>
      <c r="C14" s="185"/>
      <c r="D14" s="185"/>
      <c r="E14" s="185"/>
      <c r="F14" s="185"/>
      <c r="G14" s="185"/>
      <c r="H14" s="185"/>
      <c r="I14" s="185"/>
      <c r="J14" s="90" t="inlineStr">
        <is>
          <t>Activo</t>
        </is>
      </c>
    </row>
    <row r="15" ht="18" customHeight="1">
      <c r="B15" s="184" t="n">
        <v>6</v>
      </c>
      <c r="C15" s="186"/>
      <c r="D15" s="186"/>
      <c r="E15" s="186"/>
      <c r="F15" s="186"/>
      <c r="G15" s="186"/>
      <c r="H15" s="186"/>
      <c r="I15" s="186"/>
      <c r="J15" s="90" t="inlineStr">
        <is>
          <t>Activo</t>
        </is>
      </c>
    </row>
    <row r="16" ht="18" customHeight="1">
      <c r="B16" s="184" t="n">
        <v>7</v>
      </c>
      <c r="C16" s="185"/>
      <c r="D16" s="185"/>
      <c r="E16" s="185"/>
      <c r="F16" s="185"/>
      <c r="G16" s="185"/>
      <c r="H16" s="185"/>
      <c r="I16" s="185"/>
      <c r="J16" s="90" t="inlineStr">
        <is>
          <t>Activo</t>
        </is>
      </c>
    </row>
    <row r="17" ht="18" customHeight="1">
      <c r="B17" s="184" t="n">
        <v>8</v>
      </c>
      <c r="C17" s="186"/>
      <c r="D17" s="186"/>
      <c r="E17" s="186"/>
      <c r="F17" s="186"/>
      <c r="G17" s="186"/>
      <c r="H17" s="186"/>
      <c r="I17" s="186"/>
      <c r="J17" s="90" t="inlineStr">
        <is>
          <t>Activo</t>
        </is>
      </c>
    </row>
    <row r="18" ht="18" customHeight="1">
      <c r="B18" s="184" t="n">
        <v>9</v>
      </c>
      <c r="C18" s="185"/>
      <c r="D18" s="185"/>
      <c r="E18" s="185"/>
      <c r="F18" s="185"/>
      <c r="G18" s="185"/>
      <c r="H18" s="185"/>
      <c r="I18" s="185"/>
      <c r="J18" s="90" t="inlineStr">
        <is>
          <t>Activo</t>
        </is>
      </c>
    </row>
    <row r="19" ht="18" customHeight="1">
      <c r="B19" s="184" t="n">
        <v>10</v>
      </c>
      <c r="C19" s="186"/>
      <c r="D19" s="186"/>
      <c r="E19" s="186"/>
      <c r="F19" s="186"/>
      <c r="G19" s="186"/>
      <c r="H19" s="186"/>
      <c r="I19" s="186"/>
      <c r="J19" s="90" t="inlineStr">
        <is>
          <t>Activo</t>
        </is>
      </c>
    </row>
    <row r="20" ht="18" customHeight="1">
      <c r="B20" s="184" t="n">
        <v>11</v>
      </c>
      <c r="C20" s="185"/>
      <c r="D20" s="185"/>
      <c r="E20" s="185"/>
      <c r="F20" s="185"/>
      <c r="G20" s="185"/>
      <c r="H20" s="185"/>
      <c r="I20" s="185"/>
      <c r="J20" s="90" t="inlineStr">
        <is>
          <t>Activo</t>
        </is>
      </c>
    </row>
    <row r="21" ht="18" customHeight="1">
      <c r="B21" s="184" t="n">
        <v>12</v>
      </c>
      <c r="C21" s="186"/>
      <c r="D21" s="186"/>
      <c r="E21" s="186"/>
      <c r="F21" s="186"/>
      <c r="G21" s="186"/>
      <c r="H21" s="186"/>
      <c r="I21" s="186"/>
      <c r="J21" s="90" t="inlineStr">
        <is>
          <t>Activo</t>
        </is>
      </c>
    </row>
    <row r="22" ht="18" customHeight="1">
      <c r="B22" s="184" t="n">
        <v>13</v>
      </c>
      <c r="C22" s="185"/>
      <c r="D22" s="185"/>
      <c r="E22" s="185"/>
      <c r="F22" s="185"/>
      <c r="G22" s="185"/>
      <c r="H22" s="185"/>
      <c r="I22" s="185"/>
      <c r="J22" s="90" t="inlineStr">
        <is>
          <t>Activo</t>
        </is>
      </c>
    </row>
    <row r="23" ht="18" customHeight="1">
      <c r="B23" s="184" t="n">
        <v>14</v>
      </c>
      <c r="C23" s="186"/>
      <c r="D23" s="186"/>
      <c r="E23" s="186"/>
      <c r="F23" s="186"/>
      <c r="G23" s="186"/>
      <c r="H23" s="186"/>
      <c r="I23" s="186"/>
      <c r="J23" s="90" t="inlineStr">
        <is>
          <t>Activo</t>
        </is>
      </c>
    </row>
    <row r="24" ht="18" customHeight="1">
      <c r="B24" s="184" t="n">
        <v>15</v>
      </c>
      <c r="C24" s="185"/>
      <c r="D24" s="185"/>
      <c r="E24" s="185"/>
      <c r="F24" s="185"/>
      <c r="G24" s="185"/>
      <c r="H24" s="185"/>
      <c r="I24" s="185"/>
      <c r="J24" s="90" t="inlineStr">
        <is>
          <t>Activo</t>
        </is>
      </c>
    </row>
    <row r="25" ht="18" customHeight="1">
      <c r="B25" s="184" t="n">
        <v>16</v>
      </c>
      <c r="C25" s="186"/>
      <c r="D25" s="186"/>
      <c r="E25" s="186"/>
      <c r="F25" s="186"/>
      <c r="G25" s="186"/>
      <c r="H25" s="186"/>
      <c r="I25" s="186"/>
      <c r="J25" s="90" t="inlineStr">
        <is>
          <t>Activo</t>
        </is>
      </c>
    </row>
    <row r="26" ht="18" customHeight="1">
      <c r="B26" s="184" t="n">
        <v>17</v>
      </c>
      <c r="C26" s="185"/>
      <c r="D26" s="185"/>
      <c r="E26" s="185"/>
      <c r="F26" s="185"/>
      <c r="G26" s="185"/>
      <c r="H26" s="185"/>
      <c r="I26" s="185"/>
      <c r="J26" s="90" t="inlineStr">
        <is>
          <t>Activo</t>
        </is>
      </c>
    </row>
    <row r="27" ht="18" customHeight="1">
      <c r="B27" s="184" t="n">
        <v>18</v>
      </c>
      <c r="C27" s="186"/>
      <c r="D27" s="186"/>
      <c r="E27" s="186"/>
      <c r="F27" s="186"/>
      <c r="G27" s="186"/>
      <c r="H27" s="186"/>
      <c r="I27" s="186"/>
      <c r="J27" s="90" t="inlineStr">
        <is>
          <t>Activo</t>
        </is>
      </c>
    </row>
    <row r="28" ht="18" customHeight="1">
      <c r="B28" s="184" t="n">
        <v>19</v>
      </c>
      <c r="C28" s="185"/>
      <c r="D28" s="185"/>
      <c r="E28" s="185"/>
      <c r="F28" s="185"/>
      <c r="G28" s="185"/>
      <c r="H28" s="185"/>
      <c r="I28" s="185"/>
      <c r="J28" s="90" t="inlineStr">
        <is>
          <t>Activo</t>
        </is>
      </c>
    </row>
    <row r="29" ht="18" customHeight="1">
      <c r="B29" s="184" t="n">
        <v>20</v>
      </c>
      <c r="C29" s="186"/>
      <c r="D29" s="186"/>
      <c r="E29" s="186"/>
      <c r="F29" s="186"/>
      <c r="G29" s="186"/>
      <c r="H29" s="186"/>
      <c r="I29" s="186"/>
      <c r="J29" s="90" t="inlineStr">
        <is>
          <t>Activo</t>
        </is>
      </c>
    </row>
    <row r="30" ht="18" customHeight="1">
      <c r="B30" s="184" t="n">
        <v>21</v>
      </c>
      <c r="C30" s="185"/>
      <c r="D30" s="185"/>
      <c r="E30" s="185"/>
      <c r="F30" s="185"/>
      <c r="G30" s="185"/>
      <c r="H30" s="185"/>
      <c r="I30" s="185"/>
      <c r="J30" s="90" t="inlineStr">
        <is>
          <t>Activo</t>
        </is>
      </c>
    </row>
    <row r="31" ht="18" customHeight="1">
      <c r="B31" s="184" t="n">
        <v>22</v>
      </c>
      <c r="C31" s="186"/>
      <c r="D31" s="186"/>
      <c r="E31" s="186"/>
      <c r="F31" s="186"/>
      <c r="G31" s="186"/>
      <c r="H31" s="186"/>
      <c r="I31" s="186"/>
      <c r="J31" s="90" t="inlineStr">
        <is>
          <t>Activo</t>
        </is>
      </c>
    </row>
    <row r="32" ht="18" customHeight="1">
      <c r="B32" s="184" t="n">
        <v>23</v>
      </c>
      <c r="C32" s="185"/>
      <c r="D32" s="185"/>
      <c r="E32" s="185"/>
      <c r="F32" s="185"/>
      <c r="G32" s="185"/>
      <c r="H32" s="185"/>
      <c r="I32" s="185"/>
      <c r="J32" s="90" t="inlineStr">
        <is>
          <t>Activo</t>
        </is>
      </c>
    </row>
    <row r="33" ht="18" customHeight="1">
      <c r="B33" s="184" t="n">
        <v>24</v>
      </c>
      <c r="C33" s="186"/>
      <c r="D33" s="186"/>
      <c r="E33" s="186"/>
      <c r="F33" s="186"/>
      <c r="G33" s="186"/>
      <c r="H33" s="186"/>
      <c r="I33" s="186"/>
      <c r="J33" s="90" t="inlineStr">
        <is>
          <t>Activo</t>
        </is>
      </c>
    </row>
    <row r="34" ht="18" customHeight="1">
      <c r="B34" s="184" t="n">
        <v>25</v>
      </c>
      <c r="C34" s="185"/>
      <c r="D34" s="185"/>
      <c r="E34" s="185"/>
      <c r="F34" s="185"/>
      <c r="G34" s="185"/>
      <c r="H34" s="185"/>
      <c r="I34" s="185"/>
      <c r="J34" s="90" t="inlineStr">
        <is>
          <t>Activo</t>
        </is>
      </c>
    </row>
    <row r="35" ht="18" customHeight="1">
      <c r="B35" s="184" t="n">
        <v>26</v>
      </c>
      <c r="C35" s="186"/>
      <c r="D35" s="186"/>
      <c r="E35" s="186"/>
      <c r="F35" s="186"/>
      <c r="G35" s="186"/>
      <c r="H35" s="186"/>
      <c r="I35" s="186"/>
      <c r="J35" s="90" t="inlineStr">
        <is>
          <t>Activo</t>
        </is>
      </c>
    </row>
    <row r="36" ht="18" customHeight="1">
      <c r="B36" s="184" t="n">
        <v>27</v>
      </c>
      <c r="C36" s="185"/>
      <c r="D36" s="185"/>
      <c r="E36" s="185"/>
      <c r="F36" s="185"/>
      <c r="G36" s="185"/>
      <c r="H36" s="185"/>
      <c r="I36" s="185"/>
      <c r="J36" s="90" t="inlineStr">
        <is>
          <t>Activo</t>
        </is>
      </c>
    </row>
    <row r="37" ht="18" customHeight="1">
      <c r="B37" s="184" t="n">
        <v>28</v>
      </c>
      <c r="C37" s="186"/>
      <c r="D37" s="186"/>
      <c r="E37" s="186"/>
      <c r="F37" s="186"/>
      <c r="G37" s="186"/>
      <c r="H37" s="186"/>
      <c r="I37" s="186"/>
      <c r="J37" s="90" t="inlineStr">
        <is>
          <t>Activo</t>
        </is>
      </c>
    </row>
    <row r="38" ht="18" customHeight="1">
      <c r="B38" s="184" t="n">
        <v>29</v>
      </c>
      <c r="C38" s="185"/>
      <c r="D38" s="185"/>
      <c r="E38" s="185"/>
      <c r="F38" s="185"/>
      <c r="G38" s="185"/>
      <c r="H38" s="185"/>
      <c r="I38" s="185"/>
      <c r="J38" s="90" t="inlineStr">
        <is>
          <t>Activo</t>
        </is>
      </c>
    </row>
    <row r="39" ht="18" customHeight="1">
      <c r="B39" s="184" t="n">
        <v>30</v>
      </c>
      <c r="C39" s="186"/>
      <c r="D39" s="186"/>
      <c r="E39" s="186"/>
      <c r="F39" s="186"/>
      <c r="G39" s="186"/>
      <c r="H39" s="186"/>
      <c r="I39" s="186"/>
      <c r="J39" s="90" t="inlineStr">
        <is>
          <t>Activo</t>
        </is>
      </c>
    </row>
  </sheetData>
  <mergeCells count="2">
    <mergeCell ref="B3:K3"/>
    <mergeCell ref="B2:K2"/>
  </mergeCells>
  <dataValidations count="1">
    <dataValidation sqref="J10:J39" showDropDown="0" showInputMessage="0" showErrorMessage="0" allowBlank="0" errorTitle="Valor no válido" error="Usa el desplegable: Activo, Pendiente o Baja" prompt="Selecciona el estado del alumno/a" type="list">
      <formula1>"Activo,Pendiente,Baja"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pane xSplit="1" ySplit="9" topLeftCell="B10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6" customWidth="1" min="3" max="3"/>
    <col width="7" customWidth="1" min="4" max="4"/>
    <col width="7" customWidth="1" min="5" max="5"/>
    <col width="26" customWidth="1" min="6" max="6"/>
    <col width="38" customWidth="1" min="7" max="7"/>
    <col width="14" customWidth="1" min="8" max="8"/>
    <col width="12" customWidth="1" min="9" max="9"/>
    <col width="8" customWidth="1" min="10" max="10"/>
    <col width="9" customWidth="1" min="11" max="11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📝 Actividades Evaluables — ISO 1º ASIR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Prácticas y exámenes vinculados a RAs y CEs · Implantación de Sistemas Operativos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5" t="inlineStr">
        <is>
          <t>📝 Actividades</t>
        </is>
      </c>
      <c r="F5" s="6">
        <f>HYPERLINK("#ISO · Reg. Notas!A1","📊 Reg. Notas")</f>
        <v/>
      </c>
      <c r="G5" s="6">
        <f>HYPERLINK("#ISO · Resumen!A1","📈 Resumen")</f>
        <v/>
      </c>
      <c r="H5" s="6">
        <f>HYPERLINK("#ISO · Evaluación 1!A1","Eval 1")</f>
        <v/>
      </c>
      <c r="I5" s="6">
        <f>HYPERLINK("#ISO · Evaluación 2!A1","Eval 2")</f>
        <v/>
      </c>
      <c r="J5" s="6">
        <f>HYPERLINK("#ISO · Evaluación 3!A1","Eval 3")</f>
        <v/>
      </c>
      <c r="K5" s="6">
        <f>HYPERLINK("#ISO · 1ªORD!A1","1ª ORD")</f>
        <v/>
      </c>
      <c r="L5" s="6">
        <f>HYPERLINK("#ISO · 2ªORD!A1","2ª ORD")</f>
        <v/>
      </c>
      <c r="M5" s="6">
        <f>HYPERLINK("#ISO · Rúbricas!A1","🎯 Rúbricas")</f>
        <v/>
      </c>
      <c r="N5" s="6">
        <f>HYPERLINK("#ISO · Informe Grupo!A1","📊 Inf.Grupo")</f>
        <v/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B8" s="187" t="inlineStr">
        <is>
          <t>ℹ️  Las actividades prácticas se han generado automáticamente desde la Programación. Ajusta la descripción, el tipo y el peso según tu planificación.</t>
        </is>
      </c>
    </row>
    <row r="9" ht="34" customHeight="1">
      <c r="B9" s="188" t="inlineStr">
        <is>
          <t>ID</t>
        </is>
      </c>
      <c r="C9" s="188" t="inlineStr">
        <is>
          <t>Eval.</t>
        </is>
      </c>
      <c r="D9" s="188" t="inlineStr">
        <is>
          <t>UT</t>
        </is>
      </c>
      <c r="E9" s="188" t="inlineStr">
        <is>
          <t>RA</t>
        </is>
      </c>
      <c r="F9" s="188" t="inlineStr">
        <is>
          <t>CEs vinculados</t>
        </is>
      </c>
      <c r="G9" s="188" t="inlineStr">
        <is>
          <t>Descripción de la actividad</t>
        </is>
      </c>
      <c r="H9" s="188" t="inlineStr">
        <is>
          <t>Instrumento</t>
        </is>
      </c>
      <c r="I9" s="188" t="inlineStr">
        <is>
          <t>Tipo</t>
        </is>
      </c>
      <c r="J9" s="188" t="inlineStr">
        <is>
          <t>Peso (%)</t>
        </is>
      </c>
      <c r="K9" s="188" t="inlineStr">
        <is>
          <t>Nota máx.</t>
        </is>
      </c>
    </row>
    <row r="10" ht="20" customHeight="1">
      <c r="B10" s="189" t="inlineStr">
        <is>
          <t>A001</t>
        </is>
      </c>
      <c r="C10" s="190" t="inlineStr">
        <is>
          <t>EV1</t>
        </is>
      </c>
      <c r="D10" s="191" t="inlineStr">
        <is>
          <t>UT1</t>
        </is>
      </c>
      <c r="E10" s="190" t="inlineStr">
        <is>
          <t>RA1</t>
        </is>
      </c>
      <c r="F10" s="131" t="inlineStr">
        <is>
          <t>CR1  CR2  CR3  CR4  CR5  CR6  CR7  CR8</t>
        </is>
      </c>
      <c r="G10" s="192" t="inlineStr">
        <is>
          <t>Instalación de software libre y propietario — práctica RA1</t>
        </is>
      </c>
      <c r="H10" s="64" t="inlineStr">
        <is>
          <t>🔧 Práctica</t>
        </is>
      </c>
      <c r="I10" s="64" t="inlineStr">
        <is>
          <t>Individual</t>
        </is>
      </c>
      <c r="J10" s="58"/>
      <c r="K10" s="60" t="n">
        <v>10</v>
      </c>
    </row>
    <row r="11" ht="20" customHeight="1">
      <c r="B11" s="189" t="inlineStr">
        <is>
          <t>A002</t>
        </is>
      </c>
      <c r="C11" s="190" t="inlineStr">
        <is>
          <t>EV1</t>
        </is>
      </c>
      <c r="D11" s="191" t="inlineStr">
        <is>
          <t>UT1</t>
        </is>
      </c>
      <c r="E11" s="193" t="inlineStr">
        <is>
          <t>RA2</t>
        </is>
      </c>
      <c r="F11" s="137" t="inlineStr">
        <is>
          <t>CR7  CR8</t>
        </is>
      </c>
      <c r="G11" s="192" t="inlineStr">
        <is>
          <t>Instalación de software libre y propietario — práctica RA2</t>
        </is>
      </c>
      <c r="H11" s="64" t="inlineStr">
        <is>
          <t>🔧 Práctica</t>
        </is>
      </c>
      <c r="I11" s="64" t="inlineStr">
        <is>
          <t>Individual</t>
        </is>
      </c>
      <c r="J11" s="58"/>
      <c r="K11" s="60" t="n">
        <v>10</v>
      </c>
    </row>
    <row r="12" ht="20" customHeight="1">
      <c r="B12" s="189" t="inlineStr">
        <is>
          <t>A003</t>
        </is>
      </c>
      <c r="C12" s="190" t="inlineStr">
        <is>
          <t>EV1</t>
        </is>
      </c>
      <c r="D12" s="191" t="inlineStr">
        <is>
          <t>UT2</t>
        </is>
      </c>
      <c r="E12" s="193" t="inlineStr">
        <is>
          <t>RA2</t>
        </is>
      </c>
      <c r="F12" s="137" t="inlineStr">
        <is>
          <t>CR1  CR2  CR3  CR4  CR5  CR6  CR10  CR11  … (+6)</t>
        </is>
      </c>
      <c r="G12" s="192" t="inlineStr">
        <is>
          <t>Administración de software base — práctica RA2</t>
        </is>
      </c>
      <c r="H12" s="64" t="inlineStr">
        <is>
          <t>🔧 Práctica</t>
        </is>
      </c>
      <c r="I12" s="64" t="inlineStr">
        <is>
          <t>Individual</t>
        </is>
      </c>
      <c r="J12" s="58"/>
      <c r="K12" s="60" t="n">
        <v>10</v>
      </c>
    </row>
    <row r="13" ht="20" customHeight="1">
      <c r="B13" s="189" t="inlineStr">
        <is>
          <t>A004</t>
        </is>
      </c>
      <c r="C13" s="193" t="inlineStr">
        <is>
          <t>EV2</t>
        </is>
      </c>
      <c r="D13" s="191" t="inlineStr">
        <is>
          <t>UT3</t>
        </is>
      </c>
      <c r="E13" s="194" t="inlineStr">
        <is>
          <t>RA3</t>
        </is>
      </c>
      <c r="F13" s="143" t="inlineStr">
        <is>
          <t>CR1  CR2  CR3  CR4  CR5  CR6  CR7  CR8</t>
        </is>
      </c>
      <c r="G13" s="192" t="inlineStr">
        <is>
          <t>Administración y aseguramiento de la información — práctica RA3</t>
        </is>
      </c>
      <c r="H13" s="64" t="inlineStr">
        <is>
          <t>🔧 Práctica</t>
        </is>
      </c>
      <c r="I13" s="64" t="inlineStr">
        <is>
          <t>Individual</t>
        </is>
      </c>
      <c r="J13" s="58"/>
      <c r="K13" s="60" t="n">
        <v>10</v>
      </c>
    </row>
    <row r="14" ht="20" customHeight="1">
      <c r="B14" s="189" t="inlineStr">
        <is>
          <t>A005</t>
        </is>
      </c>
      <c r="C14" s="193" t="inlineStr">
        <is>
          <t>EV2</t>
        </is>
      </c>
      <c r="D14" s="191" t="inlineStr">
        <is>
          <t>UT4</t>
        </is>
      </c>
      <c r="E14" s="195" t="inlineStr">
        <is>
          <t>RA4</t>
        </is>
      </c>
      <c r="F14" s="150" t="inlineStr">
        <is>
          <t>CR1  CR2  CR3  CR4  CR5  CR6  CR7  CR8</t>
        </is>
      </c>
      <c r="G14" s="192" t="inlineStr">
        <is>
          <t>Gestión de dominios — práctica RA4</t>
        </is>
      </c>
      <c r="H14" s="64" t="inlineStr">
        <is>
          <t>🔧 Práctica</t>
        </is>
      </c>
      <c r="I14" s="64" t="inlineStr">
        <is>
          <t>Individual</t>
        </is>
      </c>
      <c r="J14" s="58"/>
      <c r="K14" s="60" t="n">
        <v>10</v>
      </c>
    </row>
    <row r="15" ht="20" customHeight="1">
      <c r="B15" s="189" t="inlineStr">
        <is>
          <t>A006</t>
        </is>
      </c>
      <c r="C15" s="193" t="inlineStr">
        <is>
          <t>EV2</t>
        </is>
      </c>
      <c r="D15" s="191" t="inlineStr">
        <is>
          <t>UT5</t>
        </is>
      </c>
      <c r="E15" s="196" t="inlineStr">
        <is>
          <t>RA5</t>
        </is>
      </c>
      <c r="F15" s="154" t="inlineStr">
        <is>
          <t>CR1  CR2  CR3  CR4  CR5  CR6  CR7</t>
        </is>
      </c>
      <c r="G15" s="192" t="inlineStr">
        <is>
          <t>Administración de acceso al dominio — práctica RA5</t>
        </is>
      </c>
      <c r="H15" s="64" t="inlineStr">
        <is>
          <t>🔧 Práctica</t>
        </is>
      </c>
      <c r="I15" s="64" t="inlineStr">
        <is>
          <t>Individual</t>
        </is>
      </c>
      <c r="J15" s="58"/>
      <c r="K15" s="60" t="n">
        <v>10</v>
      </c>
    </row>
    <row r="16" ht="20" customHeight="1">
      <c r="B16" s="189" t="inlineStr">
        <is>
          <t>A007</t>
        </is>
      </c>
      <c r="C16" s="194" t="inlineStr">
        <is>
          <t>EV3</t>
        </is>
      </c>
      <c r="D16" s="191" t="inlineStr">
        <is>
          <t>UT6</t>
        </is>
      </c>
      <c r="E16" s="197" t="inlineStr">
        <is>
          <t>RA6</t>
        </is>
      </c>
      <c r="F16" s="159" t="inlineStr">
        <is>
          <t>CR1  CR2  CR3  CR4  CR5  CR6  CR7  CR8  … (+2)</t>
        </is>
      </c>
      <c r="G16" s="192" t="inlineStr">
        <is>
          <t>Supervisión del rendimiento del sistema — práctica RA6</t>
        </is>
      </c>
      <c r="H16" s="64" t="inlineStr">
        <is>
          <t>🔧 Práctica</t>
        </is>
      </c>
      <c r="I16" s="64" t="inlineStr">
        <is>
          <t>Individual</t>
        </is>
      </c>
      <c r="J16" s="58"/>
      <c r="K16" s="60" t="n">
        <v>10</v>
      </c>
    </row>
    <row r="17" ht="20" customHeight="1">
      <c r="B17" s="189" t="inlineStr">
        <is>
          <t>A008</t>
        </is>
      </c>
      <c r="C17" s="194" t="inlineStr">
        <is>
          <t>EV3</t>
        </is>
      </c>
      <c r="D17" s="191" t="inlineStr">
        <is>
          <t>UT7</t>
        </is>
      </c>
      <c r="E17" s="198" t="inlineStr">
        <is>
          <t>RA7</t>
        </is>
      </c>
      <c r="F17" s="143" t="inlineStr">
        <is>
          <t>CR1  CR2  CR3  CR4  CR5  CR6  CR7  CR8  … (+1)</t>
        </is>
      </c>
      <c r="G17" s="192" t="inlineStr">
        <is>
          <t>Directivas de seguridad y auditorías — práctica RA7</t>
        </is>
      </c>
      <c r="H17" s="64" t="inlineStr">
        <is>
          <t>🔧 Práctica</t>
        </is>
      </c>
      <c r="I17" s="64" t="inlineStr">
        <is>
          <t>Individual</t>
        </is>
      </c>
      <c r="J17" s="58"/>
      <c r="K17" s="60" t="n">
        <v>10</v>
      </c>
    </row>
    <row r="18" ht="20" customHeight="1">
      <c r="B18" s="189" t="inlineStr">
        <is>
          <t>A009</t>
        </is>
      </c>
      <c r="C18" s="194" t="inlineStr">
        <is>
          <t>EV3</t>
        </is>
      </c>
      <c r="D18" s="191" t="inlineStr">
        <is>
          <t>UT8</t>
        </is>
      </c>
      <c r="E18" s="199" t="inlineStr">
        <is>
          <t>RA8</t>
        </is>
      </c>
      <c r="F18" s="163" t="inlineStr">
        <is>
          <t>CR1  CR2  CR3  CR4  CR5  CR6  CR7  CR8  … (+1)</t>
        </is>
      </c>
      <c r="G18" s="192" t="inlineStr">
        <is>
          <t>Resolución de incidencias y asistencia técnica — práctica RA8</t>
        </is>
      </c>
      <c r="H18" s="64" t="inlineStr">
        <is>
          <t>🔧 Práctica</t>
        </is>
      </c>
      <c r="I18" s="64" t="inlineStr">
        <is>
          <t>Individual</t>
        </is>
      </c>
      <c r="J18" s="58"/>
      <c r="K18" s="60" t="n">
        <v>10</v>
      </c>
    </row>
    <row r="19" ht="6" customHeight="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20" customHeight="1">
      <c r="B20" s="197" t="inlineStr">
        <is>
          <t>EX1</t>
        </is>
      </c>
      <c r="C20" s="190" t="inlineStr">
        <is>
          <t>EV1</t>
        </is>
      </c>
      <c r="D20" s="200" t="inlineStr">
        <is>
          <t>UT1+UT2</t>
        </is>
      </c>
      <c r="E20" s="71" t="inlineStr">
        <is>
          <t>RA1+RA2</t>
        </is>
      </c>
      <c r="F20" s="63" t="inlineStr">
        <is>
          <t>Todos los CEs de la evaluación</t>
        </is>
      </c>
      <c r="G20" s="192" t="inlineStr">
        <is>
          <t>Examen teórico-práctico Evaluación 1</t>
        </is>
      </c>
      <c r="H20" s="64" t="inlineStr">
        <is>
          <t>📝 Examen</t>
        </is>
      </c>
      <c r="I20" s="64" t="inlineStr">
        <is>
          <t>Individual</t>
        </is>
      </c>
      <c r="J20" s="58"/>
      <c r="K20" s="60" t="n">
        <v>10</v>
      </c>
    </row>
    <row r="21" ht="20" customHeight="1">
      <c r="B21" s="197" t="inlineStr">
        <is>
          <t>EX2</t>
        </is>
      </c>
      <c r="C21" s="193" t="inlineStr">
        <is>
          <t>EV2</t>
        </is>
      </c>
      <c r="D21" s="200" t="inlineStr">
        <is>
          <t>UT3+UT4+UT5</t>
        </is>
      </c>
      <c r="E21" s="71" t="inlineStr">
        <is>
          <t>RA3+RA4+RA5</t>
        </is>
      </c>
      <c r="F21" s="63" t="inlineStr">
        <is>
          <t>Todos los CEs de la evaluación</t>
        </is>
      </c>
      <c r="G21" s="192" t="inlineStr">
        <is>
          <t>Examen teórico-práctico Evaluación 2</t>
        </is>
      </c>
      <c r="H21" s="64" t="inlineStr">
        <is>
          <t>📝 Examen</t>
        </is>
      </c>
      <c r="I21" s="64" t="inlineStr">
        <is>
          <t>Individual</t>
        </is>
      </c>
      <c r="J21" s="58"/>
      <c r="K21" s="60" t="n">
        <v>10</v>
      </c>
    </row>
    <row r="22" ht="20" customHeight="1">
      <c r="B22" s="197" t="inlineStr">
        <is>
          <t>EX3</t>
        </is>
      </c>
      <c r="C22" s="194" t="inlineStr">
        <is>
          <t>EV3</t>
        </is>
      </c>
      <c r="D22" s="200" t="inlineStr">
        <is>
          <t>UT6+UT7+UT8</t>
        </is>
      </c>
      <c r="E22" s="71" t="inlineStr">
        <is>
          <t>RA6+RA7+RA8</t>
        </is>
      </c>
      <c r="F22" s="63" t="inlineStr">
        <is>
          <t>Todos los CEs de la evaluación</t>
        </is>
      </c>
      <c r="G22" s="192" t="inlineStr">
        <is>
          <t>Examen teórico-práctico Evaluación 3</t>
        </is>
      </c>
      <c r="H22" s="64" t="inlineStr">
        <is>
          <t>📝 Examen</t>
        </is>
      </c>
      <c r="I22" s="64" t="inlineStr">
        <is>
          <t>Individual</t>
        </is>
      </c>
      <c r="J22" s="58"/>
      <c r="K22" s="60" t="n">
        <v>10</v>
      </c>
    </row>
    <row r="24" ht="28" customHeight="1">
      <c r="B24" s="201" t="inlineStr">
        <is>
          <t>💡  Peso (%): indica el porcentaje de la nota de prácticas que pondera esta actividad para cada RA. Los exámenes tienen su propio peso (configurable en Configuración → Peso examen). La suma de pesos de prácticas por RA debería ser 100%.</t>
        </is>
      </c>
    </row>
  </sheetData>
  <mergeCells count="3">
    <mergeCell ref="B3:K3"/>
    <mergeCell ref="B24:K24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10" customWidth="1" min="24" max="24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📊 Registro de Notas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Calificaciones por alumno/a · Actividades, Exámenes y RAs · ISO 1º ASIR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6">
        <f>HYPERLINK("#ISO · Actividades!A1","📝 Actividades")</f>
        <v/>
      </c>
      <c r="F5" s="5" t="inlineStr">
        <is>
          <t>📊 Reg. Notas</t>
        </is>
      </c>
      <c r="G5" s="6">
        <f>HYPERLINK("#ISO · Resumen!A1","📈 Resumen")</f>
        <v/>
      </c>
      <c r="H5" s="6">
        <f>HYPERLINK("#ISO · Evaluación 1!A1","Eval 1")</f>
        <v/>
      </c>
      <c r="I5" s="6">
        <f>HYPERLINK("#ISO · Evaluación 2!A1","Eval 2")</f>
        <v/>
      </c>
      <c r="J5" s="6">
        <f>HYPERLINK("#ISO · Evaluación 3!A1","Eval 3")</f>
        <v/>
      </c>
      <c r="K5" s="6">
        <f>HYPERLINK("#ISO · 1ªORD!A1","1ª ORD")</f>
        <v/>
      </c>
      <c r="L5" s="6">
        <f>HYPERLINK("#ISO · 2ªORD!A1","2ª ORD")</f>
        <v/>
      </c>
      <c r="M5" s="6">
        <f>HYPERLINK("#ISO · Rúbricas!A1","🎯 Rúbricas")</f>
        <v/>
      </c>
      <c r="N5" s="6">
        <f>HYPERLINK("#ISO · Informe Grupo!A1","📊 Inf.Grupo")</f>
        <v/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6" customHeight="1">
      <c r="B8" s="187" t="inlineStr">
        <is>
          <t>ℹ️  Introduzca las calificaciones de actividades (prácticas) y exámenes. Nota RA = % examen + % prácticas (configurables en la hoja Configuración). Las columnas de RAs y la nota final se calculan automáticamente.</t>
        </is>
      </c>
    </row>
    <row r="9" ht="14" customHeight="1">
      <c r="D9" s="202" t="inlineStr">
        <is>
          <t>ACTIVIDADES (PRÁCTICAS)</t>
        </is>
      </c>
      <c r="M9" s="203" t="inlineStr">
        <is>
          <t>EXÁMENES (TEORÍA)</t>
        </is>
      </c>
      <c r="P9" s="204" t="inlineStr">
        <is>
          <t>NOTA RA  (75% EX + 25% ACT)</t>
        </is>
      </c>
      <c r="X9" s="205" t="inlineStr">
        <is>
          <t>FINAL</t>
        </is>
      </c>
    </row>
    <row r="10" ht="18" customHeight="1">
      <c r="B10" s="36" t="inlineStr">
        <is>
          <t>Nº</t>
        </is>
      </c>
      <c r="C10" s="36" t="inlineStr">
        <is>
          <t>Apellidos y Nombre</t>
        </is>
      </c>
      <c r="D10" s="36" t="inlineStr">
        <is>
          <t>A001</t>
        </is>
      </c>
      <c r="E10" s="36" t="inlineStr">
        <is>
          <t>A002</t>
        </is>
      </c>
      <c r="F10" s="36" t="inlineStr">
        <is>
          <t>A003</t>
        </is>
      </c>
      <c r="G10" s="36" t="inlineStr">
        <is>
          <t>A004</t>
        </is>
      </c>
      <c r="H10" s="36" t="inlineStr">
        <is>
          <t>A005</t>
        </is>
      </c>
      <c r="I10" s="36" t="inlineStr">
        <is>
          <t>A006</t>
        </is>
      </c>
      <c r="J10" s="36" t="inlineStr">
        <is>
          <t>A007</t>
        </is>
      </c>
      <c r="K10" s="36" t="inlineStr">
        <is>
          <t>A008</t>
        </is>
      </c>
      <c r="L10" s="36" t="inlineStr">
        <is>
          <t>A009</t>
        </is>
      </c>
      <c r="M10" s="102" t="inlineStr">
        <is>
          <t>EX1</t>
        </is>
      </c>
      <c r="N10" s="102" t="inlineStr">
        <is>
          <t>EX2</t>
        </is>
      </c>
      <c r="O10" s="102" t="inlineStr">
        <is>
          <t>EX3</t>
        </is>
      </c>
      <c r="P10" s="206" t="inlineStr">
        <is>
          <t>RA1</t>
        </is>
      </c>
      <c r="Q10" s="206" t="inlineStr">
        <is>
          <t>RA2</t>
        </is>
      </c>
      <c r="R10" s="206" t="inlineStr">
        <is>
          <t>RA3</t>
        </is>
      </c>
      <c r="S10" s="206" t="inlineStr">
        <is>
          <t>RA4</t>
        </is>
      </c>
      <c r="T10" s="206" t="inlineStr">
        <is>
          <t>RA5</t>
        </is>
      </c>
      <c r="U10" s="206" t="inlineStr">
        <is>
          <t>RA6</t>
        </is>
      </c>
      <c r="V10" s="206" t="inlineStr">
        <is>
          <t>RA7</t>
        </is>
      </c>
      <c r="W10" s="206" t="inlineStr">
        <is>
          <t>RA8</t>
        </is>
      </c>
      <c r="X10" s="103" t="inlineStr">
        <is>
          <t>NOTA FINAL</t>
        </is>
      </c>
    </row>
    <row r="11" ht="18" customHeight="1">
      <c r="B11" s="207" t="n">
        <v>1</v>
      </c>
      <c r="C11" s="208">
        <f>IFERROR('ISO · Alumnos'!C10&amp;IF('ISO · Alumnos'!D10&lt;&gt;"",", "&amp;'ISO · Alumnos'!D10,""),"")</f>
        <v/>
      </c>
      <c r="D11" s="209"/>
      <c r="E11" s="209"/>
      <c r="F11" s="209"/>
      <c r="G11" s="209"/>
      <c r="H11" s="209"/>
      <c r="I11" s="209"/>
      <c r="J11" s="209"/>
      <c r="K11" s="209"/>
      <c r="L11" s="209"/>
      <c r="M11" s="210"/>
      <c r="N11" s="210"/>
      <c r="O11" s="210"/>
      <c r="P11" s="56">
        <f>IFERROR(ROUND(PESO_EXAMEN*M11+PESO_PRACTICA*AVERAGE(D11),2),"")</f>
        <v/>
      </c>
      <c r="Q11" s="62">
        <f>IFERROR(ROUND(PESO_EXAMEN*M11+PESO_PRACTICA*AVERAGE(E11,F11),2),"")</f>
        <v/>
      </c>
      <c r="R11" s="66">
        <f>IFERROR(ROUND(PESO_EXAMEN*N11+PESO_PRACTICA*AVERAGE(G11),2),"")</f>
        <v/>
      </c>
      <c r="S11" s="68">
        <f>IFERROR(ROUND(PESO_EXAMEN*N11+PESO_PRACTICA*AVERAGE(H11),2),"")</f>
        <v/>
      </c>
      <c r="T11" s="70">
        <f>IFERROR(ROUND(PESO_EXAMEN*N11+PESO_PRACTICA*AVERAGE(I11),2),"")</f>
        <v/>
      </c>
      <c r="U11" s="72">
        <f>IFERROR(ROUND(PESO_EXAMEN*O11+PESO_PRACTICA*AVERAGE(J11),2),"")</f>
        <v/>
      </c>
      <c r="V11" s="66">
        <f>IFERROR(ROUND(PESO_EXAMEN*O11+PESO_PRACTICA*AVERAGE(K11),2),"")</f>
        <v/>
      </c>
      <c r="W11" s="76">
        <f>IFERROR(ROUND(PESO_EXAMEN*O11+PESO_PRACTICA*AVERAGE(L11),2),"")</f>
        <v/>
      </c>
      <c r="X11" s="88">
        <f>IFERROR(ROUND(P11*0.130000+Q11*0.190000+R11*0.090000+S11*0.160000+T11*0.130000+U11*0.120000+V11*0.130000+W11*0.050000,2),"")</f>
        <v/>
      </c>
    </row>
    <row r="12" ht="18" customHeight="1">
      <c r="B12" s="207" t="n">
        <v>2</v>
      </c>
      <c r="C12" s="208">
        <f>IFERROR('ISO · Alumnos'!C11&amp;IF('ISO · Alumnos'!D11&lt;&gt;"",", "&amp;'ISO · Alumnos'!D11,""),"")</f>
        <v/>
      </c>
      <c r="D12" s="209"/>
      <c r="E12" s="209"/>
      <c r="F12" s="209"/>
      <c r="G12" s="209"/>
      <c r="H12" s="209"/>
      <c r="I12" s="209"/>
      <c r="J12" s="209"/>
      <c r="K12" s="209"/>
      <c r="L12" s="209"/>
      <c r="M12" s="210"/>
      <c r="N12" s="210"/>
      <c r="O12" s="210"/>
      <c r="P12" s="56">
        <f>IFERROR(ROUND(PESO_EXAMEN*M12+PESO_PRACTICA*AVERAGE(D12),2),"")</f>
        <v/>
      </c>
      <c r="Q12" s="62">
        <f>IFERROR(ROUND(PESO_EXAMEN*M12+PESO_PRACTICA*AVERAGE(E12,F12),2),"")</f>
        <v/>
      </c>
      <c r="R12" s="66">
        <f>IFERROR(ROUND(PESO_EXAMEN*N12+PESO_PRACTICA*AVERAGE(G12),2),"")</f>
        <v/>
      </c>
      <c r="S12" s="68">
        <f>IFERROR(ROUND(PESO_EXAMEN*N12+PESO_PRACTICA*AVERAGE(H12),2),"")</f>
        <v/>
      </c>
      <c r="T12" s="70">
        <f>IFERROR(ROUND(PESO_EXAMEN*N12+PESO_PRACTICA*AVERAGE(I12),2),"")</f>
        <v/>
      </c>
      <c r="U12" s="72">
        <f>IFERROR(ROUND(PESO_EXAMEN*O12+PESO_PRACTICA*AVERAGE(J12),2),"")</f>
        <v/>
      </c>
      <c r="V12" s="66">
        <f>IFERROR(ROUND(PESO_EXAMEN*O12+PESO_PRACTICA*AVERAGE(K12),2),"")</f>
        <v/>
      </c>
      <c r="W12" s="76">
        <f>IFERROR(ROUND(PESO_EXAMEN*O12+PESO_PRACTICA*AVERAGE(L12),2),"")</f>
        <v/>
      </c>
      <c r="X12" s="88">
        <f>IFERROR(ROUND(P12*0.130000+Q12*0.190000+R12*0.090000+S12*0.160000+T12*0.130000+U12*0.120000+V12*0.130000+W12*0.050000,2),"")</f>
        <v/>
      </c>
    </row>
    <row r="13" ht="18" customHeight="1">
      <c r="B13" s="207" t="n">
        <v>3</v>
      </c>
      <c r="C13" s="208">
        <f>IFERROR('ISO · Alumnos'!C12&amp;IF('ISO · Alumnos'!D12&lt;&gt;"",", "&amp;'ISO · Alumnos'!D12,""),"")</f>
        <v/>
      </c>
      <c r="D13" s="209"/>
      <c r="E13" s="209"/>
      <c r="F13" s="209"/>
      <c r="G13" s="209"/>
      <c r="H13" s="209"/>
      <c r="I13" s="209"/>
      <c r="J13" s="209"/>
      <c r="K13" s="209"/>
      <c r="L13" s="209"/>
      <c r="M13" s="210"/>
      <c r="N13" s="210"/>
      <c r="O13" s="210"/>
      <c r="P13" s="56">
        <f>IFERROR(ROUND(PESO_EXAMEN*M13+PESO_PRACTICA*AVERAGE(D13),2),"")</f>
        <v/>
      </c>
      <c r="Q13" s="62">
        <f>IFERROR(ROUND(PESO_EXAMEN*M13+PESO_PRACTICA*AVERAGE(E13,F13),2),"")</f>
        <v/>
      </c>
      <c r="R13" s="66">
        <f>IFERROR(ROUND(PESO_EXAMEN*N13+PESO_PRACTICA*AVERAGE(G13),2),"")</f>
        <v/>
      </c>
      <c r="S13" s="68">
        <f>IFERROR(ROUND(PESO_EXAMEN*N13+PESO_PRACTICA*AVERAGE(H13),2),"")</f>
        <v/>
      </c>
      <c r="T13" s="70">
        <f>IFERROR(ROUND(PESO_EXAMEN*N13+PESO_PRACTICA*AVERAGE(I13),2),"")</f>
        <v/>
      </c>
      <c r="U13" s="72">
        <f>IFERROR(ROUND(PESO_EXAMEN*O13+PESO_PRACTICA*AVERAGE(J13),2),"")</f>
        <v/>
      </c>
      <c r="V13" s="66">
        <f>IFERROR(ROUND(PESO_EXAMEN*O13+PESO_PRACTICA*AVERAGE(K13),2),"")</f>
        <v/>
      </c>
      <c r="W13" s="76">
        <f>IFERROR(ROUND(PESO_EXAMEN*O13+PESO_PRACTICA*AVERAGE(L13),2),"")</f>
        <v/>
      </c>
      <c r="X13" s="88">
        <f>IFERROR(ROUND(P13*0.130000+Q13*0.190000+R13*0.090000+S13*0.160000+T13*0.130000+U13*0.120000+V13*0.130000+W13*0.050000,2),"")</f>
        <v/>
      </c>
    </row>
    <row r="14" ht="18" customHeight="1">
      <c r="B14" s="207" t="n">
        <v>4</v>
      </c>
      <c r="C14" s="208">
        <f>IFERROR('ISO · Alumnos'!C13&amp;IF('ISO · Alumnos'!D13&lt;&gt;"",", "&amp;'ISO · Alumnos'!D13,""),"")</f>
        <v/>
      </c>
      <c r="D14" s="209"/>
      <c r="E14" s="209"/>
      <c r="F14" s="209"/>
      <c r="G14" s="209"/>
      <c r="H14" s="209"/>
      <c r="I14" s="209"/>
      <c r="J14" s="209"/>
      <c r="K14" s="209"/>
      <c r="L14" s="209"/>
      <c r="M14" s="210"/>
      <c r="N14" s="210"/>
      <c r="O14" s="210"/>
      <c r="P14" s="56">
        <f>IFERROR(ROUND(PESO_EXAMEN*M14+PESO_PRACTICA*AVERAGE(D14),2),"")</f>
        <v/>
      </c>
      <c r="Q14" s="62">
        <f>IFERROR(ROUND(PESO_EXAMEN*M14+PESO_PRACTICA*AVERAGE(E14,F14),2),"")</f>
        <v/>
      </c>
      <c r="R14" s="66">
        <f>IFERROR(ROUND(PESO_EXAMEN*N14+PESO_PRACTICA*AVERAGE(G14),2),"")</f>
        <v/>
      </c>
      <c r="S14" s="68">
        <f>IFERROR(ROUND(PESO_EXAMEN*N14+PESO_PRACTICA*AVERAGE(H14),2),"")</f>
        <v/>
      </c>
      <c r="T14" s="70">
        <f>IFERROR(ROUND(PESO_EXAMEN*N14+PESO_PRACTICA*AVERAGE(I14),2),"")</f>
        <v/>
      </c>
      <c r="U14" s="72">
        <f>IFERROR(ROUND(PESO_EXAMEN*O14+PESO_PRACTICA*AVERAGE(J14),2),"")</f>
        <v/>
      </c>
      <c r="V14" s="66">
        <f>IFERROR(ROUND(PESO_EXAMEN*O14+PESO_PRACTICA*AVERAGE(K14),2),"")</f>
        <v/>
      </c>
      <c r="W14" s="76">
        <f>IFERROR(ROUND(PESO_EXAMEN*O14+PESO_PRACTICA*AVERAGE(L14),2),"")</f>
        <v/>
      </c>
      <c r="X14" s="88">
        <f>IFERROR(ROUND(P14*0.130000+Q14*0.190000+R14*0.090000+S14*0.160000+T14*0.130000+U14*0.120000+V14*0.130000+W14*0.050000,2),"")</f>
        <v/>
      </c>
    </row>
    <row r="15" ht="18" customHeight="1">
      <c r="B15" s="207" t="n">
        <v>5</v>
      </c>
      <c r="C15" s="208">
        <f>IFERROR('ISO · Alumnos'!C14&amp;IF('ISO · Alumnos'!D14&lt;&gt;"",", "&amp;'ISO · Alumnos'!D14,""),"")</f>
        <v/>
      </c>
      <c r="D15" s="209"/>
      <c r="E15" s="209"/>
      <c r="F15" s="209"/>
      <c r="G15" s="209"/>
      <c r="H15" s="209"/>
      <c r="I15" s="209"/>
      <c r="J15" s="209"/>
      <c r="K15" s="209"/>
      <c r="L15" s="209"/>
      <c r="M15" s="210"/>
      <c r="N15" s="210"/>
      <c r="O15" s="210"/>
      <c r="P15" s="56">
        <f>IFERROR(ROUND(PESO_EXAMEN*M15+PESO_PRACTICA*AVERAGE(D15),2),"")</f>
        <v/>
      </c>
      <c r="Q15" s="62">
        <f>IFERROR(ROUND(PESO_EXAMEN*M15+PESO_PRACTICA*AVERAGE(E15,F15),2),"")</f>
        <v/>
      </c>
      <c r="R15" s="66">
        <f>IFERROR(ROUND(PESO_EXAMEN*N15+PESO_PRACTICA*AVERAGE(G15),2),"")</f>
        <v/>
      </c>
      <c r="S15" s="68">
        <f>IFERROR(ROUND(PESO_EXAMEN*N15+PESO_PRACTICA*AVERAGE(H15),2),"")</f>
        <v/>
      </c>
      <c r="T15" s="70">
        <f>IFERROR(ROUND(PESO_EXAMEN*N15+PESO_PRACTICA*AVERAGE(I15),2),"")</f>
        <v/>
      </c>
      <c r="U15" s="72">
        <f>IFERROR(ROUND(PESO_EXAMEN*O15+PESO_PRACTICA*AVERAGE(J15),2),"")</f>
        <v/>
      </c>
      <c r="V15" s="66">
        <f>IFERROR(ROUND(PESO_EXAMEN*O15+PESO_PRACTICA*AVERAGE(K15),2),"")</f>
        <v/>
      </c>
      <c r="W15" s="76">
        <f>IFERROR(ROUND(PESO_EXAMEN*O15+PESO_PRACTICA*AVERAGE(L15),2),"")</f>
        <v/>
      </c>
      <c r="X15" s="88">
        <f>IFERROR(ROUND(P15*0.130000+Q15*0.190000+R15*0.090000+S15*0.160000+T15*0.130000+U15*0.120000+V15*0.130000+W15*0.050000,2),"")</f>
        <v/>
      </c>
    </row>
    <row r="16" ht="18" customHeight="1">
      <c r="B16" s="207" t="n">
        <v>6</v>
      </c>
      <c r="C16" s="208">
        <f>IFERROR('ISO · Alumnos'!C15&amp;IF('ISO · Alumnos'!D15&lt;&gt;"",", "&amp;'ISO · Alumnos'!D15,""),"")</f>
        <v/>
      </c>
      <c r="D16" s="209"/>
      <c r="E16" s="209"/>
      <c r="F16" s="209"/>
      <c r="G16" s="209"/>
      <c r="H16" s="209"/>
      <c r="I16" s="209"/>
      <c r="J16" s="209"/>
      <c r="K16" s="209"/>
      <c r="L16" s="209"/>
      <c r="M16" s="210"/>
      <c r="N16" s="210"/>
      <c r="O16" s="210"/>
      <c r="P16" s="56">
        <f>IFERROR(ROUND(PESO_EXAMEN*M16+PESO_PRACTICA*AVERAGE(D16),2),"")</f>
        <v/>
      </c>
      <c r="Q16" s="62">
        <f>IFERROR(ROUND(PESO_EXAMEN*M16+PESO_PRACTICA*AVERAGE(E16,F16),2),"")</f>
        <v/>
      </c>
      <c r="R16" s="66">
        <f>IFERROR(ROUND(PESO_EXAMEN*N16+PESO_PRACTICA*AVERAGE(G16),2),"")</f>
        <v/>
      </c>
      <c r="S16" s="68">
        <f>IFERROR(ROUND(PESO_EXAMEN*N16+PESO_PRACTICA*AVERAGE(H16),2),"")</f>
        <v/>
      </c>
      <c r="T16" s="70">
        <f>IFERROR(ROUND(PESO_EXAMEN*N16+PESO_PRACTICA*AVERAGE(I16),2),"")</f>
        <v/>
      </c>
      <c r="U16" s="72">
        <f>IFERROR(ROUND(PESO_EXAMEN*O16+PESO_PRACTICA*AVERAGE(J16),2),"")</f>
        <v/>
      </c>
      <c r="V16" s="66">
        <f>IFERROR(ROUND(PESO_EXAMEN*O16+PESO_PRACTICA*AVERAGE(K16),2),"")</f>
        <v/>
      </c>
      <c r="W16" s="76">
        <f>IFERROR(ROUND(PESO_EXAMEN*O16+PESO_PRACTICA*AVERAGE(L16),2),"")</f>
        <v/>
      </c>
      <c r="X16" s="88">
        <f>IFERROR(ROUND(P16*0.130000+Q16*0.190000+R16*0.090000+S16*0.160000+T16*0.130000+U16*0.120000+V16*0.130000+W16*0.050000,2),"")</f>
        <v/>
      </c>
    </row>
    <row r="17" ht="18" customHeight="1">
      <c r="B17" s="207" t="n">
        <v>7</v>
      </c>
      <c r="C17" s="208">
        <f>IFERROR('ISO · Alumnos'!C16&amp;IF('ISO · Alumnos'!D16&lt;&gt;"",", "&amp;'ISO · Alumnos'!D16,""),"")</f>
        <v/>
      </c>
      <c r="D17" s="209"/>
      <c r="E17" s="209"/>
      <c r="F17" s="209"/>
      <c r="G17" s="209"/>
      <c r="H17" s="209"/>
      <c r="I17" s="209"/>
      <c r="J17" s="209"/>
      <c r="K17" s="209"/>
      <c r="L17" s="209"/>
      <c r="M17" s="210"/>
      <c r="N17" s="210"/>
      <c r="O17" s="210"/>
      <c r="P17" s="56">
        <f>IFERROR(ROUND(PESO_EXAMEN*M17+PESO_PRACTICA*AVERAGE(D17),2),"")</f>
        <v/>
      </c>
      <c r="Q17" s="62">
        <f>IFERROR(ROUND(PESO_EXAMEN*M17+PESO_PRACTICA*AVERAGE(E17,F17),2),"")</f>
        <v/>
      </c>
      <c r="R17" s="66">
        <f>IFERROR(ROUND(PESO_EXAMEN*N17+PESO_PRACTICA*AVERAGE(G17),2),"")</f>
        <v/>
      </c>
      <c r="S17" s="68">
        <f>IFERROR(ROUND(PESO_EXAMEN*N17+PESO_PRACTICA*AVERAGE(H17),2),"")</f>
        <v/>
      </c>
      <c r="T17" s="70">
        <f>IFERROR(ROUND(PESO_EXAMEN*N17+PESO_PRACTICA*AVERAGE(I17),2),"")</f>
        <v/>
      </c>
      <c r="U17" s="72">
        <f>IFERROR(ROUND(PESO_EXAMEN*O17+PESO_PRACTICA*AVERAGE(J17),2),"")</f>
        <v/>
      </c>
      <c r="V17" s="66">
        <f>IFERROR(ROUND(PESO_EXAMEN*O17+PESO_PRACTICA*AVERAGE(K17),2),"")</f>
        <v/>
      </c>
      <c r="W17" s="76">
        <f>IFERROR(ROUND(PESO_EXAMEN*O17+PESO_PRACTICA*AVERAGE(L17),2),"")</f>
        <v/>
      </c>
      <c r="X17" s="88">
        <f>IFERROR(ROUND(P17*0.130000+Q17*0.190000+R17*0.090000+S17*0.160000+T17*0.130000+U17*0.120000+V17*0.130000+W17*0.050000,2),"")</f>
        <v/>
      </c>
    </row>
    <row r="18" ht="18" customHeight="1">
      <c r="B18" s="207" t="n">
        <v>8</v>
      </c>
      <c r="C18" s="208">
        <f>IFERROR('ISO · Alumnos'!C17&amp;IF('ISO · Alumnos'!D17&lt;&gt;"",", "&amp;'ISO · Alumnos'!D17,""),"")</f>
        <v/>
      </c>
      <c r="D18" s="209"/>
      <c r="E18" s="209"/>
      <c r="F18" s="209"/>
      <c r="G18" s="209"/>
      <c r="H18" s="209"/>
      <c r="I18" s="209"/>
      <c r="J18" s="209"/>
      <c r="K18" s="209"/>
      <c r="L18" s="209"/>
      <c r="M18" s="210"/>
      <c r="N18" s="210"/>
      <c r="O18" s="210"/>
      <c r="P18" s="56">
        <f>IFERROR(ROUND(PESO_EXAMEN*M18+PESO_PRACTICA*AVERAGE(D18),2),"")</f>
        <v/>
      </c>
      <c r="Q18" s="62">
        <f>IFERROR(ROUND(PESO_EXAMEN*M18+PESO_PRACTICA*AVERAGE(E18,F18),2),"")</f>
        <v/>
      </c>
      <c r="R18" s="66">
        <f>IFERROR(ROUND(PESO_EXAMEN*N18+PESO_PRACTICA*AVERAGE(G18),2),"")</f>
        <v/>
      </c>
      <c r="S18" s="68">
        <f>IFERROR(ROUND(PESO_EXAMEN*N18+PESO_PRACTICA*AVERAGE(H18),2),"")</f>
        <v/>
      </c>
      <c r="T18" s="70">
        <f>IFERROR(ROUND(PESO_EXAMEN*N18+PESO_PRACTICA*AVERAGE(I18),2),"")</f>
        <v/>
      </c>
      <c r="U18" s="72">
        <f>IFERROR(ROUND(PESO_EXAMEN*O18+PESO_PRACTICA*AVERAGE(J18),2),"")</f>
        <v/>
      </c>
      <c r="V18" s="66">
        <f>IFERROR(ROUND(PESO_EXAMEN*O18+PESO_PRACTICA*AVERAGE(K18),2),"")</f>
        <v/>
      </c>
      <c r="W18" s="76">
        <f>IFERROR(ROUND(PESO_EXAMEN*O18+PESO_PRACTICA*AVERAGE(L18),2),"")</f>
        <v/>
      </c>
      <c r="X18" s="88">
        <f>IFERROR(ROUND(P18*0.130000+Q18*0.190000+R18*0.090000+S18*0.160000+T18*0.130000+U18*0.120000+V18*0.130000+W18*0.050000,2),"")</f>
        <v/>
      </c>
    </row>
    <row r="19" ht="18" customHeight="1">
      <c r="B19" s="207" t="n">
        <v>9</v>
      </c>
      <c r="C19" s="208">
        <f>IFERROR('ISO · Alumnos'!C18&amp;IF('ISO · Alumnos'!D18&lt;&gt;"",", "&amp;'ISO · Alumnos'!D18,""),"")</f>
        <v/>
      </c>
      <c r="D19" s="209"/>
      <c r="E19" s="209"/>
      <c r="F19" s="209"/>
      <c r="G19" s="209"/>
      <c r="H19" s="209"/>
      <c r="I19" s="209"/>
      <c r="J19" s="209"/>
      <c r="K19" s="209"/>
      <c r="L19" s="209"/>
      <c r="M19" s="210"/>
      <c r="N19" s="210"/>
      <c r="O19" s="210"/>
      <c r="P19" s="56">
        <f>IFERROR(ROUND(PESO_EXAMEN*M19+PESO_PRACTICA*AVERAGE(D19),2),"")</f>
        <v/>
      </c>
      <c r="Q19" s="62">
        <f>IFERROR(ROUND(PESO_EXAMEN*M19+PESO_PRACTICA*AVERAGE(E19,F19),2),"")</f>
        <v/>
      </c>
      <c r="R19" s="66">
        <f>IFERROR(ROUND(PESO_EXAMEN*N19+PESO_PRACTICA*AVERAGE(G19),2),"")</f>
        <v/>
      </c>
      <c r="S19" s="68">
        <f>IFERROR(ROUND(PESO_EXAMEN*N19+PESO_PRACTICA*AVERAGE(H19),2),"")</f>
        <v/>
      </c>
      <c r="T19" s="70">
        <f>IFERROR(ROUND(PESO_EXAMEN*N19+PESO_PRACTICA*AVERAGE(I19),2),"")</f>
        <v/>
      </c>
      <c r="U19" s="72">
        <f>IFERROR(ROUND(PESO_EXAMEN*O19+PESO_PRACTICA*AVERAGE(J19),2),"")</f>
        <v/>
      </c>
      <c r="V19" s="66">
        <f>IFERROR(ROUND(PESO_EXAMEN*O19+PESO_PRACTICA*AVERAGE(K19),2),"")</f>
        <v/>
      </c>
      <c r="W19" s="76">
        <f>IFERROR(ROUND(PESO_EXAMEN*O19+PESO_PRACTICA*AVERAGE(L19),2),"")</f>
        <v/>
      </c>
      <c r="X19" s="88">
        <f>IFERROR(ROUND(P19*0.130000+Q19*0.190000+R19*0.090000+S19*0.160000+T19*0.130000+U19*0.120000+V19*0.130000+W19*0.050000,2),"")</f>
        <v/>
      </c>
    </row>
    <row r="20" ht="18" customHeight="1">
      <c r="B20" s="207" t="n">
        <v>10</v>
      </c>
      <c r="C20" s="208">
        <f>IFERROR('ISO · Alumnos'!C19&amp;IF('ISO · Alumnos'!D19&lt;&gt;"",", "&amp;'ISO · Alumnos'!D19,""),"")</f>
        <v/>
      </c>
      <c r="D20" s="209"/>
      <c r="E20" s="209"/>
      <c r="F20" s="209"/>
      <c r="G20" s="209"/>
      <c r="H20" s="209"/>
      <c r="I20" s="209"/>
      <c r="J20" s="209"/>
      <c r="K20" s="209"/>
      <c r="L20" s="209"/>
      <c r="M20" s="210"/>
      <c r="N20" s="210"/>
      <c r="O20" s="210"/>
      <c r="P20" s="56">
        <f>IFERROR(ROUND(PESO_EXAMEN*M20+PESO_PRACTICA*AVERAGE(D20),2),"")</f>
        <v/>
      </c>
      <c r="Q20" s="62">
        <f>IFERROR(ROUND(PESO_EXAMEN*M20+PESO_PRACTICA*AVERAGE(E20,F20),2),"")</f>
        <v/>
      </c>
      <c r="R20" s="66">
        <f>IFERROR(ROUND(PESO_EXAMEN*N20+PESO_PRACTICA*AVERAGE(G20),2),"")</f>
        <v/>
      </c>
      <c r="S20" s="68">
        <f>IFERROR(ROUND(PESO_EXAMEN*N20+PESO_PRACTICA*AVERAGE(H20),2),"")</f>
        <v/>
      </c>
      <c r="T20" s="70">
        <f>IFERROR(ROUND(PESO_EXAMEN*N20+PESO_PRACTICA*AVERAGE(I20),2),"")</f>
        <v/>
      </c>
      <c r="U20" s="72">
        <f>IFERROR(ROUND(PESO_EXAMEN*O20+PESO_PRACTICA*AVERAGE(J20),2),"")</f>
        <v/>
      </c>
      <c r="V20" s="66">
        <f>IFERROR(ROUND(PESO_EXAMEN*O20+PESO_PRACTICA*AVERAGE(K20),2),"")</f>
        <v/>
      </c>
      <c r="W20" s="76">
        <f>IFERROR(ROUND(PESO_EXAMEN*O20+PESO_PRACTICA*AVERAGE(L20),2),"")</f>
        <v/>
      </c>
      <c r="X20" s="88">
        <f>IFERROR(ROUND(P20*0.130000+Q20*0.190000+R20*0.090000+S20*0.160000+T20*0.130000+U20*0.120000+V20*0.130000+W20*0.050000,2),"")</f>
        <v/>
      </c>
    </row>
    <row r="21" ht="18" customHeight="1">
      <c r="B21" s="207" t="n">
        <v>11</v>
      </c>
      <c r="C21" s="208">
        <f>IFERROR('ISO · Alumnos'!C20&amp;IF('ISO · Alumnos'!D20&lt;&gt;"",", "&amp;'ISO · Alumnos'!D20,""),"")</f>
        <v/>
      </c>
      <c r="D21" s="209"/>
      <c r="E21" s="209"/>
      <c r="F21" s="209"/>
      <c r="G21" s="209"/>
      <c r="H21" s="209"/>
      <c r="I21" s="209"/>
      <c r="J21" s="209"/>
      <c r="K21" s="209"/>
      <c r="L21" s="209"/>
      <c r="M21" s="210"/>
      <c r="N21" s="210"/>
      <c r="O21" s="210"/>
      <c r="P21" s="56">
        <f>IFERROR(ROUND(PESO_EXAMEN*M21+PESO_PRACTICA*AVERAGE(D21),2),"")</f>
        <v/>
      </c>
      <c r="Q21" s="62">
        <f>IFERROR(ROUND(PESO_EXAMEN*M21+PESO_PRACTICA*AVERAGE(E21,F21),2),"")</f>
        <v/>
      </c>
      <c r="R21" s="66">
        <f>IFERROR(ROUND(PESO_EXAMEN*N21+PESO_PRACTICA*AVERAGE(G21),2),"")</f>
        <v/>
      </c>
      <c r="S21" s="68">
        <f>IFERROR(ROUND(PESO_EXAMEN*N21+PESO_PRACTICA*AVERAGE(H21),2),"")</f>
        <v/>
      </c>
      <c r="T21" s="70">
        <f>IFERROR(ROUND(PESO_EXAMEN*N21+PESO_PRACTICA*AVERAGE(I21),2),"")</f>
        <v/>
      </c>
      <c r="U21" s="72">
        <f>IFERROR(ROUND(PESO_EXAMEN*O21+PESO_PRACTICA*AVERAGE(J21),2),"")</f>
        <v/>
      </c>
      <c r="V21" s="66">
        <f>IFERROR(ROUND(PESO_EXAMEN*O21+PESO_PRACTICA*AVERAGE(K21),2),"")</f>
        <v/>
      </c>
      <c r="W21" s="76">
        <f>IFERROR(ROUND(PESO_EXAMEN*O21+PESO_PRACTICA*AVERAGE(L21),2),"")</f>
        <v/>
      </c>
      <c r="X21" s="88">
        <f>IFERROR(ROUND(P21*0.130000+Q21*0.190000+R21*0.090000+S21*0.160000+T21*0.130000+U21*0.120000+V21*0.130000+W21*0.050000,2),"")</f>
        <v/>
      </c>
    </row>
    <row r="22" ht="18" customHeight="1">
      <c r="B22" s="207" t="n">
        <v>12</v>
      </c>
      <c r="C22" s="208">
        <f>IFERROR('ISO · Alumnos'!C21&amp;IF('ISO · Alumnos'!D21&lt;&gt;"",", "&amp;'ISO · Alumnos'!D21,""),"")</f>
        <v/>
      </c>
      <c r="D22" s="209"/>
      <c r="E22" s="209"/>
      <c r="F22" s="209"/>
      <c r="G22" s="209"/>
      <c r="H22" s="209"/>
      <c r="I22" s="209"/>
      <c r="J22" s="209"/>
      <c r="K22" s="209"/>
      <c r="L22" s="209"/>
      <c r="M22" s="210"/>
      <c r="N22" s="210"/>
      <c r="O22" s="210"/>
      <c r="P22" s="56">
        <f>IFERROR(ROUND(PESO_EXAMEN*M22+PESO_PRACTICA*AVERAGE(D22),2),"")</f>
        <v/>
      </c>
      <c r="Q22" s="62">
        <f>IFERROR(ROUND(PESO_EXAMEN*M22+PESO_PRACTICA*AVERAGE(E22,F22),2),"")</f>
        <v/>
      </c>
      <c r="R22" s="66">
        <f>IFERROR(ROUND(PESO_EXAMEN*N22+PESO_PRACTICA*AVERAGE(G22),2),"")</f>
        <v/>
      </c>
      <c r="S22" s="68">
        <f>IFERROR(ROUND(PESO_EXAMEN*N22+PESO_PRACTICA*AVERAGE(H22),2),"")</f>
        <v/>
      </c>
      <c r="T22" s="70">
        <f>IFERROR(ROUND(PESO_EXAMEN*N22+PESO_PRACTICA*AVERAGE(I22),2),"")</f>
        <v/>
      </c>
      <c r="U22" s="72">
        <f>IFERROR(ROUND(PESO_EXAMEN*O22+PESO_PRACTICA*AVERAGE(J22),2),"")</f>
        <v/>
      </c>
      <c r="V22" s="66">
        <f>IFERROR(ROUND(PESO_EXAMEN*O22+PESO_PRACTICA*AVERAGE(K22),2),"")</f>
        <v/>
      </c>
      <c r="W22" s="76">
        <f>IFERROR(ROUND(PESO_EXAMEN*O22+PESO_PRACTICA*AVERAGE(L22),2),"")</f>
        <v/>
      </c>
      <c r="X22" s="88">
        <f>IFERROR(ROUND(P22*0.130000+Q22*0.190000+R22*0.090000+S22*0.160000+T22*0.130000+U22*0.120000+V22*0.130000+W22*0.050000,2),"")</f>
        <v/>
      </c>
    </row>
    <row r="23" ht="18" customHeight="1">
      <c r="B23" s="207" t="n">
        <v>13</v>
      </c>
      <c r="C23" s="208">
        <f>IFERROR('ISO · Alumnos'!C22&amp;IF('ISO · Alumnos'!D22&lt;&gt;"",", "&amp;'ISO · Alumnos'!D22,""),"")</f>
        <v/>
      </c>
      <c r="D23" s="209"/>
      <c r="E23" s="209"/>
      <c r="F23" s="209"/>
      <c r="G23" s="209"/>
      <c r="H23" s="209"/>
      <c r="I23" s="209"/>
      <c r="J23" s="209"/>
      <c r="K23" s="209"/>
      <c r="L23" s="209"/>
      <c r="M23" s="210"/>
      <c r="N23" s="210"/>
      <c r="O23" s="210"/>
      <c r="P23" s="56">
        <f>IFERROR(ROUND(PESO_EXAMEN*M23+PESO_PRACTICA*AVERAGE(D23),2),"")</f>
        <v/>
      </c>
      <c r="Q23" s="62">
        <f>IFERROR(ROUND(PESO_EXAMEN*M23+PESO_PRACTICA*AVERAGE(E23,F23),2),"")</f>
        <v/>
      </c>
      <c r="R23" s="66">
        <f>IFERROR(ROUND(PESO_EXAMEN*N23+PESO_PRACTICA*AVERAGE(G23),2),"")</f>
        <v/>
      </c>
      <c r="S23" s="68">
        <f>IFERROR(ROUND(PESO_EXAMEN*N23+PESO_PRACTICA*AVERAGE(H23),2),"")</f>
        <v/>
      </c>
      <c r="T23" s="70">
        <f>IFERROR(ROUND(PESO_EXAMEN*N23+PESO_PRACTICA*AVERAGE(I23),2),"")</f>
        <v/>
      </c>
      <c r="U23" s="72">
        <f>IFERROR(ROUND(PESO_EXAMEN*O23+PESO_PRACTICA*AVERAGE(J23),2),"")</f>
        <v/>
      </c>
      <c r="V23" s="66">
        <f>IFERROR(ROUND(PESO_EXAMEN*O23+PESO_PRACTICA*AVERAGE(K23),2),"")</f>
        <v/>
      </c>
      <c r="W23" s="76">
        <f>IFERROR(ROUND(PESO_EXAMEN*O23+PESO_PRACTICA*AVERAGE(L23),2),"")</f>
        <v/>
      </c>
      <c r="X23" s="88">
        <f>IFERROR(ROUND(P23*0.130000+Q23*0.190000+R23*0.090000+S23*0.160000+T23*0.130000+U23*0.120000+V23*0.130000+W23*0.050000,2),"")</f>
        <v/>
      </c>
    </row>
    <row r="24" ht="18" customHeight="1">
      <c r="B24" s="207" t="n">
        <v>14</v>
      </c>
      <c r="C24" s="208">
        <f>IFERROR('ISO · Alumnos'!C23&amp;IF('ISO · Alumnos'!D23&lt;&gt;"",", "&amp;'ISO · Alumnos'!D23,""),"")</f>
        <v/>
      </c>
      <c r="D24" s="209"/>
      <c r="E24" s="209"/>
      <c r="F24" s="209"/>
      <c r="G24" s="209"/>
      <c r="H24" s="209"/>
      <c r="I24" s="209"/>
      <c r="J24" s="209"/>
      <c r="K24" s="209"/>
      <c r="L24" s="209"/>
      <c r="M24" s="210"/>
      <c r="N24" s="210"/>
      <c r="O24" s="210"/>
      <c r="P24" s="56">
        <f>IFERROR(ROUND(PESO_EXAMEN*M24+PESO_PRACTICA*AVERAGE(D24),2),"")</f>
        <v/>
      </c>
      <c r="Q24" s="62">
        <f>IFERROR(ROUND(PESO_EXAMEN*M24+PESO_PRACTICA*AVERAGE(E24,F24),2),"")</f>
        <v/>
      </c>
      <c r="R24" s="66">
        <f>IFERROR(ROUND(PESO_EXAMEN*N24+PESO_PRACTICA*AVERAGE(G24),2),"")</f>
        <v/>
      </c>
      <c r="S24" s="68">
        <f>IFERROR(ROUND(PESO_EXAMEN*N24+PESO_PRACTICA*AVERAGE(H24),2),"")</f>
        <v/>
      </c>
      <c r="T24" s="70">
        <f>IFERROR(ROUND(PESO_EXAMEN*N24+PESO_PRACTICA*AVERAGE(I24),2),"")</f>
        <v/>
      </c>
      <c r="U24" s="72">
        <f>IFERROR(ROUND(PESO_EXAMEN*O24+PESO_PRACTICA*AVERAGE(J24),2),"")</f>
        <v/>
      </c>
      <c r="V24" s="66">
        <f>IFERROR(ROUND(PESO_EXAMEN*O24+PESO_PRACTICA*AVERAGE(K24),2),"")</f>
        <v/>
      </c>
      <c r="W24" s="76">
        <f>IFERROR(ROUND(PESO_EXAMEN*O24+PESO_PRACTICA*AVERAGE(L24),2),"")</f>
        <v/>
      </c>
      <c r="X24" s="88">
        <f>IFERROR(ROUND(P24*0.130000+Q24*0.190000+R24*0.090000+S24*0.160000+T24*0.130000+U24*0.120000+V24*0.130000+W24*0.050000,2),"")</f>
        <v/>
      </c>
    </row>
    <row r="25" ht="18" customHeight="1">
      <c r="B25" s="207" t="n">
        <v>15</v>
      </c>
      <c r="C25" s="208">
        <f>IFERROR('ISO · Alumnos'!C24&amp;IF('ISO · Alumnos'!D24&lt;&gt;"",", "&amp;'ISO · Alumnos'!D24,""),"")</f>
        <v/>
      </c>
      <c r="D25" s="209"/>
      <c r="E25" s="209"/>
      <c r="F25" s="209"/>
      <c r="G25" s="209"/>
      <c r="H25" s="209"/>
      <c r="I25" s="209"/>
      <c r="J25" s="209"/>
      <c r="K25" s="209"/>
      <c r="L25" s="209"/>
      <c r="M25" s="210"/>
      <c r="N25" s="210"/>
      <c r="O25" s="210"/>
      <c r="P25" s="56">
        <f>IFERROR(ROUND(PESO_EXAMEN*M25+PESO_PRACTICA*AVERAGE(D25),2),"")</f>
        <v/>
      </c>
      <c r="Q25" s="62">
        <f>IFERROR(ROUND(PESO_EXAMEN*M25+PESO_PRACTICA*AVERAGE(E25,F25),2),"")</f>
        <v/>
      </c>
      <c r="R25" s="66">
        <f>IFERROR(ROUND(PESO_EXAMEN*N25+PESO_PRACTICA*AVERAGE(G25),2),"")</f>
        <v/>
      </c>
      <c r="S25" s="68">
        <f>IFERROR(ROUND(PESO_EXAMEN*N25+PESO_PRACTICA*AVERAGE(H25),2),"")</f>
        <v/>
      </c>
      <c r="T25" s="70">
        <f>IFERROR(ROUND(PESO_EXAMEN*N25+PESO_PRACTICA*AVERAGE(I25),2),"")</f>
        <v/>
      </c>
      <c r="U25" s="72">
        <f>IFERROR(ROUND(PESO_EXAMEN*O25+PESO_PRACTICA*AVERAGE(J25),2),"")</f>
        <v/>
      </c>
      <c r="V25" s="66">
        <f>IFERROR(ROUND(PESO_EXAMEN*O25+PESO_PRACTICA*AVERAGE(K25),2),"")</f>
        <v/>
      </c>
      <c r="W25" s="76">
        <f>IFERROR(ROUND(PESO_EXAMEN*O25+PESO_PRACTICA*AVERAGE(L25),2),"")</f>
        <v/>
      </c>
      <c r="X25" s="88">
        <f>IFERROR(ROUND(P25*0.130000+Q25*0.190000+R25*0.090000+S25*0.160000+T25*0.130000+U25*0.120000+V25*0.130000+W25*0.050000,2),"")</f>
        <v/>
      </c>
    </row>
    <row r="26" ht="18" customHeight="1">
      <c r="B26" s="207" t="n">
        <v>16</v>
      </c>
      <c r="C26" s="208">
        <f>IFERROR('ISO · Alumnos'!C25&amp;IF('ISO · Alumnos'!D25&lt;&gt;"",", "&amp;'ISO · Alumnos'!D25,""),"")</f>
        <v/>
      </c>
      <c r="D26" s="209"/>
      <c r="E26" s="209"/>
      <c r="F26" s="209"/>
      <c r="G26" s="209"/>
      <c r="H26" s="209"/>
      <c r="I26" s="209"/>
      <c r="J26" s="209"/>
      <c r="K26" s="209"/>
      <c r="L26" s="209"/>
      <c r="M26" s="210"/>
      <c r="N26" s="210"/>
      <c r="O26" s="210"/>
      <c r="P26" s="56">
        <f>IFERROR(ROUND(PESO_EXAMEN*M26+PESO_PRACTICA*AVERAGE(D26),2),"")</f>
        <v/>
      </c>
      <c r="Q26" s="62">
        <f>IFERROR(ROUND(PESO_EXAMEN*M26+PESO_PRACTICA*AVERAGE(E26,F26),2),"")</f>
        <v/>
      </c>
      <c r="R26" s="66">
        <f>IFERROR(ROUND(PESO_EXAMEN*N26+PESO_PRACTICA*AVERAGE(G26),2),"")</f>
        <v/>
      </c>
      <c r="S26" s="68">
        <f>IFERROR(ROUND(PESO_EXAMEN*N26+PESO_PRACTICA*AVERAGE(H26),2),"")</f>
        <v/>
      </c>
      <c r="T26" s="70">
        <f>IFERROR(ROUND(PESO_EXAMEN*N26+PESO_PRACTICA*AVERAGE(I26),2),"")</f>
        <v/>
      </c>
      <c r="U26" s="72">
        <f>IFERROR(ROUND(PESO_EXAMEN*O26+PESO_PRACTICA*AVERAGE(J26),2),"")</f>
        <v/>
      </c>
      <c r="V26" s="66">
        <f>IFERROR(ROUND(PESO_EXAMEN*O26+PESO_PRACTICA*AVERAGE(K26),2),"")</f>
        <v/>
      </c>
      <c r="W26" s="76">
        <f>IFERROR(ROUND(PESO_EXAMEN*O26+PESO_PRACTICA*AVERAGE(L26),2),"")</f>
        <v/>
      </c>
      <c r="X26" s="88">
        <f>IFERROR(ROUND(P26*0.130000+Q26*0.190000+R26*0.090000+S26*0.160000+T26*0.130000+U26*0.120000+V26*0.130000+W26*0.050000,2),"")</f>
        <v/>
      </c>
    </row>
    <row r="27" ht="18" customHeight="1">
      <c r="B27" s="207" t="n">
        <v>17</v>
      </c>
      <c r="C27" s="208">
        <f>IFERROR('ISO · Alumnos'!C26&amp;IF('ISO · Alumnos'!D26&lt;&gt;"",", "&amp;'ISO · Alumnos'!D26,""),"")</f>
        <v/>
      </c>
      <c r="D27" s="209"/>
      <c r="E27" s="209"/>
      <c r="F27" s="209"/>
      <c r="G27" s="209"/>
      <c r="H27" s="209"/>
      <c r="I27" s="209"/>
      <c r="J27" s="209"/>
      <c r="K27" s="209"/>
      <c r="L27" s="209"/>
      <c r="M27" s="210"/>
      <c r="N27" s="210"/>
      <c r="O27" s="210"/>
      <c r="P27" s="56">
        <f>IFERROR(ROUND(PESO_EXAMEN*M27+PESO_PRACTICA*AVERAGE(D27),2),"")</f>
        <v/>
      </c>
      <c r="Q27" s="62">
        <f>IFERROR(ROUND(PESO_EXAMEN*M27+PESO_PRACTICA*AVERAGE(E27,F27),2),"")</f>
        <v/>
      </c>
      <c r="R27" s="66">
        <f>IFERROR(ROUND(PESO_EXAMEN*N27+PESO_PRACTICA*AVERAGE(G27),2),"")</f>
        <v/>
      </c>
      <c r="S27" s="68">
        <f>IFERROR(ROUND(PESO_EXAMEN*N27+PESO_PRACTICA*AVERAGE(H27),2),"")</f>
        <v/>
      </c>
      <c r="T27" s="70">
        <f>IFERROR(ROUND(PESO_EXAMEN*N27+PESO_PRACTICA*AVERAGE(I27),2),"")</f>
        <v/>
      </c>
      <c r="U27" s="72">
        <f>IFERROR(ROUND(PESO_EXAMEN*O27+PESO_PRACTICA*AVERAGE(J27),2),"")</f>
        <v/>
      </c>
      <c r="V27" s="66">
        <f>IFERROR(ROUND(PESO_EXAMEN*O27+PESO_PRACTICA*AVERAGE(K27),2),"")</f>
        <v/>
      </c>
      <c r="W27" s="76">
        <f>IFERROR(ROUND(PESO_EXAMEN*O27+PESO_PRACTICA*AVERAGE(L27),2),"")</f>
        <v/>
      </c>
      <c r="X27" s="88">
        <f>IFERROR(ROUND(P27*0.130000+Q27*0.190000+R27*0.090000+S27*0.160000+T27*0.130000+U27*0.120000+V27*0.130000+W27*0.050000,2),"")</f>
        <v/>
      </c>
    </row>
    <row r="28" ht="18" customHeight="1">
      <c r="B28" s="207" t="n">
        <v>18</v>
      </c>
      <c r="C28" s="208">
        <f>IFERROR('ISO · Alumnos'!C27&amp;IF('ISO · Alumnos'!D27&lt;&gt;"",", "&amp;'ISO · Alumnos'!D27,""),"")</f>
        <v/>
      </c>
      <c r="D28" s="209"/>
      <c r="E28" s="209"/>
      <c r="F28" s="209"/>
      <c r="G28" s="209"/>
      <c r="H28" s="209"/>
      <c r="I28" s="209"/>
      <c r="J28" s="209"/>
      <c r="K28" s="209"/>
      <c r="L28" s="209"/>
      <c r="M28" s="210"/>
      <c r="N28" s="210"/>
      <c r="O28" s="210"/>
      <c r="P28" s="56">
        <f>IFERROR(ROUND(PESO_EXAMEN*M28+PESO_PRACTICA*AVERAGE(D28),2),"")</f>
        <v/>
      </c>
      <c r="Q28" s="62">
        <f>IFERROR(ROUND(PESO_EXAMEN*M28+PESO_PRACTICA*AVERAGE(E28,F28),2),"")</f>
        <v/>
      </c>
      <c r="R28" s="66">
        <f>IFERROR(ROUND(PESO_EXAMEN*N28+PESO_PRACTICA*AVERAGE(G28),2),"")</f>
        <v/>
      </c>
      <c r="S28" s="68">
        <f>IFERROR(ROUND(PESO_EXAMEN*N28+PESO_PRACTICA*AVERAGE(H28),2),"")</f>
        <v/>
      </c>
      <c r="T28" s="70">
        <f>IFERROR(ROUND(PESO_EXAMEN*N28+PESO_PRACTICA*AVERAGE(I28),2),"")</f>
        <v/>
      </c>
      <c r="U28" s="72">
        <f>IFERROR(ROUND(PESO_EXAMEN*O28+PESO_PRACTICA*AVERAGE(J28),2),"")</f>
        <v/>
      </c>
      <c r="V28" s="66">
        <f>IFERROR(ROUND(PESO_EXAMEN*O28+PESO_PRACTICA*AVERAGE(K28),2),"")</f>
        <v/>
      </c>
      <c r="W28" s="76">
        <f>IFERROR(ROUND(PESO_EXAMEN*O28+PESO_PRACTICA*AVERAGE(L28),2),"")</f>
        <v/>
      </c>
      <c r="X28" s="88">
        <f>IFERROR(ROUND(P28*0.130000+Q28*0.190000+R28*0.090000+S28*0.160000+T28*0.130000+U28*0.120000+V28*0.130000+W28*0.050000,2),"")</f>
        <v/>
      </c>
    </row>
    <row r="29" ht="18" customHeight="1">
      <c r="B29" s="207" t="n">
        <v>19</v>
      </c>
      <c r="C29" s="208">
        <f>IFERROR('ISO · Alumnos'!C28&amp;IF('ISO · Alumnos'!D28&lt;&gt;"",", "&amp;'ISO · Alumnos'!D28,""),"")</f>
        <v/>
      </c>
      <c r="D29" s="209"/>
      <c r="E29" s="209"/>
      <c r="F29" s="209"/>
      <c r="G29" s="209"/>
      <c r="H29" s="209"/>
      <c r="I29" s="209"/>
      <c r="J29" s="209"/>
      <c r="K29" s="209"/>
      <c r="L29" s="209"/>
      <c r="M29" s="210"/>
      <c r="N29" s="210"/>
      <c r="O29" s="210"/>
      <c r="P29" s="56">
        <f>IFERROR(ROUND(PESO_EXAMEN*M29+PESO_PRACTICA*AVERAGE(D29),2),"")</f>
        <v/>
      </c>
      <c r="Q29" s="62">
        <f>IFERROR(ROUND(PESO_EXAMEN*M29+PESO_PRACTICA*AVERAGE(E29,F29),2),"")</f>
        <v/>
      </c>
      <c r="R29" s="66">
        <f>IFERROR(ROUND(PESO_EXAMEN*N29+PESO_PRACTICA*AVERAGE(G29),2),"")</f>
        <v/>
      </c>
      <c r="S29" s="68">
        <f>IFERROR(ROUND(PESO_EXAMEN*N29+PESO_PRACTICA*AVERAGE(H29),2),"")</f>
        <v/>
      </c>
      <c r="T29" s="70">
        <f>IFERROR(ROUND(PESO_EXAMEN*N29+PESO_PRACTICA*AVERAGE(I29),2),"")</f>
        <v/>
      </c>
      <c r="U29" s="72">
        <f>IFERROR(ROUND(PESO_EXAMEN*O29+PESO_PRACTICA*AVERAGE(J29),2),"")</f>
        <v/>
      </c>
      <c r="V29" s="66">
        <f>IFERROR(ROUND(PESO_EXAMEN*O29+PESO_PRACTICA*AVERAGE(K29),2),"")</f>
        <v/>
      </c>
      <c r="W29" s="76">
        <f>IFERROR(ROUND(PESO_EXAMEN*O29+PESO_PRACTICA*AVERAGE(L29),2),"")</f>
        <v/>
      </c>
      <c r="X29" s="88">
        <f>IFERROR(ROUND(P29*0.130000+Q29*0.190000+R29*0.090000+S29*0.160000+T29*0.130000+U29*0.120000+V29*0.130000+W29*0.050000,2),"")</f>
        <v/>
      </c>
    </row>
    <row r="30" ht="18" customHeight="1">
      <c r="B30" s="207" t="n">
        <v>20</v>
      </c>
      <c r="C30" s="208">
        <f>IFERROR('ISO · Alumnos'!C29&amp;IF('ISO · Alumnos'!D29&lt;&gt;"",", "&amp;'ISO · Alumnos'!D29,""),"")</f>
        <v/>
      </c>
      <c r="D30" s="209"/>
      <c r="E30" s="209"/>
      <c r="F30" s="209"/>
      <c r="G30" s="209"/>
      <c r="H30" s="209"/>
      <c r="I30" s="209"/>
      <c r="J30" s="209"/>
      <c r="K30" s="209"/>
      <c r="L30" s="209"/>
      <c r="M30" s="210"/>
      <c r="N30" s="210"/>
      <c r="O30" s="210"/>
      <c r="P30" s="56">
        <f>IFERROR(ROUND(PESO_EXAMEN*M30+PESO_PRACTICA*AVERAGE(D30),2),"")</f>
        <v/>
      </c>
      <c r="Q30" s="62">
        <f>IFERROR(ROUND(PESO_EXAMEN*M30+PESO_PRACTICA*AVERAGE(E30,F30),2),"")</f>
        <v/>
      </c>
      <c r="R30" s="66">
        <f>IFERROR(ROUND(PESO_EXAMEN*N30+PESO_PRACTICA*AVERAGE(G30),2),"")</f>
        <v/>
      </c>
      <c r="S30" s="68">
        <f>IFERROR(ROUND(PESO_EXAMEN*N30+PESO_PRACTICA*AVERAGE(H30),2),"")</f>
        <v/>
      </c>
      <c r="T30" s="70">
        <f>IFERROR(ROUND(PESO_EXAMEN*N30+PESO_PRACTICA*AVERAGE(I30),2),"")</f>
        <v/>
      </c>
      <c r="U30" s="72">
        <f>IFERROR(ROUND(PESO_EXAMEN*O30+PESO_PRACTICA*AVERAGE(J30),2),"")</f>
        <v/>
      </c>
      <c r="V30" s="66">
        <f>IFERROR(ROUND(PESO_EXAMEN*O30+PESO_PRACTICA*AVERAGE(K30),2),"")</f>
        <v/>
      </c>
      <c r="W30" s="76">
        <f>IFERROR(ROUND(PESO_EXAMEN*O30+PESO_PRACTICA*AVERAGE(L30),2),"")</f>
        <v/>
      </c>
      <c r="X30" s="88">
        <f>IFERROR(ROUND(P30*0.130000+Q30*0.190000+R30*0.090000+S30*0.160000+T30*0.130000+U30*0.120000+V30*0.130000+W30*0.050000,2),"")</f>
        <v/>
      </c>
    </row>
    <row r="31" ht="18" customHeight="1">
      <c r="B31" s="207" t="n">
        <v>21</v>
      </c>
      <c r="C31" s="208">
        <f>IFERROR('ISO · Alumnos'!C30&amp;IF('ISO · Alumnos'!D30&lt;&gt;"",", "&amp;'ISO · Alumnos'!D30,""),"")</f>
        <v/>
      </c>
      <c r="D31" s="209"/>
      <c r="E31" s="209"/>
      <c r="F31" s="209"/>
      <c r="G31" s="209"/>
      <c r="H31" s="209"/>
      <c r="I31" s="209"/>
      <c r="J31" s="209"/>
      <c r="K31" s="209"/>
      <c r="L31" s="209"/>
      <c r="M31" s="210"/>
      <c r="N31" s="210"/>
      <c r="O31" s="210"/>
      <c r="P31" s="56">
        <f>IFERROR(ROUND(PESO_EXAMEN*M31+PESO_PRACTICA*AVERAGE(D31),2),"")</f>
        <v/>
      </c>
      <c r="Q31" s="62">
        <f>IFERROR(ROUND(PESO_EXAMEN*M31+PESO_PRACTICA*AVERAGE(E31,F31),2),"")</f>
        <v/>
      </c>
      <c r="R31" s="66">
        <f>IFERROR(ROUND(PESO_EXAMEN*N31+PESO_PRACTICA*AVERAGE(G31),2),"")</f>
        <v/>
      </c>
      <c r="S31" s="68">
        <f>IFERROR(ROUND(PESO_EXAMEN*N31+PESO_PRACTICA*AVERAGE(H31),2),"")</f>
        <v/>
      </c>
      <c r="T31" s="70">
        <f>IFERROR(ROUND(PESO_EXAMEN*N31+PESO_PRACTICA*AVERAGE(I31),2),"")</f>
        <v/>
      </c>
      <c r="U31" s="72">
        <f>IFERROR(ROUND(PESO_EXAMEN*O31+PESO_PRACTICA*AVERAGE(J31),2),"")</f>
        <v/>
      </c>
      <c r="V31" s="66">
        <f>IFERROR(ROUND(PESO_EXAMEN*O31+PESO_PRACTICA*AVERAGE(K31),2),"")</f>
        <v/>
      </c>
      <c r="W31" s="76">
        <f>IFERROR(ROUND(PESO_EXAMEN*O31+PESO_PRACTICA*AVERAGE(L31),2),"")</f>
        <v/>
      </c>
      <c r="X31" s="88">
        <f>IFERROR(ROUND(P31*0.130000+Q31*0.190000+R31*0.090000+S31*0.160000+T31*0.130000+U31*0.120000+V31*0.130000+W31*0.050000,2),"")</f>
        <v/>
      </c>
    </row>
    <row r="32" ht="18" customHeight="1">
      <c r="B32" s="207" t="n">
        <v>22</v>
      </c>
      <c r="C32" s="208">
        <f>IFERROR('ISO · Alumnos'!C31&amp;IF('ISO · Alumnos'!D31&lt;&gt;"",", "&amp;'ISO · Alumnos'!D31,""),"")</f>
        <v/>
      </c>
      <c r="D32" s="209"/>
      <c r="E32" s="209"/>
      <c r="F32" s="209"/>
      <c r="G32" s="209"/>
      <c r="H32" s="209"/>
      <c r="I32" s="209"/>
      <c r="J32" s="209"/>
      <c r="K32" s="209"/>
      <c r="L32" s="209"/>
      <c r="M32" s="210"/>
      <c r="N32" s="210"/>
      <c r="O32" s="210"/>
      <c r="P32" s="56">
        <f>IFERROR(ROUND(PESO_EXAMEN*M32+PESO_PRACTICA*AVERAGE(D32),2),"")</f>
        <v/>
      </c>
      <c r="Q32" s="62">
        <f>IFERROR(ROUND(PESO_EXAMEN*M32+PESO_PRACTICA*AVERAGE(E32,F32),2),"")</f>
        <v/>
      </c>
      <c r="R32" s="66">
        <f>IFERROR(ROUND(PESO_EXAMEN*N32+PESO_PRACTICA*AVERAGE(G32),2),"")</f>
        <v/>
      </c>
      <c r="S32" s="68">
        <f>IFERROR(ROUND(PESO_EXAMEN*N32+PESO_PRACTICA*AVERAGE(H32),2),"")</f>
        <v/>
      </c>
      <c r="T32" s="70">
        <f>IFERROR(ROUND(PESO_EXAMEN*N32+PESO_PRACTICA*AVERAGE(I32),2),"")</f>
        <v/>
      </c>
      <c r="U32" s="72">
        <f>IFERROR(ROUND(PESO_EXAMEN*O32+PESO_PRACTICA*AVERAGE(J32),2),"")</f>
        <v/>
      </c>
      <c r="V32" s="66">
        <f>IFERROR(ROUND(PESO_EXAMEN*O32+PESO_PRACTICA*AVERAGE(K32),2),"")</f>
        <v/>
      </c>
      <c r="W32" s="76">
        <f>IFERROR(ROUND(PESO_EXAMEN*O32+PESO_PRACTICA*AVERAGE(L32),2),"")</f>
        <v/>
      </c>
      <c r="X32" s="88">
        <f>IFERROR(ROUND(P32*0.130000+Q32*0.190000+R32*0.090000+S32*0.160000+T32*0.130000+U32*0.120000+V32*0.130000+W32*0.050000,2),"")</f>
        <v/>
      </c>
    </row>
    <row r="33" ht="18" customHeight="1">
      <c r="B33" s="207" t="n">
        <v>23</v>
      </c>
      <c r="C33" s="208">
        <f>IFERROR('ISO · Alumnos'!C32&amp;IF('ISO · Alumnos'!D32&lt;&gt;"",", "&amp;'ISO · Alumnos'!D32,""),"")</f>
        <v/>
      </c>
      <c r="D33" s="209"/>
      <c r="E33" s="209"/>
      <c r="F33" s="209"/>
      <c r="G33" s="209"/>
      <c r="H33" s="209"/>
      <c r="I33" s="209"/>
      <c r="J33" s="209"/>
      <c r="K33" s="209"/>
      <c r="L33" s="209"/>
      <c r="M33" s="210"/>
      <c r="N33" s="210"/>
      <c r="O33" s="210"/>
      <c r="P33" s="56">
        <f>IFERROR(ROUND(PESO_EXAMEN*M33+PESO_PRACTICA*AVERAGE(D33),2),"")</f>
        <v/>
      </c>
      <c r="Q33" s="62">
        <f>IFERROR(ROUND(PESO_EXAMEN*M33+PESO_PRACTICA*AVERAGE(E33,F33),2),"")</f>
        <v/>
      </c>
      <c r="R33" s="66">
        <f>IFERROR(ROUND(PESO_EXAMEN*N33+PESO_PRACTICA*AVERAGE(G33),2),"")</f>
        <v/>
      </c>
      <c r="S33" s="68">
        <f>IFERROR(ROUND(PESO_EXAMEN*N33+PESO_PRACTICA*AVERAGE(H33),2),"")</f>
        <v/>
      </c>
      <c r="T33" s="70">
        <f>IFERROR(ROUND(PESO_EXAMEN*N33+PESO_PRACTICA*AVERAGE(I33),2),"")</f>
        <v/>
      </c>
      <c r="U33" s="72">
        <f>IFERROR(ROUND(PESO_EXAMEN*O33+PESO_PRACTICA*AVERAGE(J33),2),"")</f>
        <v/>
      </c>
      <c r="V33" s="66">
        <f>IFERROR(ROUND(PESO_EXAMEN*O33+PESO_PRACTICA*AVERAGE(K33),2),"")</f>
        <v/>
      </c>
      <c r="W33" s="76">
        <f>IFERROR(ROUND(PESO_EXAMEN*O33+PESO_PRACTICA*AVERAGE(L33),2),"")</f>
        <v/>
      </c>
      <c r="X33" s="88">
        <f>IFERROR(ROUND(P33*0.130000+Q33*0.190000+R33*0.090000+S33*0.160000+T33*0.130000+U33*0.120000+V33*0.130000+W33*0.050000,2),"")</f>
        <v/>
      </c>
    </row>
    <row r="34" ht="18" customHeight="1">
      <c r="B34" s="207" t="n">
        <v>24</v>
      </c>
      <c r="C34" s="208">
        <f>IFERROR('ISO · Alumnos'!C33&amp;IF('ISO · Alumnos'!D33&lt;&gt;"",", "&amp;'ISO · Alumnos'!D33,""),"")</f>
        <v/>
      </c>
      <c r="D34" s="209"/>
      <c r="E34" s="209"/>
      <c r="F34" s="209"/>
      <c r="G34" s="209"/>
      <c r="H34" s="209"/>
      <c r="I34" s="209"/>
      <c r="J34" s="209"/>
      <c r="K34" s="209"/>
      <c r="L34" s="209"/>
      <c r="M34" s="210"/>
      <c r="N34" s="210"/>
      <c r="O34" s="210"/>
      <c r="P34" s="56">
        <f>IFERROR(ROUND(PESO_EXAMEN*M34+PESO_PRACTICA*AVERAGE(D34),2),"")</f>
        <v/>
      </c>
      <c r="Q34" s="62">
        <f>IFERROR(ROUND(PESO_EXAMEN*M34+PESO_PRACTICA*AVERAGE(E34,F34),2),"")</f>
        <v/>
      </c>
      <c r="R34" s="66">
        <f>IFERROR(ROUND(PESO_EXAMEN*N34+PESO_PRACTICA*AVERAGE(G34),2),"")</f>
        <v/>
      </c>
      <c r="S34" s="68">
        <f>IFERROR(ROUND(PESO_EXAMEN*N34+PESO_PRACTICA*AVERAGE(H34),2),"")</f>
        <v/>
      </c>
      <c r="T34" s="70">
        <f>IFERROR(ROUND(PESO_EXAMEN*N34+PESO_PRACTICA*AVERAGE(I34),2),"")</f>
        <v/>
      </c>
      <c r="U34" s="72">
        <f>IFERROR(ROUND(PESO_EXAMEN*O34+PESO_PRACTICA*AVERAGE(J34),2),"")</f>
        <v/>
      </c>
      <c r="V34" s="66">
        <f>IFERROR(ROUND(PESO_EXAMEN*O34+PESO_PRACTICA*AVERAGE(K34),2),"")</f>
        <v/>
      </c>
      <c r="W34" s="76">
        <f>IFERROR(ROUND(PESO_EXAMEN*O34+PESO_PRACTICA*AVERAGE(L34),2),"")</f>
        <v/>
      </c>
      <c r="X34" s="88">
        <f>IFERROR(ROUND(P34*0.130000+Q34*0.190000+R34*0.090000+S34*0.160000+T34*0.130000+U34*0.120000+V34*0.130000+W34*0.050000,2),"")</f>
        <v/>
      </c>
    </row>
    <row r="35" ht="18" customHeight="1">
      <c r="B35" s="207" t="n">
        <v>25</v>
      </c>
      <c r="C35" s="208">
        <f>IFERROR('ISO · Alumnos'!C34&amp;IF('ISO · Alumnos'!D34&lt;&gt;"",", "&amp;'ISO · Alumnos'!D34,""),"")</f>
        <v/>
      </c>
      <c r="D35" s="209"/>
      <c r="E35" s="209"/>
      <c r="F35" s="209"/>
      <c r="G35" s="209"/>
      <c r="H35" s="209"/>
      <c r="I35" s="209"/>
      <c r="J35" s="209"/>
      <c r="K35" s="209"/>
      <c r="L35" s="209"/>
      <c r="M35" s="210"/>
      <c r="N35" s="210"/>
      <c r="O35" s="210"/>
      <c r="P35" s="56">
        <f>IFERROR(ROUND(PESO_EXAMEN*M35+PESO_PRACTICA*AVERAGE(D35),2),"")</f>
        <v/>
      </c>
      <c r="Q35" s="62">
        <f>IFERROR(ROUND(PESO_EXAMEN*M35+PESO_PRACTICA*AVERAGE(E35,F35),2),"")</f>
        <v/>
      </c>
      <c r="R35" s="66">
        <f>IFERROR(ROUND(PESO_EXAMEN*N35+PESO_PRACTICA*AVERAGE(G35),2),"")</f>
        <v/>
      </c>
      <c r="S35" s="68">
        <f>IFERROR(ROUND(PESO_EXAMEN*N35+PESO_PRACTICA*AVERAGE(H35),2),"")</f>
        <v/>
      </c>
      <c r="T35" s="70">
        <f>IFERROR(ROUND(PESO_EXAMEN*N35+PESO_PRACTICA*AVERAGE(I35),2),"")</f>
        <v/>
      </c>
      <c r="U35" s="72">
        <f>IFERROR(ROUND(PESO_EXAMEN*O35+PESO_PRACTICA*AVERAGE(J35),2),"")</f>
        <v/>
      </c>
      <c r="V35" s="66">
        <f>IFERROR(ROUND(PESO_EXAMEN*O35+PESO_PRACTICA*AVERAGE(K35),2),"")</f>
        <v/>
      </c>
      <c r="W35" s="76">
        <f>IFERROR(ROUND(PESO_EXAMEN*O35+PESO_PRACTICA*AVERAGE(L35),2),"")</f>
        <v/>
      </c>
      <c r="X35" s="88">
        <f>IFERROR(ROUND(P35*0.130000+Q35*0.190000+R35*0.090000+S35*0.160000+T35*0.130000+U35*0.120000+V35*0.130000+W35*0.050000,2),"")</f>
        <v/>
      </c>
    </row>
    <row r="36" ht="18" customHeight="1">
      <c r="B36" s="207" t="n">
        <v>26</v>
      </c>
      <c r="C36" s="208">
        <f>IFERROR('ISO · Alumnos'!C35&amp;IF('ISO · Alumnos'!D35&lt;&gt;"",", "&amp;'ISO · Alumnos'!D35,""),"")</f>
        <v/>
      </c>
      <c r="D36" s="209"/>
      <c r="E36" s="209"/>
      <c r="F36" s="209"/>
      <c r="G36" s="209"/>
      <c r="H36" s="209"/>
      <c r="I36" s="209"/>
      <c r="J36" s="209"/>
      <c r="K36" s="209"/>
      <c r="L36" s="209"/>
      <c r="M36" s="210"/>
      <c r="N36" s="210"/>
      <c r="O36" s="210"/>
      <c r="P36" s="56">
        <f>IFERROR(ROUND(PESO_EXAMEN*M36+PESO_PRACTICA*AVERAGE(D36),2),"")</f>
        <v/>
      </c>
      <c r="Q36" s="62">
        <f>IFERROR(ROUND(PESO_EXAMEN*M36+PESO_PRACTICA*AVERAGE(E36,F36),2),"")</f>
        <v/>
      </c>
      <c r="R36" s="66">
        <f>IFERROR(ROUND(PESO_EXAMEN*N36+PESO_PRACTICA*AVERAGE(G36),2),"")</f>
        <v/>
      </c>
      <c r="S36" s="68">
        <f>IFERROR(ROUND(PESO_EXAMEN*N36+PESO_PRACTICA*AVERAGE(H36),2),"")</f>
        <v/>
      </c>
      <c r="T36" s="70">
        <f>IFERROR(ROUND(PESO_EXAMEN*N36+PESO_PRACTICA*AVERAGE(I36),2),"")</f>
        <v/>
      </c>
      <c r="U36" s="72">
        <f>IFERROR(ROUND(PESO_EXAMEN*O36+PESO_PRACTICA*AVERAGE(J36),2),"")</f>
        <v/>
      </c>
      <c r="V36" s="66">
        <f>IFERROR(ROUND(PESO_EXAMEN*O36+PESO_PRACTICA*AVERAGE(K36),2),"")</f>
        <v/>
      </c>
      <c r="W36" s="76">
        <f>IFERROR(ROUND(PESO_EXAMEN*O36+PESO_PRACTICA*AVERAGE(L36),2),"")</f>
        <v/>
      </c>
      <c r="X36" s="88">
        <f>IFERROR(ROUND(P36*0.130000+Q36*0.190000+R36*0.090000+S36*0.160000+T36*0.130000+U36*0.120000+V36*0.130000+W36*0.050000,2),"")</f>
        <v/>
      </c>
    </row>
    <row r="37" ht="18" customHeight="1">
      <c r="B37" s="207" t="n">
        <v>27</v>
      </c>
      <c r="C37" s="208">
        <f>IFERROR('ISO · Alumnos'!C36&amp;IF('ISO · Alumnos'!D36&lt;&gt;"",", "&amp;'ISO · Alumnos'!D36,""),"")</f>
        <v/>
      </c>
      <c r="D37" s="209"/>
      <c r="E37" s="209"/>
      <c r="F37" s="209"/>
      <c r="G37" s="209"/>
      <c r="H37" s="209"/>
      <c r="I37" s="209"/>
      <c r="J37" s="209"/>
      <c r="K37" s="209"/>
      <c r="L37" s="209"/>
      <c r="M37" s="210"/>
      <c r="N37" s="210"/>
      <c r="O37" s="210"/>
      <c r="P37" s="56">
        <f>IFERROR(ROUND(PESO_EXAMEN*M37+PESO_PRACTICA*AVERAGE(D37),2),"")</f>
        <v/>
      </c>
      <c r="Q37" s="62">
        <f>IFERROR(ROUND(PESO_EXAMEN*M37+PESO_PRACTICA*AVERAGE(E37,F37),2),"")</f>
        <v/>
      </c>
      <c r="R37" s="66">
        <f>IFERROR(ROUND(PESO_EXAMEN*N37+PESO_PRACTICA*AVERAGE(G37),2),"")</f>
        <v/>
      </c>
      <c r="S37" s="68">
        <f>IFERROR(ROUND(PESO_EXAMEN*N37+PESO_PRACTICA*AVERAGE(H37),2),"")</f>
        <v/>
      </c>
      <c r="T37" s="70">
        <f>IFERROR(ROUND(PESO_EXAMEN*N37+PESO_PRACTICA*AVERAGE(I37),2),"")</f>
        <v/>
      </c>
      <c r="U37" s="72">
        <f>IFERROR(ROUND(PESO_EXAMEN*O37+PESO_PRACTICA*AVERAGE(J37),2),"")</f>
        <v/>
      </c>
      <c r="V37" s="66">
        <f>IFERROR(ROUND(PESO_EXAMEN*O37+PESO_PRACTICA*AVERAGE(K37),2),"")</f>
        <v/>
      </c>
      <c r="W37" s="76">
        <f>IFERROR(ROUND(PESO_EXAMEN*O37+PESO_PRACTICA*AVERAGE(L37),2),"")</f>
        <v/>
      </c>
      <c r="X37" s="88">
        <f>IFERROR(ROUND(P37*0.130000+Q37*0.190000+R37*0.090000+S37*0.160000+T37*0.130000+U37*0.120000+V37*0.130000+W37*0.050000,2),"")</f>
        <v/>
      </c>
    </row>
    <row r="38" ht="18" customHeight="1">
      <c r="B38" s="207" t="n">
        <v>28</v>
      </c>
      <c r="C38" s="208">
        <f>IFERROR('ISO · Alumnos'!C37&amp;IF('ISO · Alumnos'!D37&lt;&gt;"",", "&amp;'ISO · Alumnos'!D37,""),"")</f>
        <v/>
      </c>
      <c r="D38" s="209"/>
      <c r="E38" s="209"/>
      <c r="F38" s="209"/>
      <c r="G38" s="209"/>
      <c r="H38" s="209"/>
      <c r="I38" s="209"/>
      <c r="J38" s="209"/>
      <c r="K38" s="209"/>
      <c r="L38" s="209"/>
      <c r="M38" s="210"/>
      <c r="N38" s="210"/>
      <c r="O38" s="210"/>
      <c r="P38" s="56">
        <f>IFERROR(ROUND(PESO_EXAMEN*M38+PESO_PRACTICA*AVERAGE(D38),2),"")</f>
        <v/>
      </c>
      <c r="Q38" s="62">
        <f>IFERROR(ROUND(PESO_EXAMEN*M38+PESO_PRACTICA*AVERAGE(E38,F38),2),"")</f>
        <v/>
      </c>
      <c r="R38" s="66">
        <f>IFERROR(ROUND(PESO_EXAMEN*N38+PESO_PRACTICA*AVERAGE(G38),2),"")</f>
        <v/>
      </c>
      <c r="S38" s="68">
        <f>IFERROR(ROUND(PESO_EXAMEN*N38+PESO_PRACTICA*AVERAGE(H38),2),"")</f>
        <v/>
      </c>
      <c r="T38" s="70">
        <f>IFERROR(ROUND(PESO_EXAMEN*N38+PESO_PRACTICA*AVERAGE(I38),2),"")</f>
        <v/>
      </c>
      <c r="U38" s="72">
        <f>IFERROR(ROUND(PESO_EXAMEN*O38+PESO_PRACTICA*AVERAGE(J38),2),"")</f>
        <v/>
      </c>
      <c r="V38" s="66">
        <f>IFERROR(ROUND(PESO_EXAMEN*O38+PESO_PRACTICA*AVERAGE(K38),2),"")</f>
        <v/>
      </c>
      <c r="W38" s="76">
        <f>IFERROR(ROUND(PESO_EXAMEN*O38+PESO_PRACTICA*AVERAGE(L38),2),"")</f>
        <v/>
      </c>
      <c r="X38" s="88">
        <f>IFERROR(ROUND(P38*0.130000+Q38*0.190000+R38*0.090000+S38*0.160000+T38*0.130000+U38*0.120000+V38*0.130000+W38*0.050000,2),"")</f>
        <v/>
      </c>
    </row>
    <row r="39" ht="18" customHeight="1">
      <c r="B39" s="207" t="n">
        <v>29</v>
      </c>
      <c r="C39" s="208">
        <f>IFERROR('ISO · Alumnos'!C38&amp;IF('ISO · Alumnos'!D38&lt;&gt;"",", "&amp;'ISO · Alumnos'!D38,""),"")</f>
        <v/>
      </c>
      <c r="D39" s="209"/>
      <c r="E39" s="209"/>
      <c r="F39" s="209"/>
      <c r="G39" s="209"/>
      <c r="H39" s="209"/>
      <c r="I39" s="209"/>
      <c r="J39" s="209"/>
      <c r="K39" s="209"/>
      <c r="L39" s="209"/>
      <c r="M39" s="210"/>
      <c r="N39" s="210"/>
      <c r="O39" s="210"/>
      <c r="P39" s="56">
        <f>IFERROR(ROUND(PESO_EXAMEN*M39+PESO_PRACTICA*AVERAGE(D39),2),"")</f>
        <v/>
      </c>
      <c r="Q39" s="62">
        <f>IFERROR(ROUND(PESO_EXAMEN*M39+PESO_PRACTICA*AVERAGE(E39,F39),2),"")</f>
        <v/>
      </c>
      <c r="R39" s="66">
        <f>IFERROR(ROUND(PESO_EXAMEN*N39+PESO_PRACTICA*AVERAGE(G39),2),"")</f>
        <v/>
      </c>
      <c r="S39" s="68">
        <f>IFERROR(ROUND(PESO_EXAMEN*N39+PESO_PRACTICA*AVERAGE(H39),2),"")</f>
        <v/>
      </c>
      <c r="T39" s="70">
        <f>IFERROR(ROUND(PESO_EXAMEN*N39+PESO_PRACTICA*AVERAGE(I39),2),"")</f>
        <v/>
      </c>
      <c r="U39" s="72">
        <f>IFERROR(ROUND(PESO_EXAMEN*O39+PESO_PRACTICA*AVERAGE(J39),2),"")</f>
        <v/>
      </c>
      <c r="V39" s="66">
        <f>IFERROR(ROUND(PESO_EXAMEN*O39+PESO_PRACTICA*AVERAGE(K39),2),"")</f>
        <v/>
      </c>
      <c r="W39" s="76">
        <f>IFERROR(ROUND(PESO_EXAMEN*O39+PESO_PRACTICA*AVERAGE(L39),2),"")</f>
        <v/>
      </c>
      <c r="X39" s="88">
        <f>IFERROR(ROUND(P39*0.130000+Q39*0.190000+R39*0.090000+S39*0.160000+T39*0.130000+U39*0.120000+V39*0.130000+W39*0.050000,2),"")</f>
        <v/>
      </c>
    </row>
    <row r="40" ht="18" customHeight="1">
      <c r="B40" s="207" t="n">
        <v>30</v>
      </c>
      <c r="C40" s="208">
        <f>IFERROR('ISO · Alumnos'!C39&amp;IF('ISO · Alumnos'!D39&lt;&gt;"",", "&amp;'ISO · Alumnos'!D39,""),"")</f>
        <v/>
      </c>
      <c r="D40" s="209"/>
      <c r="E40" s="209"/>
      <c r="F40" s="209"/>
      <c r="G40" s="209"/>
      <c r="H40" s="209"/>
      <c r="I40" s="209"/>
      <c r="J40" s="209"/>
      <c r="K40" s="209"/>
      <c r="L40" s="209"/>
      <c r="M40" s="210"/>
      <c r="N40" s="210"/>
      <c r="O40" s="210"/>
      <c r="P40" s="56">
        <f>IFERROR(ROUND(PESO_EXAMEN*M40+PESO_PRACTICA*AVERAGE(D40),2),"")</f>
        <v/>
      </c>
      <c r="Q40" s="62">
        <f>IFERROR(ROUND(PESO_EXAMEN*M40+PESO_PRACTICA*AVERAGE(E40,F40),2),"")</f>
        <v/>
      </c>
      <c r="R40" s="66">
        <f>IFERROR(ROUND(PESO_EXAMEN*N40+PESO_PRACTICA*AVERAGE(G40),2),"")</f>
        <v/>
      </c>
      <c r="S40" s="68">
        <f>IFERROR(ROUND(PESO_EXAMEN*N40+PESO_PRACTICA*AVERAGE(H40),2),"")</f>
        <v/>
      </c>
      <c r="T40" s="70">
        <f>IFERROR(ROUND(PESO_EXAMEN*N40+PESO_PRACTICA*AVERAGE(I40),2),"")</f>
        <v/>
      </c>
      <c r="U40" s="72">
        <f>IFERROR(ROUND(PESO_EXAMEN*O40+PESO_PRACTICA*AVERAGE(J40),2),"")</f>
        <v/>
      </c>
      <c r="V40" s="66">
        <f>IFERROR(ROUND(PESO_EXAMEN*O40+PESO_PRACTICA*AVERAGE(K40),2),"")</f>
        <v/>
      </c>
      <c r="W40" s="76">
        <f>IFERROR(ROUND(PESO_EXAMEN*O40+PESO_PRACTICA*AVERAGE(L40),2),"")</f>
        <v/>
      </c>
      <c r="X40" s="88">
        <f>IFERROR(ROUND(P40*0.130000+Q40*0.190000+R40*0.090000+S40*0.160000+T40*0.130000+U40*0.120000+V40*0.130000+W40*0.050000,2),"")</f>
        <v/>
      </c>
    </row>
  </sheetData>
  <mergeCells count="6">
    <mergeCell ref="X9"/>
    <mergeCell ref="P9:W9"/>
    <mergeCell ref="M9:O9"/>
    <mergeCell ref="D9:L9"/>
    <mergeCell ref="B2:K2"/>
    <mergeCell ref="B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📈 Resumen y Dashboard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Vista general del grupo · Estadísticas y KPIs · ISO 1º ASIR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6">
        <f>HYPERLINK("#ISO · Actividades!A1","📝 Actividades")</f>
        <v/>
      </c>
      <c r="F5" s="6">
        <f>HYPERLINK("#ISO · Reg. Notas!A1","📊 Reg. Notas")</f>
        <v/>
      </c>
      <c r="G5" s="5" t="inlineStr">
        <is>
          <t>📈 Resumen</t>
        </is>
      </c>
      <c r="H5" s="6">
        <f>HYPERLINK("#ISO · Evaluación 1!A1","Eval 1")</f>
        <v/>
      </c>
      <c r="I5" s="6">
        <f>HYPERLINK("#ISO · Evaluación 2!A1","Eval 2")</f>
        <v/>
      </c>
      <c r="J5" s="6">
        <f>HYPERLINK("#ISO · Evaluación 3!A1","Eval 3")</f>
        <v/>
      </c>
      <c r="K5" s="6">
        <f>HYPERLINK("#ISO · 1ªORD!A1","1ª ORD")</f>
        <v/>
      </c>
      <c r="L5" s="6">
        <f>HYPERLINK("#ISO · 2ªORD!A1","2ª ORD")</f>
        <v/>
      </c>
      <c r="M5" s="6">
        <f>HYPERLINK("#ISO · Rúbricas!A1","🎯 Rúbricas")</f>
        <v/>
      </c>
      <c r="N5" s="6">
        <f>HYPERLINK("#ISO · Informe Grupo!A1","📊 Inf.Grupo")</f>
        <v/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>
      <c r="B8" s="211" t="inlineStr">
        <is>
          <t>🚧  Este panel se completará con datos de Reg. Notas en Sprint 9 (Dashboard).</t>
        </is>
      </c>
    </row>
    <row r="10" ht="24" customHeight="1">
      <c r="B10" s="212" t="inlineStr">
        <is>
          <t>📊 Alumnos registrados</t>
        </is>
      </c>
      <c r="C10" s="213">
        <f>COUNTA({_sr('Alumnos')}!C9:C38)</f>
        <v/>
      </c>
    </row>
    <row r="11" ht="24" customHeight="1">
      <c r="B11" s="212" t="inlineStr">
        <is>
          <t>✅ Aprobados (≥5)</t>
        </is>
      </c>
      <c r="C11" s="213" t="inlineStr">
        <is>
          <t>—</t>
        </is>
      </c>
    </row>
    <row r="12" ht="24" customHeight="1">
      <c r="B12" s="212" t="inlineStr">
        <is>
          <t>❌ Suspensos (&lt;5)</t>
        </is>
      </c>
      <c r="C12" s="213" t="inlineStr">
        <is>
          <t>—</t>
        </is>
      </c>
    </row>
    <row r="13" ht="24" customHeight="1">
      <c r="B13" s="212" t="inlineStr">
        <is>
          <t>📈 Media del grupo</t>
        </is>
      </c>
      <c r="C13" s="213" t="inlineStr">
        <is>
          <t>—</t>
        </is>
      </c>
    </row>
    <row r="14" ht="24" customHeight="1">
      <c r="B14" s="212" t="inlineStr">
        <is>
          <t>⚠️ En riesgo (&lt;4)</t>
        </is>
      </c>
      <c r="C14" s="213" t="inlineStr">
        <is>
          <t>—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📝 Evaluación 1  ·  UT1, UT2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RAs evaluados: RA1 40.6%  ·  RA2 59.4%  (pesos normalizados al 100% de esta evaluación)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6">
        <f>HYPERLINK("#ISO · Actividades!A1","📝 Actividades")</f>
        <v/>
      </c>
      <c r="F5" s="6">
        <f>HYPERLINK("#ISO · Reg. Notas!A1","📊 Reg. Notas")</f>
        <v/>
      </c>
      <c r="G5" s="6">
        <f>HYPERLINK("#ISO · Resumen!A1","📈 Resumen")</f>
        <v/>
      </c>
      <c r="H5" s="5" t="inlineStr">
        <is>
          <t>Eval 1</t>
        </is>
      </c>
      <c r="I5" s="6">
        <f>HYPERLINK("#ISO · Evaluación 2!A1","Eval 2")</f>
        <v/>
      </c>
      <c r="J5" s="6">
        <f>HYPERLINK("#ISO · Evaluación 3!A1","Eval 3")</f>
        <v/>
      </c>
      <c r="K5" s="6">
        <f>HYPERLINK("#ISO · 1ªORD!A1","1ª ORD")</f>
        <v/>
      </c>
      <c r="L5" s="6">
        <f>HYPERLINK("#ISO · 2ªORD!A1","2ª ORD")</f>
        <v/>
      </c>
      <c r="M5" s="6">
        <f>HYPERLINK("#ISO · Rúbricas!A1","🎯 Rúbricas")</f>
        <v/>
      </c>
      <c r="N5" s="6">
        <f>HYPERLINK("#ISO · Informe Grupo!A1","📊 Inf.Grupo")</f>
        <v/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F8" s="214" t="inlineStr">
        <is>
          <t>RA1: 13% global → 40.6% en Eval 1</t>
        </is>
      </c>
      <c r="G8" s="215" t="inlineStr">
        <is>
          <t>RA2: 19% global → 59.4% en Eval 1</t>
        </is>
      </c>
    </row>
    <row r="10" ht="36" customHeight="1">
      <c r="B10" s="188" t="inlineStr">
        <is>
          <t>Nº</t>
        </is>
      </c>
      <c r="C10" s="188" t="inlineStr">
        <is>
          <t>Apellidos y Nombre</t>
        </is>
      </c>
      <c r="D10" s="216" t="inlineStr">
        <is>
          <t>UT1
(30h)</t>
        </is>
      </c>
      <c r="E10" s="216" t="inlineStr">
        <is>
          <t>UT2
(25h)</t>
        </is>
      </c>
      <c r="F10" s="216" t="inlineStr">
        <is>
          <t>RA1
(40.6%)</t>
        </is>
      </c>
      <c r="G10" s="103" t="inlineStr">
        <is>
          <t>RA2
(59.4%)</t>
        </is>
      </c>
      <c r="H10" s="188" t="inlineStr">
        <is>
          <t>NOTA EVAL</t>
        </is>
      </c>
      <c r="I10" s="188" t="inlineStr">
        <is>
          <t>Resultado</t>
        </is>
      </c>
    </row>
    <row r="11" ht="20" customHeight="1">
      <c r="B11" s="207" t="n">
        <v>1</v>
      </c>
      <c r="C11" s="208">
        <f>IFERROR('ISO · Alumnos'!C10&amp;IF('ISO · Alumnos'!D10&lt;&gt;"",", "&amp;'ISO · Alumnos'!D10,""),"")</f>
        <v/>
      </c>
      <c r="D11" s="217"/>
      <c r="E11" s="217"/>
      <c r="F11" s="218">
        <f>IFERROR('ISO · Reg. Notas'!P11,"")</f>
        <v/>
      </c>
      <c r="G11" s="219">
        <f>IFERROR('ISO · Reg. Notas'!Q11,"")</f>
        <v/>
      </c>
      <c r="H11" s="220">
        <f>IFERROR(ROUND(F11*0.406250+G11*0.593750,2),"")</f>
        <v/>
      </c>
      <c r="I11" s="221">
        <f>IF(H11="","",IF(H11&gt;=5,"APTO","NO APTO"))</f>
        <v/>
      </c>
    </row>
    <row r="12" ht="20" customHeight="1">
      <c r="B12" s="207" t="n">
        <v>2</v>
      </c>
      <c r="C12" s="208">
        <f>IFERROR('ISO · Alumnos'!C11&amp;IF('ISO · Alumnos'!D11&lt;&gt;"",", "&amp;'ISO · Alumnos'!D11,""),"")</f>
        <v/>
      </c>
      <c r="D12" s="217"/>
      <c r="E12" s="217"/>
      <c r="F12" s="218">
        <f>IFERROR('ISO · Reg. Notas'!P12,"")</f>
        <v/>
      </c>
      <c r="G12" s="219">
        <f>IFERROR('ISO · Reg. Notas'!Q12,"")</f>
        <v/>
      </c>
      <c r="H12" s="220">
        <f>IFERROR(ROUND(F12*0.406250+G12*0.593750,2),"")</f>
        <v/>
      </c>
      <c r="I12" s="222">
        <f>IF(H12="","",IF(H12&gt;=5,"APTO","NO APTO"))</f>
        <v/>
      </c>
    </row>
    <row r="13" ht="20" customHeight="1">
      <c r="B13" s="207" t="n">
        <v>3</v>
      </c>
      <c r="C13" s="208">
        <f>IFERROR('ISO · Alumnos'!C12&amp;IF('ISO · Alumnos'!D12&lt;&gt;"",", "&amp;'ISO · Alumnos'!D12,""),"")</f>
        <v/>
      </c>
      <c r="D13" s="217"/>
      <c r="E13" s="217"/>
      <c r="F13" s="218">
        <f>IFERROR('ISO · Reg. Notas'!P13,"")</f>
        <v/>
      </c>
      <c r="G13" s="219">
        <f>IFERROR('ISO · Reg. Notas'!Q13,"")</f>
        <v/>
      </c>
      <c r="H13" s="220">
        <f>IFERROR(ROUND(F13*0.406250+G13*0.593750,2),"")</f>
        <v/>
      </c>
      <c r="I13" s="221">
        <f>IF(H13="","",IF(H13&gt;=5,"APTO","NO APTO"))</f>
        <v/>
      </c>
    </row>
    <row r="14" ht="20" customHeight="1">
      <c r="B14" s="207" t="n">
        <v>4</v>
      </c>
      <c r="C14" s="208">
        <f>IFERROR('ISO · Alumnos'!C13&amp;IF('ISO · Alumnos'!D13&lt;&gt;"",", "&amp;'ISO · Alumnos'!D13,""),"")</f>
        <v/>
      </c>
      <c r="D14" s="217"/>
      <c r="E14" s="217"/>
      <c r="F14" s="218">
        <f>IFERROR('ISO · Reg. Notas'!P14,"")</f>
        <v/>
      </c>
      <c r="G14" s="219">
        <f>IFERROR('ISO · Reg. Notas'!Q14,"")</f>
        <v/>
      </c>
      <c r="H14" s="220">
        <f>IFERROR(ROUND(F14*0.406250+G14*0.593750,2),"")</f>
        <v/>
      </c>
      <c r="I14" s="222">
        <f>IF(H14="","",IF(H14&gt;=5,"APTO","NO APTO"))</f>
        <v/>
      </c>
    </row>
    <row r="15" ht="20" customHeight="1">
      <c r="B15" s="207" t="n">
        <v>5</v>
      </c>
      <c r="C15" s="208">
        <f>IFERROR('ISO · Alumnos'!C14&amp;IF('ISO · Alumnos'!D14&lt;&gt;"",", "&amp;'ISO · Alumnos'!D14,""),"")</f>
        <v/>
      </c>
      <c r="D15" s="217"/>
      <c r="E15" s="217"/>
      <c r="F15" s="218">
        <f>IFERROR('ISO · Reg. Notas'!P15,"")</f>
        <v/>
      </c>
      <c r="G15" s="219">
        <f>IFERROR('ISO · Reg. Notas'!Q15,"")</f>
        <v/>
      </c>
      <c r="H15" s="220">
        <f>IFERROR(ROUND(F15*0.406250+G15*0.593750,2),"")</f>
        <v/>
      </c>
      <c r="I15" s="221">
        <f>IF(H15="","",IF(H15&gt;=5,"APTO","NO APTO"))</f>
        <v/>
      </c>
    </row>
    <row r="16" ht="20" customHeight="1">
      <c r="B16" s="207" t="n">
        <v>6</v>
      </c>
      <c r="C16" s="208">
        <f>IFERROR('ISO · Alumnos'!C15&amp;IF('ISO · Alumnos'!D15&lt;&gt;"",", "&amp;'ISO · Alumnos'!D15,""),"")</f>
        <v/>
      </c>
      <c r="D16" s="217"/>
      <c r="E16" s="217"/>
      <c r="F16" s="218">
        <f>IFERROR('ISO · Reg. Notas'!P16,"")</f>
        <v/>
      </c>
      <c r="G16" s="219">
        <f>IFERROR('ISO · Reg. Notas'!Q16,"")</f>
        <v/>
      </c>
      <c r="H16" s="220">
        <f>IFERROR(ROUND(F16*0.406250+G16*0.593750,2),"")</f>
        <v/>
      </c>
      <c r="I16" s="222">
        <f>IF(H16="","",IF(H16&gt;=5,"APTO","NO APTO"))</f>
        <v/>
      </c>
    </row>
    <row r="17" ht="20" customHeight="1">
      <c r="B17" s="207" t="n">
        <v>7</v>
      </c>
      <c r="C17" s="208">
        <f>IFERROR('ISO · Alumnos'!C16&amp;IF('ISO · Alumnos'!D16&lt;&gt;"",", "&amp;'ISO · Alumnos'!D16,""),"")</f>
        <v/>
      </c>
      <c r="D17" s="217"/>
      <c r="E17" s="217"/>
      <c r="F17" s="218">
        <f>IFERROR('ISO · Reg. Notas'!P17,"")</f>
        <v/>
      </c>
      <c r="G17" s="219">
        <f>IFERROR('ISO · Reg. Notas'!Q17,"")</f>
        <v/>
      </c>
      <c r="H17" s="220">
        <f>IFERROR(ROUND(F17*0.406250+G17*0.593750,2),"")</f>
        <v/>
      </c>
      <c r="I17" s="221">
        <f>IF(H17="","",IF(H17&gt;=5,"APTO","NO APTO"))</f>
        <v/>
      </c>
    </row>
    <row r="18" ht="20" customHeight="1">
      <c r="B18" s="207" t="n">
        <v>8</v>
      </c>
      <c r="C18" s="208">
        <f>IFERROR('ISO · Alumnos'!C17&amp;IF('ISO · Alumnos'!D17&lt;&gt;"",", "&amp;'ISO · Alumnos'!D17,""),"")</f>
        <v/>
      </c>
      <c r="D18" s="217"/>
      <c r="E18" s="217"/>
      <c r="F18" s="218">
        <f>IFERROR('ISO · Reg. Notas'!P18,"")</f>
        <v/>
      </c>
      <c r="G18" s="219">
        <f>IFERROR('ISO · Reg. Notas'!Q18,"")</f>
        <v/>
      </c>
      <c r="H18" s="220">
        <f>IFERROR(ROUND(F18*0.406250+G18*0.593750,2),"")</f>
        <v/>
      </c>
      <c r="I18" s="222">
        <f>IF(H18="","",IF(H18&gt;=5,"APTO","NO APTO"))</f>
        <v/>
      </c>
    </row>
    <row r="19" ht="20" customHeight="1">
      <c r="B19" s="207" t="n">
        <v>9</v>
      </c>
      <c r="C19" s="208">
        <f>IFERROR('ISO · Alumnos'!C18&amp;IF('ISO · Alumnos'!D18&lt;&gt;"",", "&amp;'ISO · Alumnos'!D18,""),"")</f>
        <v/>
      </c>
      <c r="D19" s="217"/>
      <c r="E19" s="217"/>
      <c r="F19" s="218">
        <f>IFERROR('ISO · Reg. Notas'!P19,"")</f>
        <v/>
      </c>
      <c r="G19" s="219">
        <f>IFERROR('ISO · Reg. Notas'!Q19,"")</f>
        <v/>
      </c>
      <c r="H19" s="220">
        <f>IFERROR(ROUND(F19*0.406250+G19*0.593750,2),"")</f>
        <v/>
      </c>
      <c r="I19" s="221">
        <f>IF(H19="","",IF(H19&gt;=5,"APTO","NO APTO"))</f>
        <v/>
      </c>
    </row>
    <row r="20" ht="20" customHeight="1">
      <c r="B20" s="207" t="n">
        <v>10</v>
      </c>
      <c r="C20" s="208">
        <f>IFERROR('ISO · Alumnos'!C19&amp;IF('ISO · Alumnos'!D19&lt;&gt;"",", "&amp;'ISO · Alumnos'!D19,""),"")</f>
        <v/>
      </c>
      <c r="D20" s="217"/>
      <c r="E20" s="217"/>
      <c r="F20" s="218">
        <f>IFERROR('ISO · Reg. Notas'!P20,"")</f>
        <v/>
      </c>
      <c r="G20" s="219">
        <f>IFERROR('ISO · Reg. Notas'!Q20,"")</f>
        <v/>
      </c>
      <c r="H20" s="220">
        <f>IFERROR(ROUND(F20*0.406250+G20*0.593750,2),"")</f>
        <v/>
      </c>
      <c r="I20" s="222">
        <f>IF(H20="","",IF(H20&gt;=5,"APTO","NO APTO"))</f>
        <v/>
      </c>
    </row>
    <row r="21" ht="20" customHeight="1">
      <c r="B21" s="207" t="n">
        <v>11</v>
      </c>
      <c r="C21" s="208">
        <f>IFERROR('ISO · Alumnos'!C20&amp;IF('ISO · Alumnos'!D20&lt;&gt;"",", "&amp;'ISO · Alumnos'!D20,""),"")</f>
        <v/>
      </c>
      <c r="D21" s="217"/>
      <c r="E21" s="217"/>
      <c r="F21" s="218">
        <f>IFERROR('ISO · Reg. Notas'!P21,"")</f>
        <v/>
      </c>
      <c r="G21" s="219">
        <f>IFERROR('ISO · Reg. Notas'!Q21,"")</f>
        <v/>
      </c>
      <c r="H21" s="220">
        <f>IFERROR(ROUND(F21*0.406250+G21*0.593750,2),"")</f>
        <v/>
      </c>
      <c r="I21" s="221">
        <f>IF(H21="","",IF(H21&gt;=5,"APTO","NO APTO"))</f>
        <v/>
      </c>
    </row>
    <row r="22" ht="20" customHeight="1">
      <c r="B22" s="207" t="n">
        <v>12</v>
      </c>
      <c r="C22" s="208">
        <f>IFERROR('ISO · Alumnos'!C21&amp;IF('ISO · Alumnos'!D21&lt;&gt;"",", "&amp;'ISO · Alumnos'!D21,""),"")</f>
        <v/>
      </c>
      <c r="D22" s="217"/>
      <c r="E22" s="217"/>
      <c r="F22" s="218">
        <f>IFERROR('ISO · Reg. Notas'!P22,"")</f>
        <v/>
      </c>
      <c r="G22" s="219">
        <f>IFERROR('ISO · Reg. Notas'!Q22,"")</f>
        <v/>
      </c>
      <c r="H22" s="220">
        <f>IFERROR(ROUND(F22*0.406250+G22*0.593750,2),"")</f>
        <v/>
      </c>
      <c r="I22" s="222">
        <f>IF(H22="","",IF(H22&gt;=5,"APTO","NO APTO"))</f>
        <v/>
      </c>
    </row>
    <row r="23" ht="20" customHeight="1">
      <c r="B23" s="207" t="n">
        <v>13</v>
      </c>
      <c r="C23" s="208">
        <f>IFERROR('ISO · Alumnos'!C22&amp;IF('ISO · Alumnos'!D22&lt;&gt;"",", "&amp;'ISO · Alumnos'!D22,""),"")</f>
        <v/>
      </c>
      <c r="D23" s="217"/>
      <c r="E23" s="217"/>
      <c r="F23" s="218">
        <f>IFERROR('ISO · Reg. Notas'!P23,"")</f>
        <v/>
      </c>
      <c r="G23" s="219">
        <f>IFERROR('ISO · Reg. Notas'!Q23,"")</f>
        <v/>
      </c>
      <c r="H23" s="220">
        <f>IFERROR(ROUND(F23*0.406250+G23*0.593750,2),"")</f>
        <v/>
      </c>
      <c r="I23" s="221">
        <f>IF(H23="","",IF(H23&gt;=5,"APTO","NO APTO"))</f>
        <v/>
      </c>
    </row>
    <row r="24" ht="20" customHeight="1">
      <c r="B24" s="207" t="n">
        <v>14</v>
      </c>
      <c r="C24" s="208">
        <f>IFERROR('ISO · Alumnos'!C23&amp;IF('ISO · Alumnos'!D23&lt;&gt;"",", "&amp;'ISO · Alumnos'!D23,""),"")</f>
        <v/>
      </c>
      <c r="D24" s="217"/>
      <c r="E24" s="217"/>
      <c r="F24" s="218">
        <f>IFERROR('ISO · Reg. Notas'!P24,"")</f>
        <v/>
      </c>
      <c r="G24" s="219">
        <f>IFERROR('ISO · Reg. Notas'!Q24,"")</f>
        <v/>
      </c>
      <c r="H24" s="220">
        <f>IFERROR(ROUND(F24*0.406250+G24*0.593750,2),"")</f>
        <v/>
      </c>
      <c r="I24" s="222">
        <f>IF(H24="","",IF(H24&gt;=5,"APTO","NO APTO"))</f>
        <v/>
      </c>
    </row>
    <row r="25" ht="20" customHeight="1">
      <c r="B25" s="207" t="n">
        <v>15</v>
      </c>
      <c r="C25" s="208">
        <f>IFERROR('ISO · Alumnos'!C24&amp;IF('ISO · Alumnos'!D24&lt;&gt;"",", "&amp;'ISO · Alumnos'!D24,""),"")</f>
        <v/>
      </c>
      <c r="D25" s="217"/>
      <c r="E25" s="217"/>
      <c r="F25" s="218">
        <f>IFERROR('ISO · Reg. Notas'!P25,"")</f>
        <v/>
      </c>
      <c r="G25" s="219">
        <f>IFERROR('ISO · Reg. Notas'!Q25,"")</f>
        <v/>
      </c>
      <c r="H25" s="220">
        <f>IFERROR(ROUND(F25*0.406250+G25*0.593750,2),"")</f>
        <v/>
      </c>
      <c r="I25" s="221">
        <f>IF(H25="","",IF(H25&gt;=5,"APTO","NO APTO"))</f>
        <v/>
      </c>
    </row>
    <row r="26" ht="20" customHeight="1">
      <c r="B26" s="207" t="n">
        <v>16</v>
      </c>
      <c r="C26" s="208">
        <f>IFERROR('ISO · Alumnos'!C25&amp;IF('ISO · Alumnos'!D25&lt;&gt;"",", "&amp;'ISO · Alumnos'!D25,""),"")</f>
        <v/>
      </c>
      <c r="D26" s="217"/>
      <c r="E26" s="217"/>
      <c r="F26" s="218">
        <f>IFERROR('ISO · Reg. Notas'!P26,"")</f>
        <v/>
      </c>
      <c r="G26" s="219">
        <f>IFERROR('ISO · Reg. Notas'!Q26,"")</f>
        <v/>
      </c>
      <c r="H26" s="220">
        <f>IFERROR(ROUND(F26*0.406250+G26*0.593750,2),"")</f>
        <v/>
      </c>
      <c r="I26" s="222">
        <f>IF(H26="","",IF(H26&gt;=5,"APTO","NO APTO"))</f>
        <v/>
      </c>
    </row>
    <row r="27" ht="20" customHeight="1">
      <c r="B27" s="207" t="n">
        <v>17</v>
      </c>
      <c r="C27" s="208">
        <f>IFERROR('ISO · Alumnos'!C26&amp;IF('ISO · Alumnos'!D26&lt;&gt;"",", "&amp;'ISO · Alumnos'!D26,""),"")</f>
        <v/>
      </c>
      <c r="D27" s="217"/>
      <c r="E27" s="217"/>
      <c r="F27" s="218">
        <f>IFERROR('ISO · Reg. Notas'!P27,"")</f>
        <v/>
      </c>
      <c r="G27" s="219">
        <f>IFERROR('ISO · Reg. Notas'!Q27,"")</f>
        <v/>
      </c>
      <c r="H27" s="220">
        <f>IFERROR(ROUND(F27*0.406250+G27*0.593750,2),"")</f>
        <v/>
      </c>
      <c r="I27" s="221">
        <f>IF(H27="","",IF(H27&gt;=5,"APTO","NO APTO"))</f>
        <v/>
      </c>
    </row>
    <row r="28" ht="20" customHeight="1">
      <c r="B28" s="207" t="n">
        <v>18</v>
      </c>
      <c r="C28" s="208">
        <f>IFERROR('ISO · Alumnos'!C27&amp;IF('ISO · Alumnos'!D27&lt;&gt;"",", "&amp;'ISO · Alumnos'!D27,""),"")</f>
        <v/>
      </c>
      <c r="D28" s="217"/>
      <c r="E28" s="217"/>
      <c r="F28" s="218">
        <f>IFERROR('ISO · Reg. Notas'!P28,"")</f>
        <v/>
      </c>
      <c r="G28" s="219">
        <f>IFERROR('ISO · Reg. Notas'!Q28,"")</f>
        <v/>
      </c>
      <c r="H28" s="220">
        <f>IFERROR(ROUND(F28*0.406250+G28*0.593750,2),"")</f>
        <v/>
      </c>
      <c r="I28" s="222">
        <f>IF(H28="","",IF(H28&gt;=5,"APTO","NO APTO"))</f>
        <v/>
      </c>
    </row>
    <row r="29" ht="20" customHeight="1">
      <c r="B29" s="207" t="n">
        <v>19</v>
      </c>
      <c r="C29" s="208">
        <f>IFERROR('ISO · Alumnos'!C28&amp;IF('ISO · Alumnos'!D28&lt;&gt;"",", "&amp;'ISO · Alumnos'!D28,""),"")</f>
        <v/>
      </c>
      <c r="D29" s="217"/>
      <c r="E29" s="217"/>
      <c r="F29" s="218">
        <f>IFERROR('ISO · Reg. Notas'!P29,"")</f>
        <v/>
      </c>
      <c r="G29" s="219">
        <f>IFERROR('ISO · Reg. Notas'!Q29,"")</f>
        <v/>
      </c>
      <c r="H29" s="220">
        <f>IFERROR(ROUND(F29*0.406250+G29*0.593750,2),"")</f>
        <v/>
      </c>
      <c r="I29" s="221">
        <f>IF(H29="","",IF(H29&gt;=5,"APTO","NO APTO"))</f>
        <v/>
      </c>
    </row>
    <row r="30" ht="20" customHeight="1">
      <c r="B30" s="207" t="n">
        <v>20</v>
      </c>
      <c r="C30" s="208">
        <f>IFERROR('ISO · Alumnos'!C29&amp;IF('ISO · Alumnos'!D29&lt;&gt;"",", "&amp;'ISO · Alumnos'!D29,""),"")</f>
        <v/>
      </c>
      <c r="D30" s="217"/>
      <c r="E30" s="217"/>
      <c r="F30" s="218">
        <f>IFERROR('ISO · Reg. Notas'!P30,"")</f>
        <v/>
      </c>
      <c r="G30" s="219">
        <f>IFERROR('ISO · Reg. Notas'!Q30,"")</f>
        <v/>
      </c>
      <c r="H30" s="220">
        <f>IFERROR(ROUND(F30*0.406250+G30*0.593750,2),"")</f>
        <v/>
      </c>
      <c r="I30" s="222">
        <f>IF(H30="","",IF(H30&gt;=5,"APTO","NO APTO"))</f>
        <v/>
      </c>
    </row>
    <row r="31" ht="20" customHeight="1">
      <c r="B31" s="207" t="n">
        <v>21</v>
      </c>
      <c r="C31" s="208">
        <f>IFERROR('ISO · Alumnos'!C30&amp;IF('ISO · Alumnos'!D30&lt;&gt;"",", "&amp;'ISO · Alumnos'!D30,""),"")</f>
        <v/>
      </c>
      <c r="D31" s="217"/>
      <c r="E31" s="217"/>
      <c r="F31" s="218">
        <f>IFERROR('ISO · Reg. Notas'!P31,"")</f>
        <v/>
      </c>
      <c r="G31" s="219">
        <f>IFERROR('ISO · Reg. Notas'!Q31,"")</f>
        <v/>
      </c>
      <c r="H31" s="220">
        <f>IFERROR(ROUND(F31*0.406250+G31*0.593750,2),"")</f>
        <v/>
      </c>
      <c r="I31" s="221">
        <f>IF(H31="","",IF(H31&gt;=5,"APTO","NO APTO"))</f>
        <v/>
      </c>
    </row>
    <row r="32" ht="20" customHeight="1">
      <c r="B32" s="207" t="n">
        <v>22</v>
      </c>
      <c r="C32" s="208">
        <f>IFERROR('ISO · Alumnos'!C31&amp;IF('ISO · Alumnos'!D31&lt;&gt;"",", "&amp;'ISO · Alumnos'!D31,""),"")</f>
        <v/>
      </c>
      <c r="D32" s="217"/>
      <c r="E32" s="217"/>
      <c r="F32" s="218">
        <f>IFERROR('ISO · Reg. Notas'!P32,"")</f>
        <v/>
      </c>
      <c r="G32" s="219">
        <f>IFERROR('ISO · Reg. Notas'!Q32,"")</f>
        <v/>
      </c>
      <c r="H32" s="220">
        <f>IFERROR(ROUND(F32*0.406250+G32*0.593750,2),"")</f>
        <v/>
      </c>
      <c r="I32" s="222">
        <f>IF(H32="","",IF(H32&gt;=5,"APTO","NO APTO"))</f>
        <v/>
      </c>
    </row>
    <row r="33" ht="20" customHeight="1">
      <c r="B33" s="207" t="n">
        <v>23</v>
      </c>
      <c r="C33" s="208">
        <f>IFERROR('ISO · Alumnos'!C32&amp;IF('ISO · Alumnos'!D32&lt;&gt;"",", "&amp;'ISO · Alumnos'!D32,""),"")</f>
        <v/>
      </c>
      <c r="D33" s="217"/>
      <c r="E33" s="217"/>
      <c r="F33" s="218">
        <f>IFERROR('ISO · Reg. Notas'!P33,"")</f>
        <v/>
      </c>
      <c r="G33" s="219">
        <f>IFERROR('ISO · Reg. Notas'!Q33,"")</f>
        <v/>
      </c>
      <c r="H33" s="220">
        <f>IFERROR(ROUND(F33*0.406250+G33*0.593750,2),"")</f>
        <v/>
      </c>
      <c r="I33" s="221">
        <f>IF(H33="","",IF(H33&gt;=5,"APTO","NO APTO"))</f>
        <v/>
      </c>
    </row>
    <row r="34" ht="20" customHeight="1">
      <c r="B34" s="207" t="n">
        <v>24</v>
      </c>
      <c r="C34" s="208">
        <f>IFERROR('ISO · Alumnos'!C33&amp;IF('ISO · Alumnos'!D33&lt;&gt;"",", "&amp;'ISO · Alumnos'!D33,""),"")</f>
        <v/>
      </c>
      <c r="D34" s="217"/>
      <c r="E34" s="217"/>
      <c r="F34" s="218">
        <f>IFERROR('ISO · Reg. Notas'!P34,"")</f>
        <v/>
      </c>
      <c r="G34" s="219">
        <f>IFERROR('ISO · Reg. Notas'!Q34,"")</f>
        <v/>
      </c>
      <c r="H34" s="220">
        <f>IFERROR(ROUND(F34*0.406250+G34*0.593750,2),"")</f>
        <v/>
      </c>
      <c r="I34" s="222">
        <f>IF(H34="","",IF(H34&gt;=5,"APTO","NO APTO"))</f>
        <v/>
      </c>
    </row>
    <row r="35" ht="20" customHeight="1">
      <c r="B35" s="207" t="n">
        <v>25</v>
      </c>
      <c r="C35" s="208">
        <f>IFERROR('ISO · Alumnos'!C34&amp;IF('ISO · Alumnos'!D34&lt;&gt;"",", "&amp;'ISO · Alumnos'!D34,""),"")</f>
        <v/>
      </c>
      <c r="D35" s="217"/>
      <c r="E35" s="217"/>
      <c r="F35" s="218">
        <f>IFERROR('ISO · Reg. Notas'!P35,"")</f>
        <v/>
      </c>
      <c r="G35" s="219">
        <f>IFERROR('ISO · Reg. Notas'!Q35,"")</f>
        <v/>
      </c>
      <c r="H35" s="220">
        <f>IFERROR(ROUND(F35*0.406250+G35*0.593750,2),"")</f>
        <v/>
      </c>
      <c r="I35" s="221">
        <f>IF(H35="","",IF(H35&gt;=5,"APTO","NO APTO"))</f>
        <v/>
      </c>
    </row>
    <row r="36" ht="20" customHeight="1">
      <c r="B36" s="207" t="n">
        <v>26</v>
      </c>
      <c r="C36" s="208">
        <f>IFERROR('ISO · Alumnos'!C35&amp;IF('ISO · Alumnos'!D35&lt;&gt;"",", "&amp;'ISO · Alumnos'!D35,""),"")</f>
        <v/>
      </c>
      <c r="D36" s="217"/>
      <c r="E36" s="217"/>
      <c r="F36" s="218">
        <f>IFERROR('ISO · Reg. Notas'!P36,"")</f>
        <v/>
      </c>
      <c r="G36" s="219">
        <f>IFERROR('ISO · Reg. Notas'!Q36,"")</f>
        <v/>
      </c>
      <c r="H36" s="220">
        <f>IFERROR(ROUND(F36*0.406250+G36*0.593750,2),"")</f>
        <v/>
      </c>
      <c r="I36" s="222">
        <f>IF(H36="","",IF(H36&gt;=5,"APTO","NO APTO"))</f>
        <v/>
      </c>
    </row>
    <row r="37" ht="20" customHeight="1">
      <c r="B37" s="207" t="n">
        <v>27</v>
      </c>
      <c r="C37" s="208">
        <f>IFERROR('ISO · Alumnos'!C36&amp;IF('ISO · Alumnos'!D36&lt;&gt;"",", "&amp;'ISO · Alumnos'!D36,""),"")</f>
        <v/>
      </c>
      <c r="D37" s="217"/>
      <c r="E37" s="217"/>
      <c r="F37" s="218">
        <f>IFERROR('ISO · Reg. Notas'!P37,"")</f>
        <v/>
      </c>
      <c r="G37" s="219">
        <f>IFERROR('ISO · Reg. Notas'!Q37,"")</f>
        <v/>
      </c>
      <c r="H37" s="220">
        <f>IFERROR(ROUND(F37*0.406250+G37*0.593750,2),"")</f>
        <v/>
      </c>
      <c r="I37" s="221">
        <f>IF(H37="","",IF(H37&gt;=5,"APTO","NO APTO"))</f>
        <v/>
      </c>
    </row>
    <row r="38" ht="20" customHeight="1">
      <c r="B38" s="207" t="n">
        <v>28</v>
      </c>
      <c r="C38" s="208">
        <f>IFERROR('ISO · Alumnos'!C37&amp;IF('ISO · Alumnos'!D37&lt;&gt;"",", "&amp;'ISO · Alumnos'!D37,""),"")</f>
        <v/>
      </c>
      <c r="D38" s="217"/>
      <c r="E38" s="217"/>
      <c r="F38" s="218">
        <f>IFERROR('ISO · Reg. Notas'!P38,"")</f>
        <v/>
      </c>
      <c r="G38" s="219">
        <f>IFERROR('ISO · Reg. Notas'!Q38,"")</f>
        <v/>
      </c>
      <c r="H38" s="220">
        <f>IFERROR(ROUND(F38*0.406250+G38*0.593750,2),"")</f>
        <v/>
      </c>
      <c r="I38" s="222">
        <f>IF(H38="","",IF(H38&gt;=5,"APTO","NO APTO"))</f>
        <v/>
      </c>
    </row>
    <row r="39" ht="20" customHeight="1">
      <c r="B39" s="207" t="n">
        <v>29</v>
      </c>
      <c r="C39" s="208">
        <f>IFERROR('ISO · Alumnos'!C38&amp;IF('ISO · Alumnos'!D38&lt;&gt;"",", "&amp;'ISO · Alumnos'!D38,""),"")</f>
        <v/>
      </c>
      <c r="D39" s="217"/>
      <c r="E39" s="217"/>
      <c r="F39" s="218">
        <f>IFERROR('ISO · Reg. Notas'!P39,"")</f>
        <v/>
      </c>
      <c r="G39" s="219">
        <f>IFERROR('ISO · Reg. Notas'!Q39,"")</f>
        <v/>
      </c>
      <c r="H39" s="220">
        <f>IFERROR(ROUND(F39*0.406250+G39*0.593750,2),"")</f>
        <v/>
      </c>
      <c r="I39" s="221">
        <f>IF(H39="","",IF(H39&gt;=5,"APTO","NO APTO"))</f>
        <v/>
      </c>
    </row>
    <row r="40" ht="20" customHeight="1">
      <c r="B40" s="207" t="n">
        <v>30</v>
      </c>
      <c r="C40" s="208">
        <f>IFERROR('ISO · Alumnos'!C39&amp;IF('ISO · Alumnos'!D39&lt;&gt;"",", "&amp;'ISO · Alumnos'!D39,""),"")</f>
        <v/>
      </c>
      <c r="D40" s="217"/>
      <c r="E40" s="217"/>
      <c r="F40" s="218">
        <f>IFERROR('ISO · Reg. Notas'!P40,"")</f>
        <v/>
      </c>
      <c r="G40" s="219">
        <f>IFERROR('ISO · Reg. Notas'!Q40,"")</f>
        <v/>
      </c>
      <c r="H40" s="220">
        <f>IFERROR(ROUND(F40*0.406250+G40*0.593750,2),"")</f>
        <v/>
      </c>
      <c r="I40" s="222">
        <f>IF(H40="","",IF(H40&gt;=5,"APTO","NO APTO"))</f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📝 Evaluación 2  ·  UT3, UT4, UT5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RAs evaluados: RA3 23.7%  ·  RA4 42.1%  ·  RA5 34.2%  (pesos normalizados al 100% de esta evaluación)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6">
        <f>HYPERLINK("#ISO · Actividades!A1","📝 Actividades")</f>
        <v/>
      </c>
      <c r="F5" s="6">
        <f>HYPERLINK("#ISO · Reg. Notas!A1","📊 Reg. Notas")</f>
        <v/>
      </c>
      <c r="G5" s="6">
        <f>HYPERLINK("#ISO · Resumen!A1","📈 Resumen")</f>
        <v/>
      </c>
      <c r="H5" s="6">
        <f>HYPERLINK("#ISO · Evaluación 1!A1","Eval 1")</f>
        <v/>
      </c>
      <c r="I5" s="5" t="inlineStr">
        <is>
          <t>Eval 2</t>
        </is>
      </c>
      <c r="J5" s="6">
        <f>HYPERLINK("#ISO · Evaluación 3!A1","Eval 3")</f>
        <v/>
      </c>
      <c r="K5" s="6">
        <f>HYPERLINK("#ISO · 1ªORD!A1","1ª ORD")</f>
        <v/>
      </c>
      <c r="L5" s="6">
        <f>HYPERLINK("#ISO · 2ªORD!A1","2ª ORD")</f>
        <v/>
      </c>
      <c r="M5" s="6">
        <f>HYPERLINK("#ISO · Rúbricas!A1","🎯 Rúbricas")</f>
        <v/>
      </c>
      <c r="N5" s="6">
        <f>HYPERLINK("#ISO · Informe Grupo!A1","📊 Inf.Grupo")</f>
        <v/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G8" s="223" t="inlineStr">
        <is>
          <t>RA3: 9% global → 23.7% en Eval 2</t>
        </is>
      </c>
      <c r="H8" s="224" t="inlineStr">
        <is>
          <t>RA4: 16% global → 42.1% en Eval 2</t>
        </is>
      </c>
      <c r="I8" s="225" t="inlineStr">
        <is>
          <t>RA5: 13% global → 34.2% en Eval 2</t>
        </is>
      </c>
    </row>
    <row r="10" ht="36" customHeight="1">
      <c r="B10" s="188" t="inlineStr">
        <is>
          <t>Nº</t>
        </is>
      </c>
      <c r="C10" s="188" t="inlineStr">
        <is>
          <t>Apellidos y Nombre</t>
        </is>
      </c>
      <c r="D10" s="226" t="inlineStr">
        <is>
          <t>UT3
(22h)</t>
        </is>
      </c>
      <c r="E10" s="226" t="inlineStr">
        <is>
          <t>UT4
(30h)</t>
        </is>
      </c>
      <c r="F10" s="226" t="inlineStr">
        <is>
          <t>UT5
(25h)</t>
        </is>
      </c>
      <c r="G10" s="226" t="inlineStr">
        <is>
          <t>RA3
(23.7%)</t>
        </is>
      </c>
      <c r="H10" s="227" t="inlineStr">
        <is>
          <t>RA4
(42.1%)</t>
        </is>
      </c>
      <c r="I10" s="206" t="inlineStr">
        <is>
          <t>RA5
(34.2%)</t>
        </is>
      </c>
      <c r="J10" s="188" t="inlineStr">
        <is>
          <t>NOTA EVAL</t>
        </is>
      </c>
      <c r="K10" s="188" t="inlineStr">
        <is>
          <t>Resultado</t>
        </is>
      </c>
    </row>
    <row r="11" ht="20" customHeight="1">
      <c r="B11" s="207" t="n">
        <v>1</v>
      </c>
      <c r="C11" s="208">
        <f>IFERROR('ISO · Alumnos'!C10&amp;IF('ISO · Alumnos'!D10&lt;&gt;"",", "&amp;'ISO · Alumnos'!D10,""),"")</f>
        <v/>
      </c>
      <c r="D11" s="217"/>
      <c r="E11" s="217"/>
      <c r="F11" s="217"/>
      <c r="G11" s="228">
        <f>IFERROR('ISO · Reg. Notas'!R11,"")</f>
        <v/>
      </c>
      <c r="H11" s="229">
        <f>IFERROR('ISO · Reg. Notas'!S11,"")</f>
        <v/>
      </c>
      <c r="I11" s="230">
        <f>IFERROR('ISO · Reg. Notas'!T11,"")</f>
        <v/>
      </c>
      <c r="J11" s="220">
        <f>IFERROR(ROUND(G11*0.236842+H11*0.421053+I11*0.342105,2),"")</f>
        <v/>
      </c>
      <c r="K11" s="221">
        <f>IF(J11="","",IF(J11&gt;=5,"APTO","NO APTO"))</f>
        <v/>
      </c>
    </row>
    <row r="12" ht="20" customHeight="1">
      <c r="B12" s="207" t="n">
        <v>2</v>
      </c>
      <c r="C12" s="208">
        <f>IFERROR('ISO · Alumnos'!C11&amp;IF('ISO · Alumnos'!D11&lt;&gt;"",", "&amp;'ISO · Alumnos'!D11,""),"")</f>
        <v/>
      </c>
      <c r="D12" s="217"/>
      <c r="E12" s="217"/>
      <c r="F12" s="217"/>
      <c r="G12" s="228">
        <f>IFERROR('ISO · Reg. Notas'!R12,"")</f>
        <v/>
      </c>
      <c r="H12" s="229">
        <f>IFERROR('ISO · Reg. Notas'!S12,"")</f>
        <v/>
      </c>
      <c r="I12" s="230">
        <f>IFERROR('ISO · Reg. Notas'!T12,"")</f>
        <v/>
      </c>
      <c r="J12" s="220">
        <f>IFERROR(ROUND(G12*0.236842+H12*0.421053+I12*0.342105,2),"")</f>
        <v/>
      </c>
      <c r="K12" s="222">
        <f>IF(J12="","",IF(J12&gt;=5,"APTO","NO APTO"))</f>
        <v/>
      </c>
    </row>
    <row r="13" ht="20" customHeight="1">
      <c r="B13" s="207" t="n">
        <v>3</v>
      </c>
      <c r="C13" s="208">
        <f>IFERROR('ISO · Alumnos'!C12&amp;IF('ISO · Alumnos'!D12&lt;&gt;"",", "&amp;'ISO · Alumnos'!D12,""),"")</f>
        <v/>
      </c>
      <c r="D13" s="217"/>
      <c r="E13" s="217"/>
      <c r="F13" s="217"/>
      <c r="G13" s="228">
        <f>IFERROR('ISO · Reg. Notas'!R13,"")</f>
        <v/>
      </c>
      <c r="H13" s="229">
        <f>IFERROR('ISO · Reg. Notas'!S13,"")</f>
        <v/>
      </c>
      <c r="I13" s="230">
        <f>IFERROR('ISO · Reg. Notas'!T13,"")</f>
        <v/>
      </c>
      <c r="J13" s="220">
        <f>IFERROR(ROUND(G13*0.236842+H13*0.421053+I13*0.342105,2),"")</f>
        <v/>
      </c>
      <c r="K13" s="221">
        <f>IF(J13="","",IF(J13&gt;=5,"APTO","NO APTO"))</f>
        <v/>
      </c>
    </row>
    <row r="14" ht="20" customHeight="1">
      <c r="B14" s="207" t="n">
        <v>4</v>
      </c>
      <c r="C14" s="208">
        <f>IFERROR('ISO · Alumnos'!C13&amp;IF('ISO · Alumnos'!D13&lt;&gt;"",", "&amp;'ISO · Alumnos'!D13,""),"")</f>
        <v/>
      </c>
      <c r="D14" s="217"/>
      <c r="E14" s="217"/>
      <c r="F14" s="217"/>
      <c r="G14" s="228">
        <f>IFERROR('ISO · Reg. Notas'!R14,"")</f>
        <v/>
      </c>
      <c r="H14" s="229">
        <f>IFERROR('ISO · Reg. Notas'!S14,"")</f>
        <v/>
      </c>
      <c r="I14" s="230">
        <f>IFERROR('ISO · Reg. Notas'!T14,"")</f>
        <v/>
      </c>
      <c r="J14" s="220">
        <f>IFERROR(ROUND(G14*0.236842+H14*0.421053+I14*0.342105,2),"")</f>
        <v/>
      </c>
      <c r="K14" s="222">
        <f>IF(J14="","",IF(J14&gt;=5,"APTO","NO APTO"))</f>
        <v/>
      </c>
    </row>
    <row r="15" ht="20" customHeight="1">
      <c r="B15" s="207" t="n">
        <v>5</v>
      </c>
      <c r="C15" s="208">
        <f>IFERROR('ISO · Alumnos'!C14&amp;IF('ISO · Alumnos'!D14&lt;&gt;"",", "&amp;'ISO · Alumnos'!D14,""),"")</f>
        <v/>
      </c>
      <c r="D15" s="217"/>
      <c r="E15" s="217"/>
      <c r="F15" s="217"/>
      <c r="G15" s="228">
        <f>IFERROR('ISO · Reg. Notas'!R15,"")</f>
        <v/>
      </c>
      <c r="H15" s="229">
        <f>IFERROR('ISO · Reg. Notas'!S15,"")</f>
        <v/>
      </c>
      <c r="I15" s="230">
        <f>IFERROR('ISO · Reg. Notas'!T15,"")</f>
        <v/>
      </c>
      <c r="J15" s="220">
        <f>IFERROR(ROUND(G15*0.236842+H15*0.421053+I15*0.342105,2),"")</f>
        <v/>
      </c>
      <c r="K15" s="221">
        <f>IF(J15="","",IF(J15&gt;=5,"APTO","NO APTO"))</f>
        <v/>
      </c>
    </row>
    <row r="16" ht="20" customHeight="1">
      <c r="B16" s="207" t="n">
        <v>6</v>
      </c>
      <c r="C16" s="208">
        <f>IFERROR('ISO · Alumnos'!C15&amp;IF('ISO · Alumnos'!D15&lt;&gt;"",", "&amp;'ISO · Alumnos'!D15,""),"")</f>
        <v/>
      </c>
      <c r="D16" s="217"/>
      <c r="E16" s="217"/>
      <c r="F16" s="217"/>
      <c r="G16" s="228">
        <f>IFERROR('ISO · Reg. Notas'!R16,"")</f>
        <v/>
      </c>
      <c r="H16" s="229">
        <f>IFERROR('ISO · Reg. Notas'!S16,"")</f>
        <v/>
      </c>
      <c r="I16" s="230">
        <f>IFERROR('ISO · Reg. Notas'!T16,"")</f>
        <v/>
      </c>
      <c r="J16" s="220">
        <f>IFERROR(ROUND(G16*0.236842+H16*0.421053+I16*0.342105,2),"")</f>
        <v/>
      </c>
      <c r="K16" s="222">
        <f>IF(J16="","",IF(J16&gt;=5,"APTO","NO APTO"))</f>
        <v/>
      </c>
    </row>
    <row r="17" ht="20" customHeight="1">
      <c r="B17" s="207" t="n">
        <v>7</v>
      </c>
      <c r="C17" s="208">
        <f>IFERROR('ISO · Alumnos'!C16&amp;IF('ISO · Alumnos'!D16&lt;&gt;"",", "&amp;'ISO · Alumnos'!D16,""),"")</f>
        <v/>
      </c>
      <c r="D17" s="217"/>
      <c r="E17" s="217"/>
      <c r="F17" s="217"/>
      <c r="G17" s="228">
        <f>IFERROR('ISO · Reg. Notas'!R17,"")</f>
        <v/>
      </c>
      <c r="H17" s="229">
        <f>IFERROR('ISO · Reg. Notas'!S17,"")</f>
        <v/>
      </c>
      <c r="I17" s="230">
        <f>IFERROR('ISO · Reg. Notas'!T17,"")</f>
        <v/>
      </c>
      <c r="J17" s="220">
        <f>IFERROR(ROUND(G17*0.236842+H17*0.421053+I17*0.342105,2),"")</f>
        <v/>
      </c>
      <c r="K17" s="221">
        <f>IF(J17="","",IF(J17&gt;=5,"APTO","NO APTO"))</f>
        <v/>
      </c>
    </row>
    <row r="18" ht="20" customHeight="1">
      <c r="B18" s="207" t="n">
        <v>8</v>
      </c>
      <c r="C18" s="208">
        <f>IFERROR('ISO · Alumnos'!C17&amp;IF('ISO · Alumnos'!D17&lt;&gt;"",", "&amp;'ISO · Alumnos'!D17,""),"")</f>
        <v/>
      </c>
      <c r="D18" s="217"/>
      <c r="E18" s="217"/>
      <c r="F18" s="217"/>
      <c r="G18" s="228">
        <f>IFERROR('ISO · Reg. Notas'!R18,"")</f>
        <v/>
      </c>
      <c r="H18" s="229">
        <f>IFERROR('ISO · Reg. Notas'!S18,"")</f>
        <v/>
      </c>
      <c r="I18" s="230">
        <f>IFERROR('ISO · Reg. Notas'!T18,"")</f>
        <v/>
      </c>
      <c r="J18" s="220">
        <f>IFERROR(ROUND(G18*0.236842+H18*0.421053+I18*0.342105,2),"")</f>
        <v/>
      </c>
      <c r="K18" s="222">
        <f>IF(J18="","",IF(J18&gt;=5,"APTO","NO APTO"))</f>
        <v/>
      </c>
    </row>
    <row r="19" ht="20" customHeight="1">
      <c r="B19" s="207" t="n">
        <v>9</v>
      </c>
      <c r="C19" s="208">
        <f>IFERROR('ISO · Alumnos'!C18&amp;IF('ISO · Alumnos'!D18&lt;&gt;"",", "&amp;'ISO · Alumnos'!D18,""),"")</f>
        <v/>
      </c>
      <c r="D19" s="217"/>
      <c r="E19" s="217"/>
      <c r="F19" s="217"/>
      <c r="G19" s="228">
        <f>IFERROR('ISO · Reg. Notas'!R19,"")</f>
        <v/>
      </c>
      <c r="H19" s="229">
        <f>IFERROR('ISO · Reg. Notas'!S19,"")</f>
        <v/>
      </c>
      <c r="I19" s="230">
        <f>IFERROR('ISO · Reg. Notas'!T19,"")</f>
        <v/>
      </c>
      <c r="J19" s="220">
        <f>IFERROR(ROUND(G19*0.236842+H19*0.421053+I19*0.342105,2),"")</f>
        <v/>
      </c>
      <c r="K19" s="221">
        <f>IF(J19="","",IF(J19&gt;=5,"APTO","NO APTO"))</f>
        <v/>
      </c>
    </row>
    <row r="20" ht="20" customHeight="1">
      <c r="B20" s="207" t="n">
        <v>10</v>
      </c>
      <c r="C20" s="208">
        <f>IFERROR('ISO · Alumnos'!C19&amp;IF('ISO · Alumnos'!D19&lt;&gt;"",", "&amp;'ISO · Alumnos'!D19,""),"")</f>
        <v/>
      </c>
      <c r="D20" s="217"/>
      <c r="E20" s="217"/>
      <c r="F20" s="217"/>
      <c r="G20" s="228">
        <f>IFERROR('ISO · Reg. Notas'!R20,"")</f>
        <v/>
      </c>
      <c r="H20" s="229">
        <f>IFERROR('ISO · Reg. Notas'!S20,"")</f>
        <v/>
      </c>
      <c r="I20" s="230">
        <f>IFERROR('ISO · Reg. Notas'!T20,"")</f>
        <v/>
      </c>
      <c r="J20" s="220">
        <f>IFERROR(ROUND(G20*0.236842+H20*0.421053+I20*0.342105,2),"")</f>
        <v/>
      </c>
      <c r="K20" s="222">
        <f>IF(J20="","",IF(J20&gt;=5,"APTO","NO APTO"))</f>
        <v/>
      </c>
    </row>
    <row r="21" ht="20" customHeight="1">
      <c r="B21" s="207" t="n">
        <v>11</v>
      </c>
      <c r="C21" s="208">
        <f>IFERROR('ISO · Alumnos'!C20&amp;IF('ISO · Alumnos'!D20&lt;&gt;"",", "&amp;'ISO · Alumnos'!D20,""),"")</f>
        <v/>
      </c>
      <c r="D21" s="217"/>
      <c r="E21" s="217"/>
      <c r="F21" s="217"/>
      <c r="G21" s="228">
        <f>IFERROR('ISO · Reg. Notas'!R21,"")</f>
        <v/>
      </c>
      <c r="H21" s="229">
        <f>IFERROR('ISO · Reg. Notas'!S21,"")</f>
        <v/>
      </c>
      <c r="I21" s="230">
        <f>IFERROR('ISO · Reg. Notas'!T21,"")</f>
        <v/>
      </c>
      <c r="J21" s="220">
        <f>IFERROR(ROUND(G21*0.236842+H21*0.421053+I21*0.342105,2),"")</f>
        <v/>
      </c>
      <c r="K21" s="221">
        <f>IF(J21="","",IF(J21&gt;=5,"APTO","NO APTO"))</f>
        <v/>
      </c>
    </row>
    <row r="22" ht="20" customHeight="1">
      <c r="B22" s="207" t="n">
        <v>12</v>
      </c>
      <c r="C22" s="208">
        <f>IFERROR('ISO · Alumnos'!C21&amp;IF('ISO · Alumnos'!D21&lt;&gt;"",", "&amp;'ISO · Alumnos'!D21,""),"")</f>
        <v/>
      </c>
      <c r="D22" s="217"/>
      <c r="E22" s="217"/>
      <c r="F22" s="217"/>
      <c r="G22" s="228">
        <f>IFERROR('ISO · Reg. Notas'!R22,"")</f>
        <v/>
      </c>
      <c r="H22" s="229">
        <f>IFERROR('ISO · Reg. Notas'!S22,"")</f>
        <v/>
      </c>
      <c r="I22" s="230">
        <f>IFERROR('ISO · Reg. Notas'!T22,"")</f>
        <v/>
      </c>
      <c r="J22" s="220">
        <f>IFERROR(ROUND(G22*0.236842+H22*0.421053+I22*0.342105,2),"")</f>
        <v/>
      </c>
      <c r="K22" s="222">
        <f>IF(J22="","",IF(J22&gt;=5,"APTO","NO APTO"))</f>
        <v/>
      </c>
    </row>
    <row r="23" ht="20" customHeight="1">
      <c r="B23" s="207" t="n">
        <v>13</v>
      </c>
      <c r="C23" s="208">
        <f>IFERROR('ISO · Alumnos'!C22&amp;IF('ISO · Alumnos'!D22&lt;&gt;"",", "&amp;'ISO · Alumnos'!D22,""),"")</f>
        <v/>
      </c>
      <c r="D23" s="217"/>
      <c r="E23" s="217"/>
      <c r="F23" s="217"/>
      <c r="G23" s="228">
        <f>IFERROR('ISO · Reg. Notas'!R23,"")</f>
        <v/>
      </c>
      <c r="H23" s="229">
        <f>IFERROR('ISO · Reg. Notas'!S23,"")</f>
        <v/>
      </c>
      <c r="I23" s="230">
        <f>IFERROR('ISO · Reg. Notas'!T23,"")</f>
        <v/>
      </c>
      <c r="J23" s="220">
        <f>IFERROR(ROUND(G23*0.236842+H23*0.421053+I23*0.342105,2),"")</f>
        <v/>
      </c>
      <c r="K23" s="221">
        <f>IF(J23="","",IF(J23&gt;=5,"APTO","NO APTO"))</f>
        <v/>
      </c>
    </row>
    <row r="24" ht="20" customHeight="1">
      <c r="B24" s="207" t="n">
        <v>14</v>
      </c>
      <c r="C24" s="208">
        <f>IFERROR('ISO · Alumnos'!C23&amp;IF('ISO · Alumnos'!D23&lt;&gt;"",", "&amp;'ISO · Alumnos'!D23,""),"")</f>
        <v/>
      </c>
      <c r="D24" s="217"/>
      <c r="E24" s="217"/>
      <c r="F24" s="217"/>
      <c r="G24" s="228">
        <f>IFERROR('ISO · Reg. Notas'!R24,"")</f>
        <v/>
      </c>
      <c r="H24" s="229">
        <f>IFERROR('ISO · Reg. Notas'!S24,"")</f>
        <v/>
      </c>
      <c r="I24" s="230">
        <f>IFERROR('ISO · Reg. Notas'!T24,"")</f>
        <v/>
      </c>
      <c r="J24" s="220">
        <f>IFERROR(ROUND(G24*0.236842+H24*0.421053+I24*0.342105,2),"")</f>
        <v/>
      </c>
      <c r="K24" s="222">
        <f>IF(J24="","",IF(J24&gt;=5,"APTO","NO APTO"))</f>
        <v/>
      </c>
    </row>
    <row r="25" ht="20" customHeight="1">
      <c r="B25" s="207" t="n">
        <v>15</v>
      </c>
      <c r="C25" s="208">
        <f>IFERROR('ISO · Alumnos'!C24&amp;IF('ISO · Alumnos'!D24&lt;&gt;"",", "&amp;'ISO · Alumnos'!D24,""),"")</f>
        <v/>
      </c>
      <c r="D25" s="217"/>
      <c r="E25" s="217"/>
      <c r="F25" s="217"/>
      <c r="G25" s="228">
        <f>IFERROR('ISO · Reg. Notas'!R25,"")</f>
        <v/>
      </c>
      <c r="H25" s="229">
        <f>IFERROR('ISO · Reg. Notas'!S25,"")</f>
        <v/>
      </c>
      <c r="I25" s="230">
        <f>IFERROR('ISO · Reg. Notas'!T25,"")</f>
        <v/>
      </c>
      <c r="J25" s="220">
        <f>IFERROR(ROUND(G25*0.236842+H25*0.421053+I25*0.342105,2),"")</f>
        <v/>
      </c>
      <c r="K25" s="221">
        <f>IF(J25="","",IF(J25&gt;=5,"APTO","NO APTO"))</f>
        <v/>
      </c>
    </row>
    <row r="26" ht="20" customHeight="1">
      <c r="B26" s="207" t="n">
        <v>16</v>
      </c>
      <c r="C26" s="208">
        <f>IFERROR('ISO · Alumnos'!C25&amp;IF('ISO · Alumnos'!D25&lt;&gt;"",", "&amp;'ISO · Alumnos'!D25,""),"")</f>
        <v/>
      </c>
      <c r="D26" s="217"/>
      <c r="E26" s="217"/>
      <c r="F26" s="217"/>
      <c r="G26" s="228">
        <f>IFERROR('ISO · Reg. Notas'!R26,"")</f>
        <v/>
      </c>
      <c r="H26" s="229">
        <f>IFERROR('ISO · Reg. Notas'!S26,"")</f>
        <v/>
      </c>
      <c r="I26" s="230">
        <f>IFERROR('ISO · Reg. Notas'!T26,"")</f>
        <v/>
      </c>
      <c r="J26" s="220">
        <f>IFERROR(ROUND(G26*0.236842+H26*0.421053+I26*0.342105,2),"")</f>
        <v/>
      </c>
      <c r="K26" s="222">
        <f>IF(J26="","",IF(J26&gt;=5,"APTO","NO APTO"))</f>
        <v/>
      </c>
    </row>
    <row r="27" ht="20" customHeight="1">
      <c r="B27" s="207" t="n">
        <v>17</v>
      </c>
      <c r="C27" s="208">
        <f>IFERROR('ISO · Alumnos'!C26&amp;IF('ISO · Alumnos'!D26&lt;&gt;"",", "&amp;'ISO · Alumnos'!D26,""),"")</f>
        <v/>
      </c>
      <c r="D27" s="217"/>
      <c r="E27" s="217"/>
      <c r="F27" s="217"/>
      <c r="G27" s="228">
        <f>IFERROR('ISO · Reg. Notas'!R27,"")</f>
        <v/>
      </c>
      <c r="H27" s="229">
        <f>IFERROR('ISO · Reg. Notas'!S27,"")</f>
        <v/>
      </c>
      <c r="I27" s="230">
        <f>IFERROR('ISO · Reg. Notas'!T27,"")</f>
        <v/>
      </c>
      <c r="J27" s="220">
        <f>IFERROR(ROUND(G27*0.236842+H27*0.421053+I27*0.342105,2),"")</f>
        <v/>
      </c>
      <c r="K27" s="221">
        <f>IF(J27="","",IF(J27&gt;=5,"APTO","NO APTO"))</f>
        <v/>
      </c>
    </row>
    <row r="28" ht="20" customHeight="1">
      <c r="B28" s="207" t="n">
        <v>18</v>
      </c>
      <c r="C28" s="208">
        <f>IFERROR('ISO · Alumnos'!C27&amp;IF('ISO · Alumnos'!D27&lt;&gt;"",", "&amp;'ISO · Alumnos'!D27,""),"")</f>
        <v/>
      </c>
      <c r="D28" s="217"/>
      <c r="E28" s="217"/>
      <c r="F28" s="217"/>
      <c r="G28" s="228">
        <f>IFERROR('ISO · Reg. Notas'!R28,"")</f>
        <v/>
      </c>
      <c r="H28" s="229">
        <f>IFERROR('ISO · Reg. Notas'!S28,"")</f>
        <v/>
      </c>
      <c r="I28" s="230">
        <f>IFERROR('ISO · Reg. Notas'!T28,"")</f>
        <v/>
      </c>
      <c r="J28" s="220">
        <f>IFERROR(ROUND(G28*0.236842+H28*0.421053+I28*0.342105,2),"")</f>
        <v/>
      </c>
      <c r="K28" s="222">
        <f>IF(J28="","",IF(J28&gt;=5,"APTO","NO APTO"))</f>
        <v/>
      </c>
    </row>
    <row r="29" ht="20" customHeight="1">
      <c r="B29" s="207" t="n">
        <v>19</v>
      </c>
      <c r="C29" s="208">
        <f>IFERROR('ISO · Alumnos'!C28&amp;IF('ISO · Alumnos'!D28&lt;&gt;"",", "&amp;'ISO · Alumnos'!D28,""),"")</f>
        <v/>
      </c>
      <c r="D29" s="217"/>
      <c r="E29" s="217"/>
      <c r="F29" s="217"/>
      <c r="G29" s="228">
        <f>IFERROR('ISO · Reg. Notas'!R29,"")</f>
        <v/>
      </c>
      <c r="H29" s="229">
        <f>IFERROR('ISO · Reg. Notas'!S29,"")</f>
        <v/>
      </c>
      <c r="I29" s="230">
        <f>IFERROR('ISO · Reg. Notas'!T29,"")</f>
        <v/>
      </c>
      <c r="J29" s="220">
        <f>IFERROR(ROUND(G29*0.236842+H29*0.421053+I29*0.342105,2),"")</f>
        <v/>
      </c>
      <c r="K29" s="221">
        <f>IF(J29="","",IF(J29&gt;=5,"APTO","NO APTO"))</f>
        <v/>
      </c>
    </row>
    <row r="30" ht="20" customHeight="1">
      <c r="B30" s="207" t="n">
        <v>20</v>
      </c>
      <c r="C30" s="208">
        <f>IFERROR('ISO · Alumnos'!C29&amp;IF('ISO · Alumnos'!D29&lt;&gt;"",", "&amp;'ISO · Alumnos'!D29,""),"")</f>
        <v/>
      </c>
      <c r="D30" s="217"/>
      <c r="E30" s="217"/>
      <c r="F30" s="217"/>
      <c r="G30" s="228">
        <f>IFERROR('ISO · Reg. Notas'!R30,"")</f>
        <v/>
      </c>
      <c r="H30" s="229">
        <f>IFERROR('ISO · Reg. Notas'!S30,"")</f>
        <v/>
      </c>
      <c r="I30" s="230">
        <f>IFERROR('ISO · Reg. Notas'!T30,"")</f>
        <v/>
      </c>
      <c r="J30" s="220">
        <f>IFERROR(ROUND(G30*0.236842+H30*0.421053+I30*0.342105,2),"")</f>
        <v/>
      </c>
      <c r="K30" s="222">
        <f>IF(J30="","",IF(J30&gt;=5,"APTO","NO APTO"))</f>
        <v/>
      </c>
    </row>
    <row r="31" ht="20" customHeight="1">
      <c r="B31" s="207" t="n">
        <v>21</v>
      </c>
      <c r="C31" s="208">
        <f>IFERROR('ISO · Alumnos'!C30&amp;IF('ISO · Alumnos'!D30&lt;&gt;"",", "&amp;'ISO · Alumnos'!D30,""),"")</f>
        <v/>
      </c>
      <c r="D31" s="217"/>
      <c r="E31" s="217"/>
      <c r="F31" s="217"/>
      <c r="G31" s="228">
        <f>IFERROR('ISO · Reg. Notas'!R31,"")</f>
        <v/>
      </c>
      <c r="H31" s="229">
        <f>IFERROR('ISO · Reg. Notas'!S31,"")</f>
        <v/>
      </c>
      <c r="I31" s="230">
        <f>IFERROR('ISO · Reg. Notas'!T31,"")</f>
        <v/>
      </c>
      <c r="J31" s="220">
        <f>IFERROR(ROUND(G31*0.236842+H31*0.421053+I31*0.342105,2),"")</f>
        <v/>
      </c>
      <c r="K31" s="221">
        <f>IF(J31="","",IF(J31&gt;=5,"APTO","NO APTO"))</f>
        <v/>
      </c>
    </row>
    <row r="32" ht="20" customHeight="1">
      <c r="B32" s="207" t="n">
        <v>22</v>
      </c>
      <c r="C32" s="208">
        <f>IFERROR('ISO · Alumnos'!C31&amp;IF('ISO · Alumnos'!D31&lt;&gt;"",", "&amp;'ISO · Alumnos'!D31,""),"")</f>
        <v/>
      </c>
      <c r="D32" s="217"/>
      <c r="E32" s="217"/>
      <c r="F32" s="217"/>
      <c r="G32" s="228">
        <f>IFERROR('ISO · Reg. Notas'!R32,"")</f>
        <v/>
      </c>
      <c r="H32" s="229">
        <f>IFERROR('ISO · Reg. Notas'!S32,"")</f>
        <v/>
      </c>
      <c r="I32" s="230">
        <f>IFERROR('ISO · Reg. Notas'!T32,"")</f>
        <v/>
      </c>
      <c r="J32" s="220">
        <f>IFERROR(ROUND(G32*0.236842+H32*0.421053+I32*0.342105,2),"")</f>
        <v/>
      </c>
      <c r="K32" s="222">
        <f>IF(J32="","",IF(J32&gt;=5,"APTO","NO APTO"))</f>
        <v/>
      </c>
    </row>
    <row r="33" ht="20" customHeight="1">
      <c r="B33" s="207" t="n">
        <v>23</v>
      </c>
      <c r="C33" s="208">
        <f>IFERROR('ISO · Alumnos'!C32&amp;IF('ISO · Alumnos'!D32&lt;&gt;"",", "&amp;'ISO · Alumnos'!D32,""),"")</f>
        <v/>
      </c>
      <c r="D33" s="217"/>
      <c r="E33" s="217"/>
      <c r="F33" s="217"/>
      <c r="G33" s="228">
        <f>IFERROR('ISO · Reg. Notas'!R33,"")</f>
        <v/>
      </c>
      <c r="H33" s="229">
        <f>IFERROR('ISO · Reg. Notas'!S33,"")</f>
        <v/>
      </c>
      <c r="I33" s="230">
        <f>IFERROR('ISO · Reg. Notas'!T33,"")</f>
        <v/>
      </c>
      <c r="J33" s="220">
        <f>IFERROR(ROUND(G33*0.236842+H33*0.421053+I33*0.342105,2),"")</f>
        <v/>
      </c>
      <c r="K33" s="221">
        <f>IF(J33="","",IF(J33&gt;=5,"APTO","NO APTO"))</f>
        <v/>
      </c>
    </row>
    <row r="34" ht="20" customHeight="1">
      <c r="B34" s="207" t="n">
        <v>24</v>
      </c>
      <c r="C34" s="208">
        <f>IFERROR('ISO · Alumnos'!C33&amp;IF('ISO · Alumnos'!D33&lt;&gt;"",", "&amp;'ISO · Alumnos'!D33,""),"")</f>
        <v/>
      </c>
      <c r="D34" s="217"/>
      <c r="E34" s="217"/>
      <c r="F34" s="217"/>
      <c r="G34" s="228">
        <f>IFERROR('ISO · Reg. Notas'!R34,"")</f>
        <v/>
      </c>
      <c r="H34" s="229">
        <f>IFERROR('ISO · Reg. Notas'!S34,"")</f>
        <v/>
      </c>
      <c r="I34" s="230">
        <f>IFERROR('ISO · Reg. Notas'!T34,"")</f>
        <v/>
      </c>
      <c r="J34" s="220">
        <f>IFERROR(ROUND(G34*0.236842+H34*0.421053+I34*0.342105,2),"")</f>
        <v/>
      </c>
      <c r="K34" s="222">
        <f>IF(J34="","",IF(J34&gt;=5,"APTO","NO APTO"))</f>
        <v/>
      </c>
    </row>
    <row r="35" ht="20" customHeight="1">
      <c r="B35" s="207" t="n">
        <v>25</v>
      </c>
      <c r="C35" s="208">
        <f>IFERROR('ISO · Alumnos'!C34&amp;IF('ISO · Alumnos'!D34&lt;&gt;"",", "&amp;'ISO · Alumnos'!D34,""),"")</f>
        <v/>
      </c>
      <c r="D35" s="217"/>
      <c r="E35" s="217"/>
      <c r="F35" s="217"/>
      <c r="G35" s="228">
        <f>IFERROR('ISO · Reg. Notas'!R35,"")</f>
        <v/>
      </c>
      <c r="H35" s="229">
        <f>IFERROR('ISO · Reg. Notas'!S35,"")</f>
        <v/>
      </c>
      <c r="I35" s="230">
        <f>IFERROR('ISO · Reg. Notas'!T35,"")</f>
        <v/>
      </c>
      <c r="J35" s="220">
        <f>IFERROR(ROUND(G35*0.236842+H35*0.421053+I35*0.342105,2),"")</f>
        <v/>
      </c>
      <c r="K35" s="221">
        <f>IF(J35="","",IF(J35&gt;=5,"APTO","NO APTO"))</f>
        <v/>
      </c>
    </row>
    <row r="36" ht="20" customHeight="1">
      <c r="B36" s="207" t="n">
        <v>26</v>
      </c>
      <c r="C36" s="208">
        <f>IFERROR('ISO · Alumnos'!C35&amp;IF('ISO · Alumnos'!D35&lt;&gt;"",", "&amp;'ISO · Alumnos'!D35,""),"")</f>
        <v/>
      </c>
      <c r="D36" s="217"/>
      <c r="E36" s="217"/>
      <c r="F36" s="217"/>
      <c r="G36" s="228">
        <f>IFERROR('ISO · Reg. Notas'!R36,"")</f>
        <v/>
      </c>
      <c r="H36" s="229">
        <f>IFERROR('ISO · Reg. Notas'!S36,"")</f>
        <v/>
      </c>
      <c r="I36" s="230">
        <f>IFERROR('ISO · Reg. Notas'!T36,"")</f>
        <v/>
      </c>
      <c r="J36" s="220">
        <f>IFERROR(ROUND(G36*0.236842+H36*0.421053+I36*0.342105,2),"")</f>
        <v/>
      </c>
      <c r="K36" s="222">
        <f>IF(J36="","",IF(J36&gt;=5,"APTO","NO APTO"))</f>
        <v/>
      </c>
    </row>
    <row r="37" ht="20" customHeight="1">
      <c r="B37" s="207" t="n">
        <v>27</v>
      </c>
      <c r="C37" s="208">
        <f>IFERROR('ISO · Alumnos'!C36&amp;IF('ISO · Alumnos'!D36&lt;&gt;"",", "&amp;'ISO · Alumnos'!D36,""),"")</f>
        <v/>
      </c>
      <c r="D37" s="217"/>
      <c r="E37" s="217"/>
      <c r="F37" s="217"/>
      <c r="G37" s="228">
        <f>IFERROR('ISO · Reg. Notas'!R37,"")</f>
        <v/>
      </c>
      <c r="H37" s="229">
        <f>IFERROR('ISO · Reg. Notas'!S37,"")</f>
        <v/>
      </c>
      <c r="I37" s="230">
        <f>IFERROR('ISO · Reg. Notas'!T37,"")</f>
        <v/>
      </c>
      <c r="J37" s="220">
        <f>IFERROR(ROUND(G37*0.236842+H37*0.421053+I37*0.342105,2),"")</f>
        <v/>
      </c>
      <c r="K37" s="221">
        <f>IF(J37="","",IF(J37&gt;=5,"APTO","NO APTO"))</f>
        <v/>
      </c>
    </row>
    <row r="38" ht="20" customHeight="1">
      <c r="B38" s="207" t="n">
        <v>28</v>
      </c>
      <c r="C38" s="208">
        <f>IFERROR('ISO · Alumnos'!C37&amp;IF('ISO · Alumnos'!D37&lt;&gt;"",", "&amp;'ISO · Alumnos'!D37,""),"")</f>
        <v/>
      </c>
      <c r="D38" s="217"/>
      <c r="E38" s="217"/>
      <c r="F38" s="217"/>
      <c r="G38" s="228">
        <f>IFERROR('ISO · Reg. Notas'!R38,"")</f>
        <v/>
      </c>
      <c r="H38" s="229">
        <f>IFERROR('ISO · Reg. Notas'!S38,"")</f>
        <v/>
      </c>
      <c r="I38" s="230">
        <f>IFERROR('ISO · Reg. Notas'!T38,"")</f>
        <v/>
      </c>
      <c r="J38" s="220">
        <f>IFERROR(ROUND(G38*0.236842+H38*0.421053+I38*0.342105,2),"")</f>
        <v/>
      </c>
      <c r="K38" s="222">
        <f>IF(J38="","",IF(J38&gt;=5,"APTO","NO APTO"))</f>
        <v/>
      </c>
    </row>
    <row r="39" ht="20" customHeight="1">
      <c r="B39" s="207" t="n">
        <v>29</v>
      </c>
      <c r="C39" s="208">
        <f>IFERROR('ISO · Alumnos'!C38&amp;IF('ISO · Alumnos'!D38&lt;&gt;"",", "&amp;'ISO · Alumnos'!D38,""),"")</f>
        <v/>
      </c>
      <c r="D39" s="217"/>
      <c r="E39" s="217"/>
      <c r="F39" s="217"/>
      <c r="G39" s="228">
        <f>IFERROR('ISO · Reg. Notas'!R39,"")</f>
        <v/>
      </c>
      <c r="H39" s="229">
        <f>IFERROR('ISO · Reg. Notas'!S39,"")</f>
        <v/>
      </c>
      <c r="I39" s="230">
        <f>IFERROR('ISO · Reg. Notas'!T39,"")</f>
        <v/>
      </c>
      <c r="J39" s="220">
        <f>IFERROR(ROUND(G39*0.236842+H39*0.421053+I39*0.342105,2),"")</f>
        <v/>
      </c>
      <c r="K39" s="221">
        <f>IF(J39="","",IF(J39&gt;=5,"APTO","NO APTO"))</f>
        <v/>
      </c>
    </row>
    <row r="40" ht="20" customHeight="1">
      <c r="B40" s="207" t="n">
        <v>30</v>
      </c>
      <c r="C40" s="208">
        <f>IFERROR('ISO · Alumnos'!C39&amp;IF('ISO · Alumnos'!D39&lt;&gt;"",", "&amp;'ISO · Alumnos'!D39,""),"")</f>
        <v/>
      </c>
      <c r="D40" s="217"/>
      <c r="E40" s="217"/>
      <c r="F40" s="217"/>
      <c r="G40" s="228">
        <f>IFERROR('ISO · Reg. Notas'!R40,"")</f>
        <v/>
      </c>
      <c r="H40" s="229">
        <f>IFERROR('ISO · Reg. Notas'!S40,"")</f>
        <v/>
      </c>
      <c r="I40" s="230">
        <f>IFERROR('ISO · Reg. Notas'!T40,"")</f>
        <v/>
      </c>
      <c r="J40" s="220">
        <f>IFERROR(ROUND(G40*0.236842+H40*0.421053+I40*0.342105,2),"")</f>
        <v/>
      </c>
      <c r="K40" s="222">
        <f>IF(J40="","",IF(J40&gt;=5,"APTO","NO APTO"))</f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📝 Evaluación 3  ·  UT6, UT7, UT8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RAs evaluados: RA6 40.0%  ·  RA7 43.3%  ·  RA8 16.7%  (pesos normalizados al 100% de esta evaluación)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6">
        <f>HYPERLINK("#ISO · Actividades!A1","📝 Actividades")</f>
        <v/>
      </c>
      <c r="F5" s="6">
        <f>HYPERLINK("#ISO · Reg. Notas!A1","📊 Reg. Notas")</f>
        <v/>
      </c>
      <c r="G5" s="6">
        <f>HYPERLINK("#ISO · Resumen!A1","📈 Resumen")</f>
        <v/>
      </c>
      <c r="H5" s="6">
        <f>HYPERLINK("#ISO · Evaluación 1!A1","Eval 1")</f>
        <v/>
      </c>
      <c r="I5" s="6">
        <f>HYPERLINK("#ISO · Evaluación 2!A1","Eval 2")</f>
        <v/>
      </c>
      <c r="J5" s="5" t="inlineStr">
        <is>
          <t>Eval 3</t>
        </is>
      </c>
      <c r="K5" s="6">
        <f>HYPERLINK("#ISO · 1ªORD!A1","1ª ORD")</f>
        <v/>
      </c>
      <c r="L5" s="6">
        <f>HYPERLINK("#ISO · 2ªORD!A1","2ª ORD")</f>
        <v/>
      </c>
      <c r="M5" s="6">
        <f>HYPERLINK("#ISO · Rúbricas!A1","🎯 Rúbricas")</f>
        <v/>
      </c>
      <c r="N5" s="6">
        <f>HYPERLINK("#ISO · Informe Grupo!A1","📊 Inf.Grupo")</f>
        <v/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G8" s="231" t="inlineStr">
        <is>
          <t>RA6: 12% global → 40.0% en Eval 3</t>
        </is>
      </c>
      <c r="H8" s="232" t="inlineStr">
        <is>
          <t>RA7: 13% global → 43.3% en Eval 3</t>
        </is>
      </c>
      <c r="I8" s="233" t="inlineStr">
        <is>
          <t>RA8: 5% global → 16.7% en Eval 3</t>
        </is>
      </c>
    </row>
    <row r="10" ht="36" customHeight="1">
      <c r="B10" s="188" t="inlineStr">
        <is>
          <t>Nº</t>
        </is>
      </c>
      <c r="C10" s="188" t="inlineStr">
        <is>
          <t>Apellidos y Nombre</t>
        </is>
      </c>
      <c r="D10" s="103" t="inlineStr">
        <is>
          <t>UT6
(22h)</t>
        </is>
      </c>
      <c r="E10" s="103" t="inlineStr">
        <is>
          <t>UT7
(22h)</t>
        </is>
      </c>
      <c r="F10" s="103" t="inlineStr">
        <is>
          <t>UT8
(10h)</t>
        </is>
      </c>
      <c r="G10" s="102" t="inlineStr">
        <is>
          <t>RA6
(40.0%)</t>
        </is>
      </c>
      <c r="H10" s="38" t="inlineStr">
        <is>
          <t>RA7
(43.3%)</t>
        </is>
      </c>
      <c r="I10" s="234" t="inlineStr">
        <is>
          <t>🏢 RA8
(16.7%)
EMPRESA</t>
        </is>
      </c>
      <c r="J10" s="188" t="inlineStr">
        <is>
          <t>NOTA EVAL</t>
        </is>
      </c>
      <c r="K10" s="188" t="inlineStr">
        <is>
          <t>Resultado</t>
        </is>
      </c>
    </row>
    <row r="11" ht="20" customHeight="1">
      <c r="B11" s="207" t="n">
        <v>1</v>
      </c>
      <c r="C11" s="208">
        <f>IFERROR('ISO · Alumnos'!C10&amp;IF('ISO · Alumnos'!D10&lt;&gt;"",", "&amp;'ISO · Alumnos'!D10,""),"")</f>
        <v/>
      </c>
      <c r="D11" s="217"/>
      <c r="E11" s="217"/>
      <c r="F11" s="217"/>
      <c r="G11" s="235">
        <f>IFERROR('ISO · Reg. Notas'!U11,"")</f>
        <v/>
      </c>
      <c r="H11" s="228">
        <f>IFERROR('ISO · Reg. Notas'!V11,"")</f>
        <v/>
      </c>
      <c r="I11" s="236">
        <f>IFERROR('ISO · Reg. Notas'!W11,"")</f>
        <v/>
      </c>
      <c r="J11" s="220">
        <f>IFERROR(ROUND(G11*0.400000+H11*0.433333+I11*0.166667,2),"")</f>
        <v/>
      </c>
      <c r="K11" s="221">
        <f>IF(J11="","",IF(J11&gt;=5,"APTO","NO APTO"))</f>
        <v/>
      </c>
    </row>
    <row r="12" ht="20" customHeight="1">
      <c r="B12" s="207" t="n">
        <v>2</v>
      </c>
      <c r="C12" s="208">
        <f>IFERROR('ISO · Alumnos'!C11&amp;IF('ISO · Alumnos'!D11&lt;&gt;"",", "&amp;'ISO · Alumnos'!D11,""),"")</f>
        <v/>
      </c>
      <c r="D12" s="217"/>
      <c r="E12" s="217"/>
      <c r="F12" s="217"/>
      <c r="G12" s="235">
        <f>IFERROR('ISO · Reg. Notas'!U12,"")</f>
        <v/>
      </c>
      <c r="H12" s="228">
        <f>IFERROR('ISO · Reg. Notas'!V12,"")</f>
        <v/>
      </c>
      <c r="I12" s="236">
        <f>IFERROR('ISO · Reg. Notas'!W12,"")</f>
        <v/>
      </c>
      <c r="J12" s="220">
        <f>IFERROR(ROUND(G12*0.400000+H12*0.433333+I12*0.166667,2),"")</f>
        <v/>
      </c>
      <c r="K12" s="222">
        <f>IF(J12="","",IF(J12&gt;=5,"APTO","NO APTO"))</f>
        <v/>
      </c>
    </row>
    <row r="13" ht="20" customHeight="1">
      <c r="B13" s="207" t="n">
        <v>3</v>
      </c>
      <c r="C13" s="208">
        <f>IFERROR('ISO · Alumnos'!C12&amp;IF('ISO · Alumnos'!D12&lt;&gt;"",", "&amp;'ISO · Alumnos'!D12,""),"")</f>
        <v/>
      </c>
      <c r="D13" s="217"/>
      <c r="E13" s="217"/>
      <c r="F13" s="217"/>
      <c r="G13" s="235">
        <f>IFERROR('ISO · Reg. Notas'!U13,"")</f>
        <v/>
      </c>
      <c r="H13" s="228">
        <f>IFERROR('ISO · Reg. Notas'!V13,"")</f>
        <v/>
      </c>
      <c r="I13" s="236">
        <f>IFERROR('ISO · Reg. Notas'!W13,"")</f>
        <v/>
      </c>
      <c r="J13" s="220">
        <f>IFERROR(ROUND(G13*0.400000+H13*0.433333+I13*0.166667,2),"")</f>
        <v/>
      </c>
      <c r="K13" s="221">
        <f>IF(J13="","",IF(J13&gt;=5,"APTO","NO APTO"))</f>
        <v/>
      </c>
    </row>
    <row r="14" ht="20" customHeight="1">
      <c r="B14" s="207" t="n">
        <v>4</v>
      </c>
      <c r="C14" s="208">
        <f>IFERROR('ISO · Alumnos'!C13&amp;IF('ISO · Alumnos'!D13&lt;&gt;"",", "&amp;'ISO · Alumnos'!D13,""),"")</f>
        <v/>
      </c>
      <c r="D14" s="217"/>
      <c r="E14" s="217"/>
      <c r="F14" s="217"/>
      <c r="G14" s="235">
        <f>IFERROR('ISO · Reg. Notas'!U14,"")</f>
        <v/>
      </c>
      <c r="H14" s="228">
        <f>IFERROR('ISO · Reg. Notas'!V14,"")</f>
        <v/>
      </c>
      <c r="I14" s="236">
        <f>IFERROR('ISO · Reg. Notas'!W14,"")</f>
        <v/>
      </c>
      <c r="J14" s="220">
        <f>IFERROR(ROUND(G14*0.400000+H14*0.433333+I14*0.166667,2),"")</f>
        <v/>
      </c>
      <c r="K14" s="222">
        <f>IF(J14="","",IF(J14&gt;=5,"APTO","NO APTO"))</f>
        <v/>
      </c>
    </row>
    <row r="15" ht="20" customHeight="1">
      <c r="B15" s="207" t="n">
        <v>5</v>
      </c>
      <c r="C15" s="208">
        <f>IFERROR('ISO · Alumnos'!C14&amp;IF('ISO · Alumnos'!D14&lt;&gt;"",", "&amp;'ISO · Alumnos'!D14,""),"")</f>
        <v/>
      </c>
      <c r="D15" s="217"/>
      <c r="E15" s="217"/>
      <c r="F15" s="217"/>
      <c r="G15" s="235">
        <f>IFERROR('ISO · Reg. Notas'!U15,"")</f>
        <v/>
      </c>
      <c r="H15" s="228">
        <f>IFERROR('ISO · Reg. Notas'!V15,"")</f>
        <v/>
      </c>
      <c r="I15" s="236">
        <f>IFERROR('ISO · Reg. Notas'!W15,"")</f>
        <v/>
      </c>
      <c r="J15" s="220">
        <f>IFERROR(ROUND(G15*0.400000+H15*0.433333+I15*0.166667,2),"")</f>
        <v/>
      </c>
      <c r="K15" s="221">
        <f>IF(J15="","",IF(J15&gt;=5,"APTO","NO APTO"))</f>
        <v/>
      </c>
    </row>
    <row r="16" ht="20" customHeight="1">
      <c r="B16" s="207" t="n">
        <v>6</v>
      </c>
      <c r="C16" s="208">
        <f>IFERROR('ISO · Alumnos'!C15&amp;IF('ISO · Alumnos'!D15&lt;&gt;"",", "&amp;'ISO · Alumnos'!D15,""),"")</f>
        <v/>
      </c>
      <c r="D16" s="217"/>
      <c r="E16" s="217"/>
      <c r="F16" s="217"/>
      <c r="G16" s="235">
        <f>IFERROR('ISO · Reg. Notas'!U16,"")</f>
        <v/>
      </c>
      <c r="H16" s="228">
        <f>IFERROR('ISO · Reg. Notas'!V16,"")</f>
        <v/>
      </c>
      <c r="I16" s="236">
        <f>IFERROR('ISO · Reg. Notas'!W16,"")</f>
        <v/>
      </c>
      <c r="J16" s="220">
        <f>IFERROR(ROUND(G16*0.400000+H16*0.433333+I16*0.166667,2),"")</f>
        <v/>
      </c>
      <c r="K16" s="222">
        <f>IF(J16="","",IF(J16&gt;=5,"APTO","NO APTO"))</f>
        <v/>
      </c>
    </row>
    <row r="17" ht="20" customHeight="1">
      <c r="B17" s="207" t="n">
        <v>7</v>
      </c>
      <c r="C17" s="208">
        <f>IFERROR('ISO · Alumnos'!C16&amp;IF('ISO · Alumnos'!D16&lt;&gt;"",", "&amp;'ISO · Alumnos'!D16,""),"")</f>
        <v/>
      </c>
      <c r="D17" s="217"/>
      <c r="E17" s="217"/>
      <c r="F17" s="217"/>
      <c r="G17" s="235">
        <f>IFERROR('ISO · Reg. Notas'!U17,"")</f>
        <v/>
      </c>
      <c r="H17" s="228">
        <f>IFERROR('ISO · Reg. Notas'!V17,"")</f>
        <v/>
      </c>
      <c r="I17" s="236">
        <f>IFERROR('ISO · Reg. Notas'!W17,"")</f>
        <v/>
      </c>
      <c r="J17" s="220">
        <f>IFERROR(ROUND(G17*0.400000+H17*0.433333+I17*0.166667,2),"")</f>
        <v/>
      </c>
      <c r="K17" s="221">
        <f>IF(J17="","",IF(J17&gt;=5,"APTO","NO APTO"))</f>
        <v/>
      </c>
    </row>
    <row r="18" ht="20" customHeight="1">
      <c r="B18" s="207" t="n">
        <v>8</v>
      </c>
      <c r="C18" s="208">
        <f>IFERROR('ISO · Alumnos'!C17&amp;IF('ISO · Alumnos'!D17&lt;&gt;"",", "&amp;'ISO · Alumnos'!D17,""),"")</f>
        <v/>
      </c>
      <c r="D18" s="217"/>
      <c r="E18" s="217"/>
      <c r="F18" s="217"/>
      <c r="G18" s="235">
        <f>IFERROR('ISO · Reg. Notas'!U18,"")</f>
        <v/>
      </c>
      <c r="H18" s="228">
        <f>IFERROR('ISO · Reg. Notas'!V18,"")</f>
        <v/>
      </c>
      <c r="I18" s="236">
        <f>IFERROR('ISO · Reg. Notas'!W18,"")</f>
        <v/>
      </c>
      <c r="J18" s="220">
        <f>IFERROR(ROUND(G18*0.400000+H18*0.433333+I18*0.166667,2),"")</f>
        <v/>
      </c>
      <c r="K18" s="222">
        <f>IF(J18="","",IF(J18&gt;=5,"APTO","NO APTO"))</f>
        <v/>
      </c>
    </row>
    <row r="19" ht="20" customHeight="1">
      <c r="B19" s="207" t="n">
        <v>9</v>
      </c>
      <c r="C19" s="208">
        <f>IFERROR('ISO · Alumnos'!C18&amp;IF('ISO · Alumnos'!D18&lt;&gt;"",", "&amp;'ISO · Alumnos'!D18,""),"")</f>
        <v/>
      </c>
      <c r="D19" s="217"/>
      <c r="E19" s="217"/>
      <c r="F19" s="217"/>
      <c r="G19" s="235">
        <f>IFERROR('ISO · Reg. Notas'!U19,"")</f>
        <v/>
      </c>
      <c r="H19" s="228">
        <f>IFERROR('ISO · Reg. Notas'!V19,"")</f>
        <v/>
      </c>
      <c r="I19" s="236">
        <f>IFERROR('ISO · Reg. Notas'!W19,"")</f>
        <v/>
      </c>
      <c r="J19" s="220">
        <f>IFERROR(ROUND(G19*0.400000+H19*0.433333+I19*0.166667,2),"")</f>
        <v/>
      </c>
      <c r="K19" s="221">
        <f>IF(J19="","",IF(J19&gt;=5,"APTO","NO APTO"))</f>
        <v/>
      </c>
    </row>
    <row r="20" ht="20" customHeight="1">
      <c r="B20" s="207" t="n">
        <v>10</v>
      </c>
      <c r="C20" s="208">
        <f>IFERROR('ISO · Alumnos'!C19&amp;IF('ISO · Alumnos'!D19&lt;&gt;"",", "&amp;'ISO · Alumnos'!D19,""),"")</f>
        <v/>
      </c>
      <c r="D20" s="217"/>
      <c r="E20" s="217"/>
      <c r="F20" s="217"/>
      <c r="G20" s="235">
        <f>IFERROR('ISO · Reg. Notas'!U20,"")</f>
        <v/>
      </c>
      <c r="H20" s="228">
        <f>IFERROR('ISO · Reg. Notas'!V20,"")</f>
        <v/>
      </c>
      <c r="I20" s="236">
        <f>IFERROR('ISO · Reg. Notas'!W20,"")</f>
        <v/>
      </c>
      <c r="J20" s="220">
        <f>IFERROR(ROUND(G20*0.400000+H20*0.433333+I20*0.166667,2),"")</f>
        <v/>
      </c>
      <c r="K20" s="222">
        <f>IF(J20="","",IF(J20&gt;=5,"APTO","NO APTO"))</f>
        <v/>
      </c>
    </row>
    <row r="21" ht="20" customHeight="1">
      <c r="B21" s="207" t="n">
        <v>11</v>
      </c>
      <c r="C21" s="208">
        <f>IFERROR('ISO · Alumnos'!C20&amp;IF('ISO · Alumnos'!D20&lt;&gt;"",", "&amp;'ISO · Alumnos'!D20,""),"")</f>
        <v/>
      </c>
      <c r="D21" s="217"/>
      <c r="E21" s="217"/>
      <c r="F21" s="217"/>
      <c r="G21" s="235">
        <f>IFERROR('ISO · Reg. Notas'!U21,"")</f>
        <v/>
      </c>
      <c r="H21" s="228">
        <f>IFERROR('ISO · Reg. Notas'!V21,"")</f>
        <v/>
      </c>
      <c r="I21" s="236">
        <f>IFERROR('ISO · Reg. Notas'!W21,"")</f>
        <v/>
      </c>
      <c r="J21" s="220">
        <f>IFERROR(ROUND(G21*0.400000+H21*0.433333+I21*0.166667,2),"")</f>
        <v/>
      </c>
      <c r="K21" s="221">
        <f>IF(J21="","",IF(J21&gt;=5,"APTO","NO APTO"))</f>
        <v/>
      </c>
    </row>
    <row r="22" ht="20" customHeight="1">
      <c r="B22" s="207" t="n">
        <v>12</v>
      </c>
      <c r="C22" s="208">
        <f>IFERROR('ISO · Alumnos'!C21&amp;IF('ISO · Alumnos'!D21&lt;&gt;"",", "&amp;'ISO · Alumnos'!D21,""),"")</f>
        <v/>
      </c>
      <c r="D22" s="217"/>
      <c r="E22" s="217"/>
      <c r="F22" s="217"/>
      <c r="G22" s="235">
        <f>IFERROR('ISO · Reg. Notas'!U22,"")</f>
        <v/>
      </c>
      <c r="H22" s="228">
        <f>IFERROR('ISO · Reg. Notas'!V22,"")</f>
        <v/>
      </c>
      <c r="I22" s="236">
        <f>IFERROR('ISO · Reg. Notas'!W22,"")</f>
        <v/>
      </c>
      <c r="J22" s="220">
        <f>IFERROR(ROUND(G22*0.400000+H22*0.433333+I22*0.166667,2),"")</f>
        <v/>
      </c>
      <c r="K22" s="222">
        <f>IF(J22="","",IF(J22&gt;=5,"APTO","NO APTO"))</f>
        <v/>
      </c>
    </row>
    <row r="23" ht="20" customHeight="1">
      <c r="B23" s="207" t="n">
        <v>13</v>
      </c>
      <c r="C23" s="208">
        <f>IFERROR('ISO · Alumnos'!C22&amp;IF('ISO · Alumnos'!D22&lt;&gt;"",", "&amp;'ISO · Alumnos'!D22,""),"")</f>
        <v/>
      </c>
      <c r="D23" s="217"/>
      <c r="E23" s="217"/>
      <c r="F23" s="217"/>
      <c r="G23" s="235">
        <f>IFERROR('ISO · Reg. Notas'!U23,"")</f>
        <v/>
      </c>
      <c r="H23" s="228">
        <f>IFERROR('ISO · Reg. Notas'!V23,"")</f>
        <v/>
      </c>
      <c r="I23" s="236">
        <f>IFERROR('ISO · Reg. Notas'!W23,"")</f>
        <v/>
      </c>
      <c r="J23" s="220">
        <f>IFERROR(ROUND(G23*0.400000+H23*0.433333+I23*0.166667,2),"")</f>
        <v/>
      </c>
      <c r="K23" s="221">
        <f>IF(J23="","",IF(J23&gt;=5,"APTO","NO APTO"))</f>
        <v/>
      </c>
    </row>
    <row r="24" ht="20" customHeight="1">
      <c r="B24" s="207" t="n">
        <v>14</v>
      </c>
      <c r="C24" s="208">
        <f>IFERROR('ISO · Alumnos'!C23&amp;IF('ISO · Alumnos'!D23&lt;&gt;"",", "&amp;'ISO · Alumnos'!D23,""),"")</f>
        <v/>
      </c>
      <c r="D24" s="217"/>
      <c r="E24" s="217"/>
      <c r="F24" s="217"/>
      <c r="G24" s="235">
        <f>IFERROR('ISO · Reg. Notas'!U24,"")</f>
        <v/>
      </c>
      <c r="H24" s="228">
        <f>IFERROR('ISO · Reg. Notas'!V24,"")</f>
        <v/>
      </c>
      <c r="I24" s="236">
        <f>IFERROR('ISO · Reg. Notas'!W24,"")</f>
        <v/>
      </c>
      <c r="J24" s="220">
        <f>IFERROR(ROUND(G24*0.400000+H24*0.433333+I24*0.166667,2),"")</f>
        <v/>
      </c>
      <c r="K24" s="222">
        <f>IF(J24="","",IF(J24&gt;=5,"APTO","NO APTO"))</f>
        <v/>
      </c>
    </row>
    <row r="25" ht="20" customHeight="1">
      <c r="B25" s="207" t="n">
        <v>15</v>
      </c>
      <c r="C25" s="208">
        <f>IFERROR('ISO · Alumnos'!C24&amp;IF('ISO · Alumnos'!D24&lt;&gt;"",", "&amp;'ISO · Alumnos'!D24,""),"")</f>
        <v/>
      </c>
      <c r="D25" s="217"/>
      <c r="E25" s="217"/>
      <c r="F25" s="217"/>
      <c r="G25" s="235">
        <f>IFERROR('ISO · Reg. Notas'!U25,"")</f>
        <v/>
      </c>
      <c r="H25" s="228">
        <f>IFERROR('ISO · Reg. Notas'!V25,"")</f>
        <v/>
      </c>
      <c r="I25" s="236">
        <f>IFERROR('ISO · Reg. Notas'!W25,"")</f>
        <v/>
      </c>
      <c r="J25" s="220">
        <f>IFERROR(ROUND(G25*0.400000+H25*0.433333+I25*0.166667,2),"")</f>
        <v/>
      </c>
      <c r="K25" s="221">
        <f>IF(J25="","",IF(J25&gt;=5,"APTO","NO APTO"))</f>
        <v/>
      </c>
    </row>
    <row r="26" ht="20" customHeight="1">
      <c r="B26" s="207" t="n">
        <v>16</v>
      </c>
      <c r="C26" s="208">
        <f>IFERROR('ISO · Alumnos'!C25&amp;IF('ISO · Alumnos'!D25&lt;&gt;"",", "&amp;'ISO · Alumnos'!D25,""),"")</f>
        <v/>
      </c>
      <c r="D26" s="217"/>
      <c r="E26" s="217"/>
      <c r="F26" s="217"/>
      <c r="G26" s="235">
        <f>IFERROR('ISO · Reg. Notas'!U26,"")</f>
        <v/>
      </c>
      <c r="H26" s="228">
        <f>IFERROR('ISO · Reg. Notas'!V26,"")</f>
        <v/>
      </c>
      <c r="I26" s="236">
        <f>IFERROR('ISO · Reg. Notas'!W26,"")</f>
        <v/>
      </c>
      <c r="J26" s="220">
        <f>IFERROR(ROUND(G26*0.400000+H26*0.433333+I26*0.166667,2),"")</f>
        <v/>
      </c>
      <c r="K26" s="222">
        <f>IF(J26="","",IF(J26&gt;=5,"APTO","NO APTO"))</f>
        <v/>
      </c>
    </row>
    <row r="27" ht="20" customHeight="1">
      <c r="B27" s="207" t="n">
        <v>17</v>
      </c>
      <c r="C27" s="208">
        <f>IFERROR('ISO · Alumnos'!C26&amp;IF('ISO · Alumnos'!D26&lt;&gt;"",", "&amp;'ISO · Alumnos'!D26,""),"")</f>
        <v/>
      </c>
      <c r="D27" s="217"/>
      <c r="E27" s="217"/>
      <c r="F27" s="217"/>
      <c r="G27" s="235">
        <f>IFERROR('ISO · Reg. Notas'!U27,"")</f>
        <v/>
      </c>
      <c r="H27" s="228">
        <f>IFERROR('ISO · Reg. Notas'!V27,"")</f>
        <v/>
      </c>
      <c r="I27" s="236">
        <f>IFERROR('ISO · Reg. Notas'!W27,"")</f>
        <v/>
      </c>
      <c r="J27" s="220">
        <f>IFERROR(ROUND(G27*0.400000+H27*0.433333+I27*0.166667,2),"")</f>
        <v/>
      </c>
      <c r="K27" s="221">
        <f>IF(J27="","",IF(J27&gt;=5,"APTO","NO APTO"))</f>
        <v/>
      </c>
    </row>
    <row r="28" ht="20" customHeight="1">
      <c r="B28" s="207" t="n">
        <v>18</v>
      </c>
      <c r="C28" s="208">
        <f>IFERROR('ISO · Alumnos'!C27&amp;IF('ISO · Alumnos'!D27&lt;&gt;"",", "&amp;'ISO · Alumnos'!D27,""),"")</f>
        <v/>
      </c>
      <c r="D28" s="217"/>
      <c r="E28" s="217"/>
      <c r="F28" s="217"/>
      <c r="G28" s="235">
        <f>IFERROR('ISO · Reg. Notas'!U28,"")</f>
        <v/>
      </c>
      <c r="H28" s="228">
        <f>IFERROR('ISO · Reg. Notas'!V28,"")</f>
        <v/>
      </c>
      <c r="I28" s="236">
        <f>IFERROR('ISO · Reg. Notas'!W28,"")</f>
        <v/>
      </c>
      <c r="J28" s="220">
        <f>IFERROR(ROUND(G28*0.400000+H28*0.433333+I28*0.166667,2),"")</f>
        <v/>
      </c>
      <c r="K28" s="222">
        <f>IF(J28="","",IF(J28&gt;=5,"APTO","NO APTO"))</f>
        <v/>
      </c>
    </row>
    <row r="29" ht="20" customHeight="1">
      <c r="B29" s="207" t="n">
        <v>19</v>
      </c>
      <c r="C29" s="208">
        <f>IFERROR('ISO · Alumnos'!C28&amp;IF('ISO · Alumnos'!D28&lt;&gt;"",", "&amp;'ISO · Alumnos'!D28,""),"")</f>
        <v/>
      </c>
      <c r="D29" s="217"/>
      <c r="E29" s="217"/>
      <c r="F29" s="217"/>
      <c r="G29" s="235">
        <f>IFERROR('ISO · Reg. Notas'!U29,"")</f>
        <v/>
      </c>
      <c r="H29" s="228">
        <f>IFERROR('ISO · Reg. Notas'!V29,"")</f>
        <v/>
      </c>
      <c r="I29" s="236">
        <f>IFERROR('ISO · Reg. Notas'!W29,"")</f>
        <v/>
      </c>
      <c r="J29" s="220">
        <f>IFERROR(ROUND(G29*0.400000+H29*0.433333+I29*0.166667,2),"")</f>
        <v/>
      </c>
      <c r="K29" s="221">
        <f>IF(J29="","",IF(J29&gt;=5,"APTO","NO APTO"))</f>
        <v/>
      </c>
    </row>
    <row r="30" ht="20" customHeight="1">
      <c r="B30" s="207" t="n">
        <v>20</v>
      </c>
      <c r="C30" s="208">
        <f>IFERROR('ISO · Alumnos'!C29&amp;IF('ISO · Alumnos'!D29&lt;&gt;"",", "&amp;'ISO · Alumnos'!D29,""),"")</f>
        <v/>
      </c>
      <c r="D30" s="217"/>
      <c r="E30" s="217"/>
      <c r="F30" s="217"/>
      <c r="G30" s="235">
        <f>IFERROR('ISO · Reg. Notas'!U30,"")</f>
        <v/>
      </c>
      <c r="H30" s="228">
        <f>IFERROR('ISO · Reg. Notas'!V30,"")</f>
        <v/>
      </c>
      <c r="I30" s="236">
        <f>IFERROR('ISO · Reg. Notas'!W30,"")</f>
        <v/>
      </c>
      <c r="J30" s="220">
        <f>IFERROR(ROUND(G30*0.400000+H30*0.433333+I30*0.166667,2),"")</f>
        <v/>
      </c>
      <c r="K30" s="222">
        <f>IF(J30="","",IF(J30&gt;=5,"APTO","NO APTO"))</f>
        <v/>
      </c>
    </row>
    <row r="31" ht="20" customHeight="1">
      <c r="B31" s="207" t="n">
        <v>21</v>
      </c>
      <c r="C31" s="208">
        <f>IFERROR('ISO · Alumnos'!C30&amp;IF('ISO · Alumnos'!D30&lt;&gt;"",", "&amp;'ISO · Alumnos'!D30,""),"")</f>
        <v/>
      </c>
      <c r="D31" s="217"/>
      <c r="E31" s="217"/>
      <c r="F31" s="217"/>
      <c r="G31" s="235">
        <f>IFERROR('ISO · Reg. Notas'!U31,"")</f>
        <v/>
      </c>
      <c r="H31" s="228">
        <f>IFERROR('ISO · Reg. Notas'!V31,"")</f>
        <v/>
      </c>
      <c r="I31" s="236">
        <f>IFERROR('ISO · Reg. Notas'!W31,"")</f>
        <v/>
      </c>
      <c r="J31" s="220">
        <f>IFERROR(ROUND(G31*0.400000+H31*0.433333+I31*0.166667,2),"")</f>
        <v/>
      </c>
      <c r="K31" s="221">
        <f>IF(J31="","",IF(J31&gt;=5,"APTO","NO APTO"))</f>
        <v/>
      </c>
    </row>
    <row r="32" ht="20" customHeight="1">
      <c r="B32" s="207" t="n">
        <v>22</v>
      </c>
      <c r="C32" s="208">
        <f>IFERROR('ISO · Alumnos'!C31&amp;IF('ISO · Alumnos'!D31&lt;&gt;"",", "&amp;'ISO · Alumnos'!D31,""),"")</f>
        <v/>
      </c>
      <c r="D32" s="217"/>
      <c r="E32" s="217"/>
      <c r="F32" s="217"/>
      <c r="G32" s="235">
        <f>IFERROR('ISO · Reg. Notas'!U32,"")</f>
        <v/>
      </c>
      <c r="H32" s="228">
        <f>IFERROR('ISO · Reg. Notas'!V32,"")</f>
        <v/>
      </c>
      <c r="I32" s="236">
        <f>IFERROR('ISO · Reg. Notas'!W32,"")</f>
        <v/>
      </c>
      <c r="J32" s="220">
        <f>IFERROR(ROUND(G32*0.400000+H32*0.433333+I32*0.166667,2),"")</f>
        <v/>
      </c>
      <c r="K32" s="222">
        <f>IF(J32="","",IF(J32&gt;=5,"APTO","NO APTO"))</f>
        <v/>
      </c>
    </row>
    <row r="33" ht="20" customHeight="1">
      <c r="B33" s="207" t="n">
        <v>23</v>
      </c>
      <c r="C33" s="208">
        <f>IFERROR('ISO · Alumnos'!C32&amp;IF('ISO · Alumnos'!D32&lt;&gt;"",", "&amp;'ISO · Alumnos'!D32,""),"")</f>
        <v/>
      </c>
      <c r="D33" s="217"/>
      <c r="E33" s="217"/>
      <c r="F33" s="217"/>
      <c r="G33" s="235">
        <f>IFERROR('ISO · Reg. Notas'!U33,"")</f>
        <v/>
      </c>
      <c r="H33" s="228">
        <f>IFERROR('ISO · Reg. Notas'!V33,"")</f>
        <v/>
      </c>
      <c r="I33" s="236">
        <f>IFERROR('ISO · Reg. Notas'!W33,"")</f>
        <v/>
      </c>
      <c r="J33" s="220">
        <f>IFERROR(ROUND(G33*0.400000+H33*0.433333+I33*0.166667,2),"")</f>
        <v/>
      </c>
      <c r="K33" s="221">
        <f>IF(J33="","",IF(J33&gt;=5,"APTO","NO APTO"))</f>
        <v/>
      </c>
    </row>
    <row r="34" ht="20" customHeight="1">
      <c r="B34" s="207" t="n">
        <v>24</v>
      </c>
      <c r="C34" s="208">
        <f>IFERROR('ISO · Alumnos'!C33&amp;IF('ISO · Alumnos'!D33&lt;&gt;"",", "&amp;'ISO · Alumnos'!D33,""),"")</f>
        <v/>
      </c>
      <c r="D34" s="217"/>
      <c r="E34" s="217"/>
      <c r="F34" s="217"/>
      <c r="G34" s="235">
        <f>IFERROR('ISO · Reg. Notas'!U34,"")</f>
        <v/>
      </c>
      <c r="H34" s="228">
        <f>IFERROR('ISO · Reg. Notas'!V34,"")</f>
        <v/>
      </c>
      <c r="I34" s="236">
        <f>IFERROR('ISO · Reg. Notas'!W34,"")</f>
        <v/>
      </c>
      <c r="J34" s="220">
        <f>IFERROR(ROUND(G34*0.400000+H34*0.433333+I34*0.166667,2),"")</f>
        <v/>
      </c>
      <c r="K34" s="222">
        <f>IF(J34="","",IF(J34&gt;=5,"APTO","NO APTO"))</f>
        <v/>
      </c>
    </row>
    <row r="35" ht="20" customHeight="1">
      <c r="B35" s="207" t="n">
        <v>25</v>
      </c>
      <c r="C35" s="208">
        <f>IFERROR('ISO · Alumnos'!C34&amp;IF('ISO · Alumnos'!D34&lt;&gt;"",", "&amp;'ISO · Alumnos'!D34,""),"")</f>
        <v/>
      </c>
      <c r="D35" s="217"/>
      <c r="E35" s="217"/>
      <c r="F35" s="217"/>
      <c r="G35" s="235">
        <f>IFERROR('ISO · Reg. Notas'!U35,"")</f>
        <v/>
      </c>
      <c r="H35" s="228">
        <f>IFERROR('ISO · Reg. Notas'!V35,"")</f>
        <v/>
      </c>
      <c r="I35" s="236">
        <f>IFERROR('ISO · Reg. Notas'!W35,"")</f>
        <v/>
      </c>
      <c r="J35" s="220">
        <f>IFERROR(ROUND(G35*0.400000+H35*0.433333+I35*0.166667,2),"")</f>
        <v/>
      </c>
      <c r="K35" s="221">
        <f>IF(J35="","",IF(J35&gt;=5,"APTO","NO APTO"))</f>
        <v/>
      </c>
    </row>
    <row r="36" ht="20" customHeight="1">
      <c r="B36" s="207" t="n">
        <v>26</v>
      </c>
      <c r="C36" s="208">
        <f>IFERROR('ISO · Alumnos'!C35&amp;IF('ISO · Alumnos'!D35&lt;&gt;"",", "&amp;'ISO · Alumnos'!D35,""),"")</f>
        <v/>
      </c>
      <c r="D36" s="217"/>
      <c r="E36" s="217"/>
      <c r="F36" s="217"/>
      <c r="G36" s="235">
        <f>IFERROR('ISO · Reg. Notas'!U36,"")</f>
        <v/>
      </c>
      <c r="H36" s="228">
        <f>IFERROR('ISO · Reg. Notas'!V36,"")</f>
        <v/>
      </c>
      <c r="I36" s="236">
        <f>IFERROR('ISO · Reg. Notas'!W36,"")</f>
        <v/>
      </c>
      <c r="J36" s="220">
        <f>IFERROR(ROUND(G36*0.400000+H36*0.433333+I36*0.166667,2),"")</f>
        <v/>
      </c>
      <c r="K36" s="222">
        <f>IF(J36="","",IF(J36&gt;=5,"APTO","NO APTO"))</f>
        <v/>
      </c>
    </row>
    <row r="37" ht="20" customHeight="1">
      <c r="B37" s="207" t="n">
        <v>27</v>
      </c>
      <c r="C37" s="208">
        <f>IFERROR('ISO · Alumnos'!C36&amp;IF('ISO · Alumnos'!D36&lt;&gt;"",", "&amp;'ISO · Alumnos'!D36,""),"")</f>
        <v/>
      </c>
      <c r="D37" s="217"/>
      <c r="E37" s="217"/>
      <c r="F37" s="217"/>
      <c r="G37" s="235">
        <f>IFERROR('ISO · Reg. Notas'!U37,"")</f>
        <v/>
      </c>
      <c r="H37" s="228">
        <f>IFERROR('ISO · Reg. Notas'!V37,"")</f>
        <v/>
      </c>
      <c r="I37" s="236">
        <f>IFERROR('ISO · Reg. Notas'!W37,"")</f>
        <v/>
      </c>
      <c r="J37" s="220">
        <f>IFERROR(ROUND(G37*0.400000+H37*0.433333+I37*0.166667,2),"")</f>
        <v/>
      </c>
      <c r="K37" s="221">
        <f>IF(J37="","",IF(J37&gt;=5,"APTO","NO APTO"))</f>
        <v/>
      </c>
    </row>
    <row r="38" ht="20" customHeight="1">
      <c r="B38" s="207" t="n">
        <v>28</v>
      </c>
      <c r="C38" s="208">
        <f>IFERROR('ISO · Alumnos'!C37&amp;IF('ISO · Alumnos'!D37&lt;&gt;"",", "&amp;'ISO · Alumnos'!D37,""),"")</f>
        <v/>
      </c>
      <c r="D38" s="217"/>
      <c r="E38" s="217"/>
      <c r="F38" s="217"/>
      <c r="G38" s="235">
        <f>IFERROR('ISO · Reg. Notas'!U38,"")</f>
        <v/>
      </c>
      <c r="H38" s="228">
        <f>IFERROR('ISO · Reg. Notas'!V38,"")</f>
        <v/>
      </c>
      <c r="I38" s="236">
        <f>IFERROR('ISO · Reg. Notas'!W38,"")</f>
        <v/>
      </c>
      <c r="J38" s="220">
        <f>IFERROR(ROUND(G38*0.400000+H38*0.433333+I38*0.166667,2),"")</f>
        <v/>
      </c>
      <c r="K38" s="222">
        <f>IF(J38="","",IF(J38&gt;=5,"APTO","NO APTO"))</f>
        <v/>
      </c>
    </row>
    <row r="39" ht="20" customHeight="1">
      <c r="B39" s="207" t="n">
        <v>29</v>
      </c>
      <c r="C39" s="208">
        <f>IFERROR('ISO · Alumnos'!C38&amp;IF('ISO · Alumnos'!D38&lt;&gt;"",", "&amp;'ISO · Alumnos'!D38,""),"")</f>
        <v/>
      </c>
      <c r="D39" s="217"/>
      <c r="E39" s="217"/>
      <c r="F39" s="217"/>
      <c r="G39" s="235">
        <f>IFERROR('ISO · Reg. Notas'!U39,"")</f>
        <v/>
      </c>
      <c r="H39" s="228">
        <f>IFERROR('ISO · Reg. Notas'!V39,"")</f>
        <v/>
      </c>
      <c r="I39" s="236">
        <f>IFERROR('ISO · Reg. Notas'!W39,"")</f>
        <v/>
      </c>
      <c r="J39" s="220">
        <f>IFERROR(ROUND(G39*0.400000+H39*0.433333+I39*0.166667,2),"")</f>
        <v/>
      </c>
      <c r="K39" s="221">
        <f>IF(J39="","",IF(J39&gt;=5,"APTO","NO APTO"))</f>
        <v/>
      </c>
    </row>
    <row r="40" ht="20" customHeight="1">
      <c r="B40" s="207" t="n">
        <v>30</v>
      </c>
      <c r="C40" s="208">
        <f>IFERROR('ISO · Alumnos'!C39&amp;IF('ISO · Alumnos'!D39&lt;&gt;"",", "&amp;'ISO · Alumnos'!D39,""),"")</f>
        <v/>
      </c>
      <c r="D40" s="217"/>
      <c r="E40" s="217"/>
      <c r="F40" s="217"/>
      <c r="G40" s="235">
        <f>IFERROR('ISO · Reg. Notas'!U40,"")</f>
        <v/>
      </c>
      <c r="H40" s="228">
        <f>IFERROR('ISO · Reg. Notas'!V40,"")</f>
        <v/>
      </c>
      <c r="I40" s="236">
        <f>IFERROR('ISO · Reg. Notas'!W40,"")</f>
        <v/>
      </c>
      <c r="J40" s="220">
        <f>IFERROR(ROUND(G40*0.400000+H40*0.433333+I40*0.166667,2),"")</f>
        <v/>
      </c>
      <c r="K40" s="222">
        <f>IF(J40="","",IF(J40&gt;=5,"APTO","NO APTO"))</f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20" customWidth="1" min="14" max="14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🎓 Calificación Final — 1ª Convocatoria Ordinaria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Nota final ponderada por Resultados de Aprendizaje · ISO 1º ASIR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6">
        <f>HYPERLINK("#ISO · Actividades!A1","📝 Actividades")</f>
        <v/>
      </c>
      <c r="F5" s="6">
        <f>HYPERLINK("#ISO · Reg. Notas!A1","📊 Reg. Notas")</f>
        <v/>
      </c>
      <c r="G5" s="6">
        <f>HYPERLINK("#ISO · Resumen!A1","📈 Resumen")</f>
        <v/>
      </c>
      <c r="H5" s="6">
        <f>HYPERLINK("#ISO · Evaluación 1!A1","Eval 1")</f>
        <v/>
      </c>
      <c r="I5" s="6">
        <f>HYPERLINK("#ISO · Evaluación 2!A1","Eval 2")</f>
        <v/>
      </c>
      <c r="J5" s="6">
        <f>HYPERLINK("#ISO · Evaluación 3!A1","Eval 3")</f>
        <v/>
      </c>
      <c r="K5" s="5" t="inlineStr">
        <is>
          <t>1ª ORD</t>
        </is>
      </c>
      <c r="L5" s="6">
        <f>HYPERLINK("#ISO · 2ªORD!A1","2ª ORD")</f>
        <v/>
      </c>
      <c r="M5" s="6">
        <f>HYPERLINK("#ISO · Rúbricas!A1","🎯 Rúbricas")</f>
        <v/>
      </c>
      <c r="N5" s="6">
        <f>HYPERLINK("#ISO · Informe Grupo!A1","📊 Inf.Grupo")</f>
        <v/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B8" s="237" t="inlineStr">
        <is>
          <t>Evaluación:</t>
        </is>
      </c>
      <c r="D8" s="238" t="inlineStr">
        <is>
          <t>EV1</t>
        </is>
      </c>
      <c r="E8" s="238" t="inlineStr">
        <is>
          <t>EV1</t>
        </is>
      </c>
      <c r="F8" s="205" t="inlineStr">
        <is>
          <t>EV2</t>
        </is>
      </c>
      <c r="G8" s="205" t="inlineStr">
        <is>
          <t>EV2</t>
        </is>
      </c>
      <c r="H8" s="205" t="inlineStr">
        <is>
          <t>EV2</t>
        </is>
      </c>
      <c r="I8" s="239" t="inlineStr">
        <is>
          <t>EV3</t>
        </is>
      </c>
      <c r="J8" s="239" t="inlineStr">
        <is>
          <t>EV3</t>
        </is>
      </c>
      <c r="K8" s="239" t="inlineStr">
        <is>
          <t>EV3</t>
        </is>
      </c>
    </row>
    <row r="9" ht="14" customHeight="1">
      <c r="B9" s="240" t="inlineStr">
        <is>
          <t>Ponderación:</t>
        </is>
      </c>
      <c r="D9" s="241" t="inlineStr">
        <is>
          <t>13%</t>
        </is>
      </c>
      <c r="E9" s="242" t="inlineStr">
        <is>
          <t>19%</t>
        </is>
      </c>
      <c r="F9" s="243" t="inlineStr">
        <is>
          <t>9%</t>
        </is>
      </c>
      <c r="G9" s="244" t="inlineStr">
        <is>
          <t>16%</t>
        </is>
      </c>
      <c r="H9" s="245" t="inlineStr">
        <is>
          <t>13%</t>
        </is>
      </c>
      <c r="I9" s="246" t="inlineStr">
        <is>
          <t>12%</t>
        </is>
      </c>
      <c r="J9" s="247" t="inlineStr">
        <is>
          <t>13%</t>
        </is>
      </c>
      <c r="K9" s="248" t="inlineStr">
        <is>
          <t>5%</t>
        </is>
      </c>
      <c r="L9" s="231" t="inlineStr">
        <is>
          <t>≥5 → APTO</t>
        </is>
      </c>
    </row>
    <row r="10" ht="36" customHeight="1">
      <c r="B10" s="188" t="inlineStr">
        <is>
          <t>Nº</t>
        </is>
      </c>
      <c r="C10" s="188" t="inlineStr">
        <is>
          <t>Apellidos y Nombre</t>
        </is>
      </c>
      <c r="D10" s="216" t="inlineStr">
        <is>
          <t>RA1
(13%)</t>
        </is>
      </c>
      <c r="E10" s="103" t="inlineStr">
        <is>
          <t>RA2
(19%)</t>
        </is>
      </c>
      <c r="F10" s="226" t="inlineStr">
        <is>
          <t>RA3
(9%)</t>
        </is>
      </c>
      <c r="G10" s="227" t="inlineStr">
        <is>
          <t>RA4
(16%)</t>
        </is>
      </c>
      <c r="H10" s="206" t="inlineStr">
        <is>
          <t>RA5
(13%)</t>
        </is>
      </c>
      <c r="I10" s="102" t="inlineStr">
        <is>
          <t>RA6
(12%)</t>
        </is>
      </c>
      <c r="J10" s="38" t="inlineStr">
        <is>
          <t>RA7
(13%)</t>
        </is>
      </c>
      <c r="K10" s="234" t="inlineStr">
        <is>
          <t>🏢 RA8
(5%)
EMPRESA</t>
        </is>
      </c>
      <c r="L10" s="188" t="inlineStr">
        <is>
          <t>Nota Final</t>
        </is>
      </c>
      <c r="M10" s="188" t="inlineStr">
        <is>
          <t>Resultado</t>
        </is>
      </c>
      <c r="N10" s="188" t="inlineStr">
        <is>
          <t>Observaciones</t>
        </is>
      </c>
    </row>
    <row r="11" ht="20" customHeight="1">
      <c r="B11" s="184" t="n">
        <v>1</v>
      </c>
      <c r="C11" s="208">
        <f>IFERROR('ISO · Alumnos'!C10&amp;IF('ISO · Alumnos'!D10&lt;&gt;"",", "&amp;'ISO · Alumnos'!D10,""),"")</f>
        <v/>
      </c>
      <c r="D11" s="218">
        <f>IFERROR('ISO · Reg. Notas'!P11,"")</f>
        <v/>
      </c>
      <c r="E11" s="219">
        <f>IFERROR('ISO · Reg. Notas'!Q11,"")</f>
        <v/>
      </c>
      <c r="F11" s="228">
        <f>IFERROR('ISO · Reg. Notas'!R11,"")</f>
        <v/>
      </c>
      <c r="G11" s="229">
        <f>IFERROR('ISO · Reg. Notas'!S11,"")</f>
        <v/>
      </c>
      <c r="H11" s="230">
        <f>IFERROR('ISO · Reg. Notas'!T11,"")</f>
        <v/>
      </c>
      <c r="I11" s="235">
        <f>IFERROR('ISO · Reg. Notas'!U11,"")</f>
        <v/>
      </c>
      <c r="J11" s="228">
        <f>IFERROR('ISO · Reg. Notas'!V11,"")</f>
        <v/>
      </c>
      <c r="K11" s="236">
        <f>IFERROR('ISO · Reg. Notas'!W11,"")</f>
        <v/>
      </c>
      <c r="L11" s="249">
        <f>IFERROR(ROUND(D11*0.13+E11*0.19+F11*0.09+G11*0.16+H11*0.13+I11*0.12+J11*0.13+K11*0.05,2),"")</f>
        <v/>
      </c>
      <c r="M11" s="250">
        <f>IF(L11="","",IF(L11&gt;=5,"APTO","NO APTO"))</f>
        <v/>
      </c>
      <c r="N11" s="79"/>
    </row>
    <row r="12" ht="20" customHeight="1">
      <c r="B12" s="184" t="n">
        <v>2</v>
      </c>
      <c r="C12" s="208">
        <f>IFERROR('ISO · Alumnos'!C11&amp;IF('ISO · Alumnos'!D11&lt;&gt;"",", "&amp;'ISO · Alumnos'!D11,""),"")</f>
        <v/>
      </c>
      <c r="D12" s="218">
        <f>IFERROR('ISO · Reg. Notas'!P12,"")</f>
        <v/>
      </c>
      <c r="E12" s="219">
        <f>IFERROR('ISO · Reg. Notas'!Q12,"")</f>
        <v/>
      </c>
      <c r="F12" s="228">
        <f>IFERROR('ISO · Reg. Notas'!R12,"")</f>
        <v/>
      </c>
      <c r="G12" s="229">
        <f>IFERROR('ISO · Reg. Notas'!S12,"")</f>
        <v/>
      </c>
      <c r="H12" s="230">
        <f>IFERROR('ISO · Reg. Notas'!T12,"")</f>
        <v/>
      </c>
      <c r="I12" s="235">
        <f>IFERROR('ISO · Reg. Notas'!U12,"")</f>
        <v/>
      </c>
      <c r="J12" s="228">
        <f>IFERROR('ISO · Reg. Notas'!V12,"")</f>
        <v/>
      </c>
      <c r="K12" s="236">
        <f>IFERROR('ISO · Reg. Notas'!W12,"")</f>
        <v/>
      </c>
      <c r="L12" s="249">
        <f>IFERROR(ROUND(D12*0.13+E12*0.19+F12*0.09+G12*0.16+H12*0.13+I12*0.12+J12*0.13+K12*0.05,2),"")</f>
        <v/>
      </c>
      <c r="M12" s="251">
        <f>IF(L12="","",IF(L12&gt;=5,"APTO","NO APTO"))</f>
        <v/>
      </c>
      <c r="N12" s="78"/>
    </row>
    <row r="13" ht="20" customHeight="1">
      <c r="B13" s="184" t="n">
        <v>3</v>
      </c>
      <c r="C13" s="208">
        <f>IFERROR('ISO · Alumnos'!C12&amp;IF('ISO · Alumnos'!D12&lt;&gt;"",", "&amp;'ISO · Alumnos'!D12,""),"")</f>
        <v/>
      </c>
      <c r="D13" s="218">
        <f>IFERROR('ISO · Reg. Notas'!P13,"")</f>
        <v/>
      </c>
      <c r="E13" s="219">
        <f>IFERROR('ISO · Reg. Notas'!Q13,"")</f>
        <v/>
      </c>
      <c r="F13" s="228">
        <f>IFERROR('ISO · Reg. Notas'!R13,"")</f>
        <v/>
      </c>
      <c r="G13" s="229">
        <f>IFERROR('ISO · Reg. Notas'!S13,"")</f>
        <v/>
      </c>
      <c r="H13" s="230">
        <f>IFERROR('ISO · Reg. Notas'!T13,"")</f>
        <v/>
      </c>
      <c r="I13" s="235">
        <f>IFERROR('ISO · Reg. Notas'!U13,"")</f>
        <v/>
      </c>
      <c r="J13" s="228">
        <f>IFERROR('ISO · Reg. Notas'!V13,"")</f>
        <v/>
      </c>
      <c r="K13" s="236">
        <f>IFERROR('ISO · Reg. Notas'!W13,"")</f>
        <v/>
      </c>
      <c r="L13" s="249">
        <f>IFERROR(ROUND(D13*0.13+E13*0.19+F13*0.09+G13*0.16+H13*0.13+I13*0.12+J13*0.13+K13*0.05,2),"")</f>
        <v/>
      </c>
      <c r="M13" s="250">
        <f>IF(L13="","",IF(L13&gt;=5,"APTO","NO APTO"))</f>
        <v/>
      </c>
      <c r="N13" s="79"/>
    </row>
    <row r="14" ht="20" customHeight="1">
      <c r="B14" s="184" t="n">
        <v>4</v>
      </c>
      <c r="C14" s="208">
        <f>IFERROR('ISO · Alumnos'!C13&amp;IF('ISO · Alumnos'!D13&lt;&gt;"",", "&amp;'ISO · Alumnos'!D13,""),"")</f>
        <v/>
      </c>
      <c r="D14" s="218">
        <f>IFERROR('ISO · Reg. Notas'!P14,"")</f>
        <v/>
      </c>
      <c r="E14" s="219">
        <f>IFERROR('ISO · Reg. Notas'!Q14,"")</f>
        <v/>
      </c>
      <c r="F14" s="228">
        <f>IFERROR('ISO · Reg. Notas'!R14,"")</f>
        <v/>
      </c>
      <c r="G14" s="229">
        <f>IFERROR('ISO · Reg. Notas'!S14,"")</f>
        <v/>
      </c>
      <c r="H14" s="230">
        <f>IFERROR('ISO · Reg. Notas'!T14,"")</f>
        <v/>
      </c>
      <c r="I14" s="235">
        <f>IFERROR('ISO · Reg. Notas'!U14,"")</f>
        <v/>
      </c>
      <c r="J14" s="228">
        <f>IFERROR('ISO · Reg. Notas'!V14,"")</f>
        <v/>
      </c>
      <c r="K14" s="236">
        <f>IFERROR('ISO · Reg. Notas'!W14,"")</f>
        <v/>
      </c>
      <c r="L14" s="249">
        <f>IFERROR(ROUND(D14*0.13+E14*0.19+F14*0.09+G14*0.16+H14*0.13+I14*0.12+J14*0.13+K14*0.05,2),"")</f>
        <v/>
      </c>
      <c r="M14" s="251">
        <f>IF(L14="","",IF(L14&gt;=5,"APTO","NO APTO"))</f>
        <v/>
      </c>
      <c r="N14" s="78"/>
    </row>
    <row r="15" ht="20" customHeight="1">
      <c r="B15" s="184" t="n">
        <v>5</v>
      </c>
      <c r="C15" s="208">
        <f>IFERROR('ISO · Alumnos'!C14&amp;IF('ISO · Alumnos'!D14&lt;&gt;"",", "&amp;'ISO · Alumnos'!D14,""),"")</f>
        <v/>
      </c>
      <c r="D15" s="218">
        <f>IFERROR('ISO · Reg. Notas'!P15,"")</f>
        <v/>
      </c>
      <c r="E15" s="219">
        <f>IFERROR('ISO · Reg. Notas'!Q15,"")</f>
        <v/>
      </c>
      <c r="F15" s="228">
        <f>IFERROR('ISO · Reg. Notas'!R15,"")</f>
        <v/>
      </c>
      <c r="G15" s="229">
        <f>IFERROR('ISO · Reg. Notas'!S15,"")</f>
        <v/>
      </c>
      <c r="H15" s="230">
        <f>IFERROR('ISO · Reg. Notas'!T15,"")</f>
        <v/>
      </c>
      <c r="I15" s="235">
        <f>IFERROR('ISO · Reg. Notas'!U15,"")</f>
        <v/>
      </c>
      <c r="J15" s="228">
        <f>IFERROR('ISO · Reg. Notas'!V15,"")</f>
        <v/>
      </c>
      <c r="K15" s="236">
        <f>IFERROR('ISO · Reg. Notas'!W15,"")</f>
        <v/>
      </c>
      <c r="L15" s="249">
        <f>IFERROR(ROUND(D15*0.13+E15*0.19+F15*0.09+G15*0.16+H15*0.13+I15*0.12+J15*0.13+K15*0.05,2),"")</f>
        <v/>
      </c>
      <c r="M15" s="250">
        <f>IF(L15="","",IF(L15&gt;=5,"APTO","NO APTO"))</f>
        <v/>
      </c>
      <c r="N15" s="79"/>
    </row>
    <row r="16" ht="20" customHeight="1">
      <c r="B16" s="184" t="n">
        <v>6</v>
      </c>
      <c r="C16" s="208">
        <f>IFERROR('ISO · Alumnos'!C15&amp;IF('ISO · Alumnos'!D15&lt;&gt;"",", "&amp;'ISO · Alumnos'!D15,""),"")</f>
        <v/>
      </c>
      <c r="D16" s="218">
        <f>IFERROR('ISO · Reg. Notas'!P16,"")</f>
        <v/>
      </c>
      <c r="E16" s="219">
        <f>IFERROR('ISO · Reg. Notas'!Q16,"")</f>
        <v/>
      </c>
      <c r="F16" s="228">
        <f>IFERROR('ISO · Reg. Notas'!R16,"")</f>
        <v/>
      </c>
      <c r="G16" s="229">
        <f>IFERROR('ISO · Reg. Notas'!S16,"")</f>
        <v/>
      </c>
      <c r="H16" s="230">
        <f>IFERROR('ISO · Reg. Notas'!T16,"")</f>
        <v/>
      </c>
      <c r="I16" s="235">
        <f>IFERROR('ISO · Reg. Notas'!U16,"")</f>
        <v/>
      </c>
      <c r="J16" s="228">
        <f>IFERROR('ISO · Reg. Notas'!V16,"")</f>
        <v/>
      </c>
      <c r="K16" s="236">
        <f>IFERROR('ISO · Reg. Notas'!W16,"")</f>
        <v/>
      </c>
      <c r="L16" s="249">
        <f>IFERROR(ROUND(D16*0.13+E16*0.19+F16*0.09+G16*0.16+H16*0.13+I16*0.12+J16*0.13+K16*0.05,2),"")</f>
        <v/>
      </c>
      <c r="M16" s="251">
        <f>IF(L16="","",IF(L16&gt;=5,"APTO","NO APTO"))</f>
        <v/>
      </c>
      <c r="N16" s="78"/>
    </row>
    <row r="17" ht="20" customHeight="1">
      <c r="B17" s="184" t="n">
        <v>7</v>
      </c>
      <c r="C17" s="208">
        <f>IFERROR('ISO · Alumnos'!C16&amp;IF('ISO · Alumnos'!D16&lt;&gt;"",", "&amp;'ISO · Alumnos'!D16,""),"")</f>
        <v/>
      </c>
      <c r="D17" s="218">
        <f>IFERROR('ISO · Reg. Notas'!P17,"")</f>
        <v/>
      </c>
      <c r="E17" s="219">
        <f>IFERROR('ISO · Reg. Notas'!Q17,"")</f>
        <v/>
      </c>
      <c r="F17" s="228">
        <f>IFERROR('ISO · Reg. Notas'!R17,"")</f>
        <v/>
      </c>
      <c r="G17" s="229">
        <f>IFERROR('ISO · Reg. Notas'!S17,"")</f>
        <v/>
      </c>
      <c r="H17" s="230">
        <f>IFERROR('ISO · Reg. Notas'!T17,"")</f>
        <v/>
      </c>
      <c r="I17" s="235">
        <f>IFERROR('ISO · Reg. Notas'!U17,"")</f>
        <v/>
      </c>
      <c r="J17" s="228">
        <f>IFERROR('ISO · Reg. Notas'!V17,"")</f>
        <v/>
      </c>
      <c r="K17" s="236">
        <f>IFERROR('ISO · Reg. Notas'!W17,"")</f>
        <v/>
      </c>
      <c r="L17" s="249">
        <f>IFERROR(ROUND(D17*0.13+E17*0.19+F17*0.09+G17*0.16+H17*0.13+I17*0.12+J17*0.13+K17*0.05,2),"")</f>
        <v/>
      </c>
      <c r="M17" s="250">
        <f>IF(L17="","",IF(L17&gt;=5,"APTO","NO APTO"))</f>
        <v/>
      </c>
      <c r="N17" s="79"/>
    </row>
    <row r="18" ht="20" customHeight="1">
      <c r="B18" s="184" t="n">
        <v>8</v>
      </c>
      <c r="C18" s="208">
        <f>IFERROR('ISO · Alumnos'!C17&amp;IF('ISO · Alumnos'!D17&lt;&gt;"",", "&amp;'ISO · Alumnos'!D17,""),"")</f>
        <v/>
      </c>
      <c r="D18" s="218">
        <f>IFERROR('ISO · Reg. Notas'!P18,"")</f>
        <v/>
      </c>
      <c r="E18" s="219">
        <f>IFERROR('ISO · Reg. Notas'!Q18,"")</f>
        <v/>
      </c>
      <c r="F18" s="228">
        <f>IFERROR('ISO · Reg. Notas'!R18,"")</f>
        <v/>
      </c>
      <c r="G18" s="229">
        <f>IFERROR('ISO · Reg. Notas'!S18,"")</f>
        <v/>
      </c>
      <c r="H18" s="230">
        <f>IFERROR('ISO · Reg. Notas'!T18,"")</f>
        <v/>
      </c>
      <c r="I18" s="235">
        <f>IFERROR('ISO · Reg. Notas'!U18,"")</f>
        <v/>
      </c>
      <c r="J18" s="228">
        <f>IFERROR('ISO · Reg. Notas'!V18,"")</f>
        <v/>
      </c>
      <c r="K18" s="236">
        <f>IFERROR('ISO · Reg. Notas'!W18,"")</f>
        <v/>
      </c>
      <c r="L18" s="249">
        <f>IFERROR(ROUND(D18*0.13+E18*0.19+F18*0.09+G18*0.16+H18*0.13+I18*0.12+J18*0.13+K18*0.05,2),"")</f>
        <v/>
      </c>
      <c r="M18" s="251">
        <f>IF(L18="","",IF(L18&gt;=5,"APTO","NO APTO"))</f>
        <v/>
      </c>
      <c r="N18" s="78"/>
    </row>
    <row r="19" ht="20" customHeight="1">
      <c r="B19" s="184" t="n">
        <v>9</v>
      </c>
      <c r="C19" s="208">
        <f>IFERROR('ISO · Alumnos'!C18&amp;IF('ISO · Alumnos'!D18&lt;&gt;"",", "&amp;'ISO · Alumnos'!D18,""),"")</f>
        <v/>
      </c>
      <c r="D19" s="218">
        <f>IFERROR('ISO · Reg. Notas'!P19,"")</f>
        <v/>
      </c>
      <c r="E19" s="219">
        <f>IFERROR('ISO · Reg. Notas'!Q19,"")</f>
        <v/>
      </c>
      <c r="F19" s="228">
        <f>IFERROR('ISO · Reg. Notas'!R19,"")</f>
        <v/>
      </c>
      <c r="G19" s="229">
        <f>IFERROR('ISO · Reg. Notas'!S19,"")</f>
        <v/>
      </c>
      <c r="H19" s="230">
        <f>IFERROR('ISO · Reg. Notas'!T19,"")</f>
        <v/>
      </c>
      <c r="I19" s="235">
        <f>IFERROR('ISO · Reg. Notas'!U19,"")</f>
        <v/>
      </c>
      <c r="J19" s="228">
        <f>IFERROR('ISO · Reg. Notas'!V19,"")</f>
        <v/>
      </c>
      <c r="K19" s="236">
        <f>IFERROR('ISO · Reg. Notas'!W19,"")</f>
        <v/>
      </c>
      <c r="L19" s="249">
        <f>IFERROR(ROUND(D19*0.13+E19*0.19+F19*0.09+G19*0.16+H19*0.13+I19*0.12+J19*0.13+K19*0.05,2),"")</f>
        <v/>
      </c>
      <c r="M19" s="250">
        <f>IF(L19="","",IF(L19&gt;=5,"APTO","NO APTO"))</f>
        <v/>
      </c>
      <c r="N19" s="79"/>
    </row>
    <row r="20" ht="20" customHeight="1">
      <c r="B20" s="184" t="n">
        <v>10</v>
      </c>
      <c r="C20" s="208">
        <f>IFERROR('ISO · Alumnos'!C19&amp;IF('ISO · Alumnos'!D19&lt;&gt;"",", "&amp;'ISO · Alumnos'!D19,""),"")</f>
        <v/>
      </c>
      <c r="D20" s="218">
        <f>IFERROR('ISO · Reg. Notas'!P20,"")</f>
        <v/>
      </c>
      <c r="E20" s="219">
        <f>IFERROR('ISO · Reg. Notas'!Q20,"")</f>
        <v/>
      </c>
      <c r="F20" s="228">
        <f>IFERROR('ISO · Reg. Notas'!R20,"")</f>
        <v/>
      </c>
      <c r="G20" s="229">
        <f>IFERROR('ISO · Reg. Notas'!S20,"")</f>
        <v/>
      </c>
      <c r="H20" s="230">
        <f>IFERROR('ISO · Reg. Notas'!T20,"")</f>
        <v/>
      </c>
      <c r="I20" s="235">
        <f>IFERROR('ISO · Reg. Notas'!U20,"")</f>
        <v/>
      </c>
      <c r="J20" s="228">
        <f>IFERROR('ISO · Reg. Notas'!V20,"")</f>
        <v/>
      </c>
      <c r="K20" s="236">
        <f>IFERROR('ISO · Reg. Notas'!W20,"")</f>
        <v/>
      </c>
      <c r="L20" s="249">
        <f>IFERROR(ROUND(D20*0.13+E20*0.19+F20*0.09+G20*0.16+H20*0.13+I20*0.12+J20*0.13+K20*0.05,2),"")</f>
        <v/>
      </c>
      <c r="M20" s="251">
        <f>IF(L20="","",IF(L20&gt;=5,"APTO","NO APTO"))</f>
        <v/>
      </c>
      <c r="N20" s="78"/>
    </row>
    <row r="21" ht="20" customHeight="1">
      <c r="B21" s="184" t="n">
        <v>11</v>
      </c>
      <c r="C21" s="208">
        <f>IFERROR('ISO · Alumnos'!C20&amp;IF('ISO · Alumnos'!D20&lt;&gt;"",", "&amp;'ISO · Alumnos'!D20,""),"")</f>
        <v/>
      </c>
      <c r="D21" s="218">
        <f>IFERROR('ISO · Reg. Notas'!P21,"")</f>
        <v/>
      </c>
      <c r="E21" s="219">
        <f>IFERROR('ISO · Reg. Notas'!Q21,"")</f>
        <v/>
      </c>
      <c r="F21" s="228">
        <f>IFERROR('ISO · Reg. Notas'!R21,"")</f>
        <v/>
      </c>
      <c r="G21" s="229">
        <f>IFERROR('ISO · Reg. Notas'!S21,"")</f>
        <v/>
      </c>
      <c r="H21" s="230">
        <f>IFERROR('ISO · Reg. Notas'!T21,"")</f>
        <v/>
      </c>
      <c r="I21" s="235">
        <f>IFERROR('ISO · Reg. Notas'!U21,"")</f>
        <v/>
      </c>
      <c r="J21" s="228">
        <f>IFERROR('ISO · Reg. Notas'!V21,"")</f>
        <v/>
      </c>
      <c r="K21" s="236">
        <f>IFERROR('ISO · Reg. Notas'!W21,"")</f>
        <v/>
      </c>
      <c r="L21" s="249">
        <f>IFERROR(ROUND(D21*0.13+E21*0.19+F21*0.09+G21*0.16+H21*0.13+I21*0.12+J21*0.13+K21*0.05,2),"")</f>
        <v/>
      </c>
      <c r="M21" s="250">
        <f>IF(L21="","",IF(L21&gt;=5,"APTO","NO APTO"))</f>
        <v/>
      </c>
      <c r="N21" s="79"/>
    </row>
    <row r="22" ht="20" customHeight="1">
      <c r="B22" s="184" t="n">
        <v>12</v>
      </c>
      <c r="C22" s="208">
        <f>IFERROR('ISO · Alumnos'!C21&amp;IF('ISO · Alumnos'!D21&lt;&gt;"",", "&amp;'ISO · Alumnos'!D21,""),"")</f>
        <v/>
      </c>
      <c r="D22" s="218">
        <f>IFERROR('ISO · Reg. Notas'!P22,"")</f>
        <v/>
      </c>
      <c r="E22" s="219">
        <f>IFERROR('ISO · Reg. Notas'!Q22,"")</f>
        <v/>
      </c>
      <c r="F22" s="228">
        <f>IFERROR('ISO · Reg. Notas'!R22,"")</f>
        <v/>
      </c>
      <c r="G22" s="229">
        <f>IFERROR('ISO · Reg. Notas'!S22,"")</f>
        <v/>
      </c>
      <c r="H22" s="230">
        <f>IFERROR('ISO · Reg. Notas'!T22,"")</f>
        <v/>
      </c>
      <c r="I22" s="235">
        <f>IFERROR('ISO · Reg. Notas'!U22,"")</f>
        <v/>
      </c>
      <c r="J22" s="228">
        <f>IFERROR('ISO · Reg. Notas'!V22,"")</f>
        <v/>
      </c>
      <c r="K22" s="236">
        <f>IFERROR('ISO · Reg. Notas'!W22,"")</f>
        <v/>
      </c>
      <c r="L22" s="249">
        <f>IFERROR(ROUND(D22*0.13+E22*0.19+F22*0.09+G22*0.16+H22*0.13+I22*0.12+J22*0.13+K22*0.05,2),"")</f>
        <v/>
      </c>
      <c r="M22" s="251">
        <f>IF(L22="","",IF(L22&gt;=5,"APTO","NO APTO"))</f>
        <v/>
      </c>
      <c r="N22" s="78"/>
    </row>
    <row r="23" ht="20" customHeight="1">
      <c r="B23" s="184" t="n">
        <v>13</v>
      </c>
      <c r="C23" s="208">
        <f>IFERROR('ISO · Alumnos'!C22&amp;IF('ISO · Alumnos'!D22&lt;&gt;"",", "&amp;'ISO · Alumnos'!D22,""),"")</f>
        <v/>
      </c>
      <c r="D23" s="218">
        <f>IFERROR('ISO · Reg. Notas'!P23,"")</f>
        <v/>
      </c>
      <c r="E23" s="219">
        <f>IFERROR('ISO · Reg. Notas'!Q23,"")</f>
        <v/>
      </c>
      <c r="F23" s="228">
        <f>IFERROR('ISO · Reg. Notas'!R23,"")</f>
        <v/>
      </c>
      <c r="G23" s="229">
        <f>IFERROR('ISO · Reg. Notas'!S23,"")</f>
        <v/>
      </c>
      <c r="H23" s="230">
        <f>IFERROR('ISO · Reg. Notas'!T23,"")</f>
        <v/>
      </c>
      <c r="I23" s="235">
        <f>IFERROR('ISO · Reg. Notas'!U23,"")</f>
        <v/>
      </c>
      <c r="J23" s="228">
        <f>IFERROR('ISO · Reg. Notas'!V23,"")</f>
        <v/>
      </c>
      <c r="K23" s="236">
        <f>IFERROR('ISO · Reg. Notas'!W23,"")</f>
        <v/>
      </c>
      <c r="L23" s="249">
        <f>IFERROR(ROUND(D23*0.13+E23*0.19+F23*0.09+G23*0.16+H23*0.13+I23*0.12+J23*0.13+K23*0.05,2),"")</f>
        <v/>
      </c>
      <c r="M23" s="250">
        <f>IF(L23="","",IF(L23&gt;=5,"APTO","NO APTO"))</f>
        <v/>
      </c>
      <c r="N23" s="79"/>
    </row>
    <row r="24" ht="20" customHeight="1">
      <c r="B24" s="184" t="n">
        <v>14</v>
      </c>
      <c r="C24" s="208">
        <f>IFERROR('ISO · Alumnos'!C23&amp;IF('ISO · Alumnos'!D23&lt;&gt;"",", "&amp;'ISO · Alumnos'!D23,""),"")</f>
        <v/>
      </c>
      <c r="D24" s="218">
        <f>IFERROR('ISO · Reg. Notas'!P24,"")</f>
        <v/>
      </c>
      <c r="E24" s="219">
        <f>IFERROR('ISO · Reg. Notas'!Q24,"")</f>
        <v/>
      </c>
      <c r="F24" s="228">
        <f>IFERROR('ISO · Reg. Notas'!R24,"")</f>
        <v/>
      </c>
      <c r="G24" s="229">
        <f>IFERROR('ISO · Reg. Notas'!S24,"")</f>
        <v/>
      </c>
      <c r="H24" s="230">
        <f>IFERROR('ISO · Reg. Notas'!T24,"")</f>
        <v/>
      </c>
      <c r="I24" s="235">
        <f>IFERROR('ISO · Reg. Notas'!U24,"")</f>
        <v/>
      </c>
      <c r="J24" s="228">
        <f>IFERROR('ISO · Reg. Notas'!V24,"")</f>
        <v/>
      </c>
      <c r="K24" s="236">
        <f>IFERROR('ISO · Reg. Notas'!W24,"")</f>
        <v/>
      </c>
      <c r="L24" s="249">
        <f>IFERROR(ROUND(D24*0.13+E24*0.19+F24*0.09+G24*0.16+H24*0.13+I24*0.12+J24*0.13+K24*0.05,2),"")</f>
        <v/>
      </c>
      <c r="M24" s="251">
        <f>IF(L24="","",IF(L24&gt;=5,"APTO","NO APTO"))</f>
        <v/>
      </c>
      <c r="N24" s="78"/>
    </row>
    <row r="25" ht="20" customHeight="1">
      <c r="B25" s="184" t="n">
        <v>15</v>
      </c>
      <c r="C25" s="208">
        <f>IFERROR('ISO · Alumnos'!C24&amp;IF('ISO · Alumnos'!D24&lt;&gt;"",", "&amp;'ISO · Alumnos'!D24,""),"")</f>
        <v/>
      </c>
      <c r="D25" s="218">
        <f>IFERROR('ISO · Reg. Notas'!P25,"")</f>
        <v/>
      </c>
      <c r="E25" s="219">
        <f>IFERROR('ISO · Reg. Notas'!Q25,"")</f>
        <v/>
      </c>
      <c r="F25" s="228">
        <f>IFERROR('ISO · Reg. Notas'!R25,"")</f>
        <v/>
      </c>
      <c r="G25" s="229">
        <f>IFERROR('ISO · Reg. Notas'!S25,"")</f>
        <v/>
      </c>
      <c r="H25" s="230">
        <f>IFERROR('ISO · Reg. Notas'!T25,"")</f>
        <v/>
      </c>
      <c r="I25" s="235">
        <f>IFERROR('ISO · Reg. Notas'!U25,"")</f>
        <v/>
      </c>
      <c r="J25" s="228">
        <f>IFERROR('ISO · Reg. Notas'!V25,"")</f>
        <v/>
      </c>
      <c r="K25" s="236">
        <f>IFERROR('ISO · Reg. Notas'!W25,"")</f>
        <v/>
      </c>
      <c r="L25" s="249">
        <f>IFERROR(ROUND(D25*0.13+E25*0.19+F25*0.09+G25*0.16+H25*0.13+I25*0.12+J25*0.13+K25*0.05,2),"")</f>
        <v/>
      </c>
      <c r="M25" s="250">
        <f>IF(L25="","",IF(L25&gt;=5,"APTO","NO APTO"))</f>
        <v/>
      </c>
      <c r="N25" s="79"/>
    </row>
    <row r="26" ht="20" customHeight="1">
      <c r="B26" s="184" t="n">
        <v>16</v>
      </c>
      <c r="C26" s="208">
        <f>IFERROR('ISO · Alumnos'!C25&amp;IF('ISO · Alumnos'!D25&lt;&gt;"",", "&amp;'ISO · Alumnos'!D25,""),"")</f>
        <v/>
      </c>
      <c r="D26" s="218">
        <f>IFERROR('ISO · Reg. Notas'!P26,"")</f>
        <v/>
      </c>
      <c r="E26" s="219">
        <f>IFERROR('ISO · Reg. Notas'!Q26,"")</f>
        <v/>
      </c>
      <c r="F26" s="228">
        <f>IFERROR('ISO · Reg. Notas'!R26,"")</f>
        <v/>
      </c>
      <c r="G26" s="229">
        <f>IFERROR('ISO · Reg. Notas'!S26,"")</f>
        <v/>
      </c>
      <c r="H26" s="230">
        <f>IFERROR('ISO · Reg. Notas'!T26,"")</f>
        <v/>
      </c>
      <c r="I26" s="235">
        <f>IFERROR('ISO · Reg. Notas'!U26,"")</f>
        <v/>
      </c>
      <c r="J26" s="228">
        <f>IFERROR('ISO · Reg. Notas'!V26,"")</f>
        <v/>
      </c>
      <c r="K26" s="236">
        <f>IFERROR('ISO · Reg. Notas'!W26,"")</f>
        <v/>
      </c>
      <c r="L26" s="249">
        <f>IFERROR(ROUND(D26*0.13+E26*0.19+F26*0.09+G26*0.16+H26*0.13+I26*0.12+J26*0.13+K26*0.05,2),"")</f>
        <v/>
      </c>
      <c r="M26" s="251">
        <f>IF(L26="","",IF(L26&gt;=5,"APTO","NO APTO"))</f>
        <v/>
      </c>
      <c r="N26" s="78"/>
    </row>
    <row r="27" ht="20" customHeight="1">
      <c r="B27" s="184" t="n">
        <v>17</v>
      </c>
      <c r="C27" s="208">
        <f>IFERROR('ISO · Alumnos'!C26&amp;IF('ISO · Alumnos'!D26&lt;&gt;"",", "&amp;'ISO · Alumnos'!D26,""),"")</f>
        <v/>
      </c>
      <c r="D27" s="218">
        <f>IFERROR('ISO · Reg. Notas'!P27,"")</f>
        <v/>
      </c>
      <c r="E27" s="219">
        <f>IFERROR('ISO · Reg. Notas'!Q27,"")</f>
        <v/>
      </c>
      <c r="F27" s="228">
        <f>IFERROR('ISO · Reg. Notas'!R27,"")</f>
        <v/>
      </c>
      <c r="G27" s="229">
        <f>IFERROR('ISO · Reg. Notas'!S27,"")</f>
        <v/>
      </c>
      <c r="H27" s="230">
        <f>IFERROR('ISO · Reg. Notas'!T27,"")</f>
        <v/>
      </c>
      <c r="I27" s="235">
        <f>IFERROR('ISO · Reg. Notas'!U27,"")</f>
        <v/>
      </c>
      <c r="J27" s="228">
        <f>IFERROR('ISO · Reg. Notas'!V27,"")</f>
        <v/>
      </c>
      <c r="K27" s="236">
        <f>IFERROR('ISO · Reg. Notas'!W27,"")</f>
        <v/>
      </c>
      <c r="L27" s="249">
        <f>IFERROR(ROUND(D27*0.13+E27*0.19+F27*0.09+G27*0.16+H27*0.13+I27*0.12+J27*0.13+K27*0.05,2),"")</f>
        <v/>
      </c>
      <c r="M27" s="250">
        <f>IF(L27="","",IF(L27&gt;=5,"APTO","NO APTO"))</f>
        <v/>
      </c>
      <c r="N27" s="79"/>
    </row>
    <row r="28" ht="20" customHeight="1">
      <c r="B28" s="184" t="n">
        <v>18</v>
      </c>
      <c r="C28" s="208">
        <f>IFERROR('ISO · Alumnos'!C27&amp;IF('ISO · Alumnos'!D27&lt;&gt;"",", "&amp;'ISO · Alumnos'!D27,""),"")</f>
        <v/>
      </c>
      <c r="D28" s="218">
        <f>IFERROR('ISO · Reg. Notas'!P28,"")</f>
        <v/>
      </c>
      <c r="E28" s="219">
        <f>IFERROR('ISO · Reg. Notas'!Q28,"")</f>
        <v/>
      </c>
      <c r="F28" s="228">
        <f>IFERROR('ISO · Reg. Notas'!R28,"")</f>
        <v/>
      </c>
      <c r="G28" s="229">
        <f>IFERROR('ISO · Reg. Notas'!S28,"")</f>
        <v/>
      </c>
      <c r="H28" s="230">
        <f>IFERROR('ISO · Reg. Notas'!T28,"")</f>
        <v/>
      </c>
      <c r="I28" s="235">
        <f>IFERROR('ISO · Reg. Notas'!U28,"")</f>
        <v/>
      </c>
      <c r="J28" s="228">
        <f>IFERROR('ISO · Reg. Notas'!V28,"")</f>
        <v/>
      </c>
      <c r="K28" s="236">
        <f>IFERROR('ISO · Reg. Notas'!W28,"")</f>
        <v/>
      </c>
      <c r="L28" s="249">
        <f>IFERROR(ROUND(D28*0.13+E28*0.19+F28*0.09+G28*0.16+H28*0.13+I28*0.12+J28*0.13+K28*0.05,2),"")</f>
        <v/>
      </c>
      <c r="M28" s="251">
        <f>IF(L28="","",IF(L28&gt;=5,"APTO","NO APTO"))</f>
        <v/>
      </c>
      <c r="N28" s="78"/>
    </row>
    <row r="29" ht="20" customHeight="1">
      <c r="B29" s="184" t="n">
        <v>19</v>
      </c>
      <c r="C29" s="208">
        <f>IFERROR('ISO · Alumnos'!C28&amp;IF('ISO · Alumnos'!D28&lt;&gt;"",", "&amp;'ISO · Alumnos'!D28,""),"")</f>
        <v/>
      </c>
      <c r="D29" s="218">
        <f>IFERROR('ISO · Reg. Notas'!P29,"")</f>
        <v/>
      </c>
      <c r="E29" s="219">
        <f>IFERROR('ISO · Reg. Notas'!Q29,"")</f>
        <v/>
      </c>
      <c r="F29" s="228">
        <f>IFERROR('ISO · Reg. Notas'!R29,"")</f>
        <v/>
      </c>
      <c r="G29" s="229">
        <f>IFERROR('ISO · Reg. Notas'!S29,"")</f>
        <v/>
      </c>
      <c r="H29" s="230">
        <f>IFERROR('ISO · Reg. Notas'!T29,"")</f>
        <v/>
      </c>
      <c r="I29" s="235">
        <f>IFERROR('ISO · Reg. Notas'!U29,"")</f>
        <v/>
      </c>
      <c r="J29" s="228">
        <f>IFERROR('ISO · Reg. Notas'!V29,"")</f>
        <v/>
      </c>
      <c r="K29" s="236">
        <f>IFERROR('ISO · Reg. Notas'!W29,"")</f>
        <v/>
      </c>
      <c r="L29" s="249">
        <f>IFERROR(ROUND(D29*0.13+E29*0.19+F29*0.09+G29*0.16+H29*0.13+I29*0.12+J29*0.13+K29*0.05,2),"")</f>
        <v/>
      </c>
      <c r="M29" s="250">
        <f>IF(L29="","",IF(L29&gt;=5,"APTO","NO APTO"))</f>
        <v/>
      </c>
      <c r="N29" s="79"/>
    </row>
    <row r="30" ht="20" customHeight="1">
      <c r="B30" s="184" t="n">
        <v>20</v>
      </c>
      <c r="C30" s="208">
        <f>IFERROR('ISO · Alumnos'!C29&amp;IF('ISO · Alumnos'!D29&lt;&gt;"",", "&amp;'ISO · Alumnos'!D29,""),"")</f>
        <v/>
      </c>
      <c r="D30" s="218">
        <f>IFERROR('ISO · Reg. Notas'!P30,"")</f>
        <v/>
      </c>
      <c r="E30" s="219">
        <f>IFERROR('ISO · Reg. Notas'!Q30,"")</f>
        <v/>
      </c>
      <c r="F30" s="228">
        <f>IFERROR('ISO · Reg. Notas'!R30,"")</f>
        <v/>
      </c>
      <c r="G30" s="229">
        <f>IFERROR('ISO · Reg. Notas'!S30,"")</f>
        <v/>
      </c>
      <c r="H30" s="230">
        <f>IFERROR('ISO · Reg. Notas'!T30,"")</f>
        <v/>
      </c>
      <c r="I30" s="235">
        <f>IFERROR('ISO · Reg. Notas'!U30,"")</f>
        <v/>
      </c>
      <c r="J30" s="228">
        <f>IFERROR('ISO · Reg. Notas'!V30,"")</f>
        <v/>
      </c>
      <c r="K30" s="236">
        <f>IFERROR('ISO · Reg. Notas'!W30,"")</f>
        <v/>
      </c>
      <c r="L30" s="249">
        <f>IFERROR(ROUND(D30*0.13+E30*0.19+F30*0.09+G30*0.16+H30*0.13+I30*0.12+J30*0.13+K30*0.05,2),"")</f>
        <v/>
      </c>
      <c r="M30" s="251">
        <f>IF(L30="","",IF(L30&gt;=5,"APTO","NO APTO"))</f>
        <v/>
      </c>
      <c r="N30" s="78"/>
    </row>
    <row r="31" ht="20" customHeight="1">
      <c r="B31" s="184" t="n">
        <v>21</v>
      </c>
      <c r="C31" s="208">
        <f>IFERROR('ISO · Alumnos'!C30&amp;IF('ISO · Alumnos'!D30&lt;&gt;"",", "&amp;'ISO · Alumnos'!D30,""),"")</f>
        <v/>
      </c>
      <c r="D31" s="218">
        <f>IFERROR('ISO · Reg. Notas'!P31,"")</f>
        <v/>
      </c>
      <c r="E31" s="219">
        <f>IFERROR('ISO · Reg. Notas'!Q31,"")</f>
        <v/>
      </c>
      <c r="F31" s="228">
        <f>IFERROR('ISO · Reg. Notas'!R31,"")</f>
        <v/>
      </c>
      <c r="G31" s="229">
        <f>IFERROR('ISO · Reg. Notas'!S31,"")</f>
        <v/>
      </c>
      <c r="H31" s="230">
        <f>IFERROR('ISO · Reg. Notas'!T31,"")</f>
        <v/>
      </c>
      <c r="I31" s="235">
        <f>IFERROR('ISO · Reg. Notas'!U31,"")</f>
        <v/>
      </c>
      <c r="J31" s="228">
        <f>IFERROR('ISO · Reg. Notas'!V31,"")</f>
        <v/>
      </c>
      <c r="K31" s="236">
        <f>IFERROR('ISO · Reg. Notas'!W31,"")</f>
        <v/>
      </c>
      <c r="L31" s="249">
        <f>IFERROR(ROUND(D31*0.13+E31*0.19+F31*0.09+G31*0.16+H31*0.13+I31*0.12+J31*0.13+K31*0.05,2),"")</f>
        <v/>
      </c>
      <c r="M31" s="250">
        <f>IF(L31="","",IF(L31&gt;=5,"APTO","NO APTO"))</f>
        <v/>
      </c>
      <c r="N31" s="79"/>
    </row>
    <row r="32" ht="20" customHeight="1">
      <c r="B32" s="184" t="n">
        <v>22</v>
      </c>
      <c r="C32" s="208">
        <f>IFERROR('ISO · Alumnos'!C31&amp;IF('ISO · Alumnos'!D31&lt;&gt;"",", "&amp;'ISO · Alumnos'!D31,""),"")</f>
        <v/>
      </c>
      <c r="D32" s="218">
        <f>IFERROR('ISO · Reg. Notas'!P32,"")</f>
        <v/>
      </c>
      <c r="E32" s="219">
        <f>IFERROR('ISO · Reg. Notas'!Q32,"")</f>
        <v/>
      </c>
      <c r="F32" s="228">
        <f>IFERROR('ISO · Reg. Notas'!R32,"")</f>
        <v/>
      </c>
      <c r="G32" s="229">
        <f>IFERROR('ISO · Reg. Notas'!S32,"")</f>
        <v/>
      </c>
      <c r="H32" s="230">
        <f>IFERROR('ISO · Reg. Notas'!T32,"")</f>
        <v/>
      </c>
      <c r="I32" s="235">
        <f>IFERROR('ISO · Reg. Notas'!U32,"")</f>
        <v/>
      </c>
      <c r="J32" s="228">
        <f>IFERROR('ISO · Reg. Notas'!V32,"")</f>
        <v/>
      </c>
      <c r="K32" s="236">
        <f>IFERROR('ISO · Reg. Notas'!W32,"")</f>
        <v/>
      </c>
      <c r="L32" s="249">
        <f>IFERROR(ROUND(D32*0.13+E32*0.19+F32*0.09+G32*0.16+H32*0.13+I32*0.12+J32*0.13+K32*0.05,2),"")</f>
        <v/>
      </c>
      <c r="M32" s="251">
        <f>IF(L32="","",IF(L32&gt;=5,"APTO","NO APTO"))</f>
        <v/>
      </c>
      <c r="N32" s="78"/>
    </row>
    <row r="33" ht="20" customHeight="1">
      <c r="B33" s="184" t="n">
        <v>23</v>
      </c>
      <c r="C33" s="208">
        <f>IFERROR('ISO · Alumnos'!C32&amp;IF('ISO · Alumnos'!D32&lt;&gt;"",", "&amp;'ISO · Alumnos'!D32,""),"")</f>
        <v/>
      </c>
      <c r="D33" s="218">
        <f>IFERROR('ISO · Reg. Notas'!P33,"")</f>
        <v/>
      </c>
      <c r="E33" s="219">
        <f>IFERROR('ISO · Reg. Notas'!Q33,"")</f>
        <v/>
      </c>
      <c r="F33" s="228">
        <f>IFERROR('ISO · Reg. Notas'!R33,"")</f>
        <v/>
      </c>
      <c r="G33" s="229">
        <f>IFERROR('ISO · Reg. Notas'!S33,"")</f>
        <v/>
      </c>
      <c r="H33" s="230">
        <f>IFERROR('ISO · Reg. Notas'!T33,"")</f>
        <v/>
      </c>
      <c r="I33" s="235">
        <f>IFERROR('ISO · Reg. Notas'!U33,"")</f>
        <v/>
      </c>
      <c r="J33" s="228">
        <f>IFERROR('ISO · Reg. Notas'!V33,"")</f>
        <v/>
      </c>
      <c r="K33" s="236">
        <f>IFERROR('ISO · Reg. Notas'!W33,"")</f>
        <v/>
      </c>
      <c r="L33" s="249">
        <f>IFERROR(ROUND(D33*0.13+E33*0.19+F33*0.09+G33*0.16+H33*0.13+I33*0.12+J33*0.13+K33*0.05,2),"")</f>
        <v/>
      </c>
      <c r="M33" s="250">
        <f>IF(L33="","",IF(L33&gt;=5,"APTO","NO APTO"))</f>
        <v/>
      </c>
      <c r="N33" s="79"/>
    </row>
    <row r="34" ht="20" customHeight="1">
      <c r="B34" s="184" t="n">
        <v>24</v>
      </c>
      <c r="C34" s="208">
        <f>IFERROR('ISO · Alumnos'!C33&amp;IF('ISO · Alumnos'!D33&lt;&gt;"",", "&amp;'ISO · Alumnos'!D33,""),"")</f>
        <v/>
      </c>
      <c r="D34" s="218">
        <f>IFERROR('ISO · Reg. Notas'!P34,"")</f>
        <v/>
      </c>
      <c r="E34" s="219">
        <f>IFERROR('ISO · Reg. Notas'!Q34,"")</f>
        <v/>
      </c>
      <c r="F34" s="228">
        <f>IFERROR('ISO · Reg. Notas'!R34,"")</f>
        <v/>
      </c>
      <c r="G34" s="229">
        <f>IFERROR('ISO · Reg. Notas'!S34,"")</f>
        <v/>
      </c>
      <c r="H34" s="230">
        <f>IFERROR('ISO · Reg. Notas'!T34,"")</f>
        <v/>
      </c>
      <c r="I34" s="235">
        <f>IFERROR('ISO · Reg. Notas'!U34,"")</f>
        <v/>
      </c>
      <c r="J34" s="228">
        <f>IFERROR('ISO · Reg. Notas'!V34,"")</f>
        <v/>
      </c>
      <c r="K34" s="236">
        <f>IFERROR('ISO · Reg. Notas'!W34,"")</f>
        <v/>
      </c>
      <c r="L34" s="249">
        <f>IFERROR(ROUND(D34*0.13+E34*0.19+F34*0.09+G34*0.16+H34*0.13+I34*0.12+J34*0.13+K34*0.05,2),"")</f>
        <v/>
      </c>
      <c r="M34" s="251">
        <f>IF(L34="","",IF(L34&gt;=5,"APTO","NO APTO"))</f>
        <v/>
      </c>
      <c r="N34" s="78"/>
    </row>
    <row r="35" ht="20" customHeight="1">
      <c r="B35" s="184" t="n">
        <v>25</v>
      </c>
      <c r="C35" s="208">
        <f>IFERROR('ISO · Alumnos'!C34&amp;IF('ISO · Alumnos'!D34&lt;&gt;"",", "&amp;'ISO · Alumnos'!D34,""),"")</f>
        <v/>
      </c>
      <c r="D35" s="218">
        <f>IFERROR('ISO · Reg. Notas'!P35,"")</f>
        <v/>
      </c>
      <c r="E35" s="219">
        <f>IFERROR('ISO · Reg. Notas'!Q35,"")</f>
        <v/>
      </c>
      <c r="F35" s="228">
        <f>IFERROR('ISO · Reg. Notas'!R35,"")</f>
        <v/>
      </c>
      <c r="G35" s="229">
        <f>IFERROR('ISO · Reg. Notas'!S35,"")</f>
        <v/>
      </c>
      <c r="H35" s="230">
        <f>IFERROR('ISO · Reg. Notas'!T35,"")</f>
        <v/>
      </c>
      <c r="I35" s="235">
        <f>IFERROR('ISO · Reg. Notas'!U35,"")</f>
        <v/>
      </c>
      <c r="J35" s="228">
        <f>IFERROR('ISO · Reg. Notas'!V35,"")</f>
        <v/>
      </c>
      <c r="K35" s="236">
        <f>IFERROR('ISO · Reg. Notas'!W35,"")</f>
        <v/>
      </c>
      <c r="L35" s="249">
        <f>IFERROR(ROUND(D35*0.13+E35*0.19+F35*0.09+G35*0.16+H35*0.13+I35*0.12+J35*0.13+K35*0.05,2),"")</f>
        <v/>
      </c>
      <c r="M35" s="250">
        <f>IF(L35="","",IF(L35&gt;=5,"APTO","NO APTO"))</f>
        <v/>
      </c>
      <c r="N35" s="79"/>
    </row>
    <row r="36" ht="20" customHeight="1">
      <c r="B36" s="184" t="n">
        <v>26</v>
      </c>
      <c r="C36" s="208">
        <f>IFERROR('ISO · Alumnos'!C35&amp;IF('ISO · Alumnos'!D35&lt;&gt;"",", "&amp;'ISO · Alumnos'!D35,""),"")</f>
        <v/>
      </c>
      <c r="D36" s="218">
        <f>IFERROR('ISO · Reg. Notas'!P36,"")</f>
        <v/>
      </c>
      <c r="E36" s="219">
        <f>IFERROR('ISO · Reg. Notas'!Q36,"")</f>
        <v/>
      </c>
      <c r="F36" s="228">
        <f>IFERROR('ISO · Reg. Notas'!R36,"")</f>
        <v/>
      </c>
      <c r="G36" s="229">
        <f>IFERROR('ISO · Reg. Notas'!S36,"")</f>
        <v/>
      </c>
      <c r="H36" s="230">
        <f>IFERROR('ISO · Reg. Notas'!T36,"")</f>
        <v/>
      </c>
      <c r="I36" s="235">
        <f>IFERROR('ISO · Reg. Notas'!U36,"")</f>
        <v/>
      </c>
      <c r="J36" s="228">
        <f>IFERROR('ISO · Reg. Notas'!V36,"")</f>
        <v/>
      </c>
      <c r="K36" s="236">
        <f>IFERROR('ISO · Reg. Notas'!W36,"")</f>
        <v/>
      </c>
      <c r="L36" s="249">
        <f>IFERROR(ROUND(D36*0.13+E36*0.19+F36*0.09+G36*0.16+H36*0.13+I36*0.12+J36*0.13+K36*0.05,2),"")</f>
        <v/>
      </c>
      <c r="M36" s="251">
        <f>IF(L36="","",IF(L36&gt;=5,"APTO","NO APTO"))</f>
        <v/>
      </c>
      <c r="N36" s="78"/>
    </row>
    <row r="37" ht="20" customHeight="1">
      <c r="B37" s="184" t="n">
        <v>27</v>
      </c>
      <c r="C37" s="208">
        <f>IFERROR('ISO · Alumnos'!C36&amp;IF('ISO · Alumnos'!D36&lt;&gt;"",", "&amp;'ISO · Alumnos'!D36,""),"")</f>
        <v/>
      </c>
      <c r="D37" s="218">
        <f>IFERROR('ISO · Reg. Notas'!P37,"")</f>
        <v/>
      </c>
      <c r="E37" s="219">
        <f>IFERROR('ISO · Reg. Notas'!Q37,"")</f>
        <v/>
      </c>
      <c r="F37" s="228">
        <f>IFERROR('ISO · Reg. Notas'!R37,"")</f>
        <v/>
      </c>
      <c r="G37" s="229">
        <f>IFERROR('ISO · Reg. Notas'!S37,"")</f>
        <v/>
      </c>
      <c r="H37" s="230">
        <f>IFERROR('ISO · Reg. Notas'!T37,"")</f>
        <v/>
      </c>
      <c r="I37" s="235">
        <f>IFERROR('ISO · Reg. Notas'!U37,"")</f>
        <v/>
      </c>
      <c r="J37" s="228">
        <f>IFERROR('ISO · Reg. Notas'!V37,"")</f>
        <v/>
      </c>
      <c r="K37" s="236">
        <f>IFERROR('ISO · Reg. Notas'!W37,"")</f>
        <v/>
      </c>
      <c r="L37" s="249">
        <f>IFERROR(ROUND(D37*0.13+E37*0.19+F37*0.09+G37*0.16+H37*0.13+I37*0.12+J37*0.13+K37*0.05,2),"")</f>
        <v/>
      </c>
      <c r="M37" s="250">
        <f>IF(L37="","",IF(L37&gt;=5,"APTO","NO APTO"))</f>
        <v/>
      </c>
      <c r="N37" s="79"/>
    </row>
    <row r="38" ht="20" customHeight="1">
      <c r="B38" s="184" t="n">
        <v>28</v>
      </c>
      <c r="C38" s="208">
        <f>IFERROR('ISO · Alumnos'!C37&amp;IF('ISO · Alumnos'!D37&lt;&gt;"",", "&amp;'ISO · Alumnos'!D37,""),"")</f>
        <v/>
      </c>
      <c r="D38" s="218">
        <f>IFERROR('ISO · Reg. Notas'!P38,"")</f>
        <v/>
      </c>
      <c r="E38" s="219">
        <f>IFERROR('ISO · Reg. Notas'!Q38,"")</f>
        <v/>
      </c>
      <c r="F38" s="228">
        <f>IFERROR('ISO · Reg. Notas'!R38,"")</f>
        <v/>
      </c>
      <c r="G38" s="229">
        <f>IFERROR('ISO · Reg. Notas'!S38,"")</f>
        <v/>
      </c>
      <c r="H38" s="230">
        <f>IFERROR('ISO · Reg. Notas'!T38,"")</f>
        <v/>
      </c>
      <c r="I38" s="235">
        <f>IFERROR('ISO · Reg. Notas'!U38,"")</f>
        <v/>
      </c>
      <c r="J38" s="228">
        <f>IFERROR('ISO · Reg. Notas'!V38,"")</f>
        <v/>
      </c>
      <c r="K38" s="236">
        <f>IFERROR('ISO · Reg. Notas'!W38,"")</f>
        <v/>
      </c>
      <c r="L38" s="249">
        <f>IFERROR(ROUND(D38*0.13+E38*0.19+F38*0.09+G38*0.16+H38*0.13+I38*0.12+J38*0.13+K38*0.05,2),"")</f>
        <v/>
      </c>
      <c r="M38" s="251">
        <f>IF(L38="","",IF(L38&gt;=5,"APTO","NO APTO"))</f>
        <v/>
      </c>
      <c r="N38" s="78"/>
    </row>
    <row r="39" ht="20" customHeight="1">
      <c r="B39" s="184" t="n">
        <v>29</v>
      </c>
      <c r="C39" s="208">
        <f>IFERROR('ISO · Alumnos'!C38&amp;IF('ISO · Alumnos'!D38&lt;&gt;"",", "&amp;'ISO · Alumnos'!D38,""),"")</f>
        <v/>
      </c>
      <c r="D39" s="218">
        <f>IFERROR('ISO · Reg. Notas'!P39,"")</f>
        <v/>
      </c>
      <c r="E39" s="219">
        <f>IFERROR('ISO · Reg. Notas'!Q39,"")</f>
        <v/>
      </c>
      <c r="F39" s="228">
        <f>IFERROR('ISO · Reg. Notas'!R39,"")</f>
        <v/>
      </c>
      <c r="G39" s="229">
        <f>IFERROR('ISO · Reg. Notas'!S39,"")</f>
        <v/>
      </c>
      <c r="H39" s="230">
        <f>IFERROR('ISO · Reg. Notas'!T39,"")</f>
        <v/>
      </c>
      <c r="I39" s="235">
        <f>IFERROR('ISO · Reg. Notas'!U39,"")</f>
        <v/>
      </c>
      <c r="J39" s="228">
        <f>IFERROR('ISO · Reg. Notas'!V39,"")</f>
        <v/>
      </c>
      <c r="K39" s="236">
        <f>IFERROR('ISO · Reg. Notas'!W39,"")</f>
        <v/>
      </c>
      <c r="L39" s="249">
        <f>IFERROR(ROUND(D39*0.13+E39*0.19+F39*0.09+G39*0.16+H39*0.13+I39*0.12+J39*0.13+K39*0.05,2),"")</f>
        <v/>
      </c>
      <c r="M39" s="250">
        <f>IF(L39="","",IF(L39&gt;=5,"APTO","NO APTO"))</f>
        <v/>
      </c>
      <c r="N39" s="79"/>
    </row>
    <row r="40" ht="20" customHeight="1">
      <c r="B40" s="184" t="n">
        <v>30</v>
      </c>
      <c r="C40" s="208">
        <f>IFERROR('ISO · Alumnos'!C39&amp;IF('ISO · Alumnos'!D39&lt;&gt;"",", "&amp;'ISO · Alumnos'!D39,""),"")</f>
        <v/>
      </c>
      <c r="D40" s="218">
        <f>IFERROR('ISO · Reg. Notas'!P40,"")</f>
        <v/>
      </c>
      <c r="E40" s="219">
        <f>IFERROR('ISO · Reg. Notas'!Q40,"")</f>
        <v/>
      </c>
      <c r="F40" s="228">
        <f>IFERROR('ISO · Reg. Notas'!R40,"")</f>
        <v/>
      </c>
      <c r="G40" s="229">
        <f>IFERROR('ISO · Reg. Notas'!S40,"")</f>
        <v/>
      </c>
      <c r="H40" s="230">
        <f>IFERROR('ISO · Reg. Notas'!T40,"")</f>
        <v/>
      </c>
      <c r="I40" s="235">
        <f>IFERROR('ISO · Reg. Notas'!U40,"")</f>
        <v/>
      </c>
      <c r="J40" s="228">
        <f>IFERROR('ISO · Reg. Notas'!V40,"")</f>
        <v/>
      </c>
      <c r="K40" s="236">
        <f>IFERROR('ISO · Reg. Notas'!W40,"")</f>
        <v/>
      </c>
      <c r="L40" s="249">
        <f>IFERROR(ROUND(D40*0.13+E40*0.19+F40*0.09+G40*0.16+H40*0.13+I40*0.12+J40*0.13+K40*0.05,2),"")</f>
        <v/>
      </c>
      <c r="M40" s="251">
        <f>IF(L40="","",IF(L40&gt;=5,"APTO","NO APTO"))</f>
        <v/>
      </c>
      <c r="N40" s="78"/>
    </row>
    <row r="42" ht="22" customHeight="1">
      <c r="B42" s="14" t="inlineStr">
        <is>
          <t>GRUPO</t>
        </is>
      </c>
      <c r="C42" s="14"/>
      <c r="D42" s="127">
        <f>IFERROR(ROUND(AVERAGE(D11:D40),2),"")</f>
        <v/>
      </c>
      <c r="E42" s="147">
        <f>IFERROR(ROUND(AVERAGE(E11:E40),2),"")</f>
        <v/>
      </c>
      <c r="F42" s="157">
        <f>IFERROR(ROUND(AVERAGE(F11:F40),2),"")</f>
        <v/>
      </c>
      <c r="G42" s="252">
        <f>IFERROR(ROUND(AVERAGE(G11:G40),2),"")</f>
        <v/>
      </c>
      <c r="H42" s="253">
        <f>IFERROR(ROUND(AVERAGE(H11:H40),2),"")</f>
        <v/>
      </c>
      <c r="I42" s="254">
        <f>IFERROR(ROUND(AVERAGE(I11:I40),2),"")</f>
        <v/>
      </c>
      <c r="J42" s="255">
        <f>IFERROR(ROUND(AVERAGE(J11:J40),2),"")</f>
        <v/>
      </c>
      <c r="K42" s="256">
        <f>IFERROR(ROUND(AVERAGE(K11:K40),2),"")</f>
        <v/>
      </c>
      <c r="L42" s="14">
        <f>IFERROR(ROUND(AVERAGE(L11:L40),2),"")</f>
        <v/>
      </c>
      <c r="M42" s="14">
        <f>IFERROR(TEXT(COUNTIF(M11:M40,"APTO")/COUNTA(M11:M40),"0%"),"")</f>
        <v/>
      </c>
    </row>
    <row r="44" ht="14" customHeight="1">
      <c r="B44" s="177" t="inlineStr">
        <is>
          <t>🏢  EVALUACIÓN DUAL — Instrucciones y Justificación</t>
        </is>
      </c>
    </row>
    <row r="45" ht="90" customHeight="1">
      <c r="B45" s="178" t="inlineStr">
        <is>
          <t>RA8 — Resolución de incidencias y asistencia técnica — se evalúa en modalidad DUAL de acuerdo con el artículo 42 de la Ley Orgánica 3/2022 de ordenación e integración de la FP, que obliga a dualizar un mínimo del 10% de los Resultados de Aprendizaje. Se ha seleccionado este RA por ser el de mayor aplicabilidad en entorno laboral real (gestión de incidencias ITIL, WDS/MDT, VPN, acceso remoto), el de menor peso ponderado (5% = 0,05 de la nota final) y el que más naturalmente puede ser evaluado por un tutor de empresa sin necesidad de instrumentos técnicos específicos del centro. La calificación la otorga el tutor/a de empresa y se incorpora directamente a la columna RA8 de la hoja 1ªORD.
NOTA IMPORTANTE: En el caso de que este RA no llegue a impartirse en el centro educativo por falta de tiempo lectivo, la evaluación recae íntegramente (100%) en el tutor/a de empresa. Esta circunstancia está prevista y amparada por la modalidad dual: el alumno/a adquiere y demuestra los contenidos de este RA exclusivamente en el entorno de trabajo, y la calificación del tutor/a de empresa es la única que computa para este RA. El peso en la nota final del módulo sigue siendo el mismo: 5% (0,05).</t>
        </is>
      </c>
    </row>
    <row r="46" ht="16" customHeight="1">
      <c r="B46" s="179" t="inlineStr">
        <is>
          <t>→ Introduce la nota de la empresa en la columna RA8 (columna K, fondo verde).  Peso en nota final: 5% = 0.05 puntos.  Base legal: Ley Orgánica 3/2022, art. 42.</t>
        </is>
      </c>
    </row>
  </sheetData>
  <mergeCells count="5">
    <mergeCell ref="B46:N46"/>
    <mergeCell ref="B45:N45"/>
    <mergeCell ref="B44:N44"/>
    <mergeCell ref="B2:K2"/>
    <mergeCell ref="B3:K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5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📋 Calificación Final — 2ª Convocatoria Extraordinaria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Solo alumnado NO APTO en 1ª Convocatoria · ISO 1º ASIR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6">
        <f>HYPERLINK("#ISO · Actividades!A1","📝 Actividades")</f>
        <v/>
      </c>
      <c r="F5" s="6">
        <f>HYPERLINK("#ISO · Reg. Notas!A1","📊 Reg. Notas")</f>
        <v/>
      </c>
      <c r="G5" s="6">
        <f>HYPERLINK("#ISO · Resumen!A1","📈 Resumen")</f>
        <v/>
      </c>
      <c r="H5" s="6">
        <f>HYPERLINK("#ISO · Evaluación 1!A1","Eval 1")</f>
        <v/>
      </c>
      <c r="I5" s="6">
        <f>HYPERLINK("#ISO · Evaluación 2!A1","Eval 2")</f>
        <v/>
      </c>
      <c r="J5" s="6">
        <f>HYPERLINK("#ISO · Evaluación 3!A1","Eval 3")</f>
        <v/>
      </c>
      <c r="K5" s="6">
        <f>HYPERLINK("#ISO · 1ªORD!A1","1ª ORD")</f>
        <v/>
      </c>
      <c r="L5" s="5" t="inlineStr">
        <is>
          <t>2ª ORD</t>
        </is>
      </c>
      <c r="M5" s="6">
        <f>HYPERLINK("#ISO · Rúbricas!A1","🎯 Rúbricas")</f>
        <v/>
      </c>
      <c r="N5" s="6">
        <f>HYPERLINK("#ISO · Informe Grupo!A1","📊 Inf.Grupo")</f>
        <v/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20" customHeight="1">
      <c r="B8" s="187" t="inlineStr">
        <is>
          <t>ℹ️  Registra únicamente el alumnado con resultado NO APTO en 1ª Convocatoria. Introduce el número de alumno/a (columna B) para que el nombre y la nota de 1ªORD se auto-rellenen. La nota extraordinaria sustituye la nota final del módulo.</t>
        </is>
      </c>
    </row>
    <row r="9" ht="12" customHeight="1">
      <c r="D9" s="257" t="inlineStr">
        <is>
          <t>← Auto desde 1ªORD col L</t>
        </is>
      </c>
    </row>
    <row r="10" ht="32" customHeight="1">
      <c r="B10" s="188" t="inlineStr">
        <is>
          <t>Nº
alumno</t>
        </is>
      </c>
      <c r="C10" s="188" t="inlineStr">
        <is>
          <t>Apellidos y Nombre</t>
        </is>
      </c>
      <c r="D10" s="258" t="inlineStr">
        <is>
          <t>Nota 1ªORD</t>
        </is>
      </c>
      <c r="E10" s="259" t="inlineStr">
        <is>
          <t>Nota 2ªORD
(Extraordinaria)</t>
        </is>
      </c>
      <c r="F10" s="188" t="inlineStr">
        <is>
          <t>Nota Final
(computa)</t>
        </is>
      </c>
      <c r="G10" s="188" t="inlineStr">
        <is>
          <t>Resultado</t>
        </is>
      </c>
      <c r="H10" s="188" t="inlineStr">
        <is>
          <t>Observaciones</t>
        </is>
      </c>
    </row>
    <row r="11" ht="20" customHeight="1">
      <c r="B11" s="260"/>
      <c r="C11" s="208">
        <f>IFERROR(IF(B11="","",INDEX('ISO · Alumnos'!C:C,9+B11)&amp;", "&amp;INDEX('ISO · Alumnos'!D:D,9+B11)),"")</f>
        <v/>
      </c>
      <c r="D11" s="261">
        <f>IFERROR(IF(B11="","",INDEX('ISO · 1ªORD'!L:L,10+B11)),"")</f>
        <v/>
      </c>
      <c r="E11" s="262"/>
      <c r="F11" s="249">
        <f>IF(E11="",IF(D11="","",D11),E11)</f>
        <v/>
      </c>
      <c r="G11" s="250">
        <f>IF(F11="","",IF(F11&gt;=5,"APTO","NO APTO"))</f>
        <v/>
      </c>
      <c r="H11" s="79"/>
    </row>
    <row r="12" ht="20" customHeight="1">
      <c r="B12" s="260"/>
      <c r="C12" s="208">
        <f>IFERROR(IF(B12="","",INDEX('ISO · Alumnos'!C:C,9+B12)&amp;", "&amp;INDEX('ISO · Alumnos'!D:D,9+B12)),"")</f>
        <v/>
      </c>
      <c r="D12" s="261">
        <f>IFERROR(IF(B12="","",INDEX('ISO · 1ªORD'!L:L,10+B12)),"")</f>
        <v/>
      </c>
      <c r="E12" s="262"/>
      <c r="F12" s="249">
        <f>IF(E12="",IF(D12="","",D12),E12)</f>
        <v/>
      </c>
      <c r="G12" s="251">
        <f>IF(F12="","",IF(F12&gt;=5,"APTO","NO APTO"))</f>
        <v/>
      </c>
      <c r="H12" s="78"/>
    </row>
    <row r="13" ht="20" customHeight="1">
      <c r="B13" s="260"/>
      <c r="C13" s="208">
        <f>IFERROR(IF(B13="","",INDEX('ISO · Alumnos'!C:C,9+B13)&amp;", "&amp;INDEX('ISO · Alumnos'!D:D,9+B13)),"")</f>
        <v/>
      </c>
      <c r="D13" s="261">
        <f>IFERROR(IF(B13="","",INDEX('ISO · 1ªORD'!L:L,10+B13)),"")</f>
        <v/>
      </c>
      <c r="E13" s="262"/>
      <c r="F13" s="249">
        <f>IF(E13="",IF(D13="","",D13),E13)</f>
        <v/>
      </c>
      <c r="G13" s="250">
        <f>IF(F13="","",IF(F13&gt;=5,"APTO","NO APTO"))</f>
        <v/>
      </c>
      <c r="H13" s="79"/>
    </row>
    <row r="14" ht="20" customHeight="1">
      <c r="B14" s="260"/>
      <c r="C14" s="208">
        <f>IFERROR(IF(B14="","",INDEX('ISO · Alumnos'!C:C,9+B14)&amp;", "&amp;INDEX('ISO · Alumnos'!D:D,9+B14)),"")</f>
        <v/>
      </c>
      <c r="D14" s="261">
        <f>IFERROR(IF(B14="","",INDEX('ISO · 1ªORD'!L:L,10+B14)),"")</f>
        <v/>
      </c>
      <c r="E14" s="262"/>
      <c r="F14" s="249">
        <f>IF(E14="",IF(D14="","",D14),E14)</f>
        <v/>
      </c>
      <c r="G14" s="251">
        <f>IF(F14="","",IF(F14&gt;=5,"APTO","NO APTO"))</f>
        <v/>
      </c>
      <c r="H14" s="78"/>
    </row>
    <row r="15" ht="20" customHeight="1">
      <c r="B15" s="260"/>
      <c r="C15" s="208">
        <f>IFERROR(IF(B15="","",INDEX('ISO · Alumnos'!C:C,9+B15)&amp;", "&amp;INDEX('ISO · Alumnos'!D:D,9+B15)),"")</f>
        <v/>
      </c>
      <c r="D15" s="261">
        <f>IFERROR(IF(B15="","",INDEX('ISO · 1ªORD'!L:L,10+B15)),"")</f>
        <v/>
      </c>
      <c r="E15" s="262"/>
      <c r="F15" s="249">
        <f>IF(E15="",IF(D15="","",D15),E15)</f>
        <v/>
      </c>
      <c r="G15" s="250">
        <f>IF(F15="","",IF(F15&gt;=5,"APTO","NO APTO"))</f>
        <v/>
      </c>
      <c r="H15" s="79"/>
    </row>
    <row r="16" ht="20" customHeight="1">
      <c r="B16" s="260"/>
      <c r="C16" s="208">
        <f>IFERROR(IF(B16="","",INDEX('ISO · Alumnos'!C:C,9+B16)&amp;", "&amp;INDEX('ISO · Alumnos'!D:D,9+B16)),"")</f>
        <v/>
      </c>
      <c r="D16" s="261">
        <f>IFERROR(IF(B16="","",INDEX('ISO · 1ªORD'!L:L,10+B16)),"")</f>
        <v/>
      </c>
      <c r="E16" s="262"/>
      <c r="F16" s="249">
        <f>IF(E16="",IF(D16="","",D16),E16)</f>
        <v/>
      </c>
      <c r="G16" s="251">
        <f>IF(F16="","",IF(F16&gt;=5,"APTO","NO APTO"))</f>
        <v/>
      </c>
      <c r="H16" s="78"/>
    </row>
    <row r="17" ht="20" customHeight="1">
      <c r="B17" s="260"/>
      <c r="C17" s="208">
        <f>IFERROR(IF(B17="","",INDEX('ISO · Alumnos'!C:C,9+B17)&amp;", "&amp;INDEX('ISO · Alumnos'!D:D,9+B17)),"")</f>
        <v/>
      </c>
      <c r="D17" s="261">
        <f>IFERROR(IF(B17="","",INDEX('ISO · 1ªORD'!L:L,10+B17)),"")</f>
        <v/>
      </c>
      <c r="E17" s="262"/>
      <c r="F17" s="249">
        <f>IF(E17="",IF(D17="","",D17),E17)</f>
        <v/>
      </c>
      <c r="G17" s="250">
        <f>IF(F17="","",IF(F17&gt;=5,"APTO","NO APTO"))</f>
        <v/>
      </c>
      <c r="H17" s="79"/>
    </row>
    <row r="18" ht="20" customHeight="1">
      <c r="B18" s="260"/>
      <c r="C18" s="208">
        <f>IFERROR(IF(B18="","",INDEX('ISO · Alumnos'!C:C,9+B18)&amp;", "&amp;INDEX('ISO · Alumnos'!D:D,9+B18)),"")</f>
        <v/>
      </c>
      <c r="D18" s="261">
        <f>IFERROR(IF(B18="","",INDEX('ISO · 1ªORD'!L:L,10+B18)),"")</f>
        <v/>
      </c>
      <c r="E18" s="262"/>
      <c r="F18" s="249">
        <f>IF(E18="",IF(D18="","",D18),E18)</f>
        <v/>
      </c>
      <c r="G18" s="251">
        <f>IF(F18="","",IF(F18&gt;=5,"APTO","NO APTO"))</f>
        <v/>
      </c>
      <c r="H18" s="78"/>
    </row>
    <row r="19" ht="20" customHeight="1">
      <c r="B19" s="260"/>
      <c r="C19" s="208">
        <f>IFERROR(IF(B19="","",INDEX('ISO · Alumnos'!C:C,9+B19)&amp;", "&amp;INDEX('ISO · Alumnos'!D:D,9+B19)),"")</f>
        <v/>
      </c>
      <c r="D19" s="261">
        <f>IFERROR(IF(B19="","",INDEX('ISO · 1ªORD'!L:L,10+B19)),"")</f>
        <v/>
      </c>
      <c r="E19" s="262"/>
      <c r="F19" s="249">
        <f>IF(E19="",IF(D19="","",D19),E19)</f>
        <v/>
      </c>
      <c r="G19" s="250">
        <f>IF(F19="","",IF(F19&gt;=5,"APTO","NO APTO"))</f>
        <v/>
      </c>
      <c r="H19" s="79"/>
    </row>
    <row r="20" ht="20" customHeight="1">
      <c r="B20" s="260"/>
      <c r="C20" s="208">
        <f>IFERROR(IF(B20="","",INDEX('ISO · Alumnos'!C:C,9+B20)&amp;", "&amp;INDEX('ISO · Alumnos'!D:D,9+B20)),"")</f>
        <v/>
      </c>
      <c r="D20" s="261">
        <f>IFERROR(IF(B20="","",INDEX('ISO · 1ªORD'!L:L,10+B20)),"")</f>
        <v/>
      </c>
      <c r="E20" s="262"/>
      <c r="F20" s="249">
        <f>IF(E20="",IF(D20="","",D20),E20)</f>
        <v/>
      </c>
      <c r="G20" s="251">
        <f>IF(F20="","",IF(F20&gt;=5,"APTO","NO APTO"))</f>
        <v/>
      </c>
      <c r="H20" s="78"/>
    </row>
    <row r="21" ht="20" customHeight="1">
      <c r="B21" s="260"/>
      <c r="C21" s="208">
        <f>IFERROR(IF(B21="","",INDEX('ISO · Alumnos'!C:C,9+B21)&amp;", "&amp;INDEX('ISO · Alumnos'!D:D,9+B21)),"")</f>
        <v/>
      </c>
      <c r="D21" s="261">
        <f>IFERROR(IF(B21="","",INDEX('ISO · 1ªORD'!L:L,10+B21)),"")</f>
        <v/>
      </c>
      <c r="E21" s="262"/>
      <c r="F21" s="249">
        <f>IF(E21="",IF(D21="","",D21),E21)</f>
        <v/>
      </c>
      <c r="G21" s="250">
        <f>IF(F21="","",IF(F21&gt;=5,"APTO","NO APTO"))</f>
        <v/>
      </c>
      <c r="H21" s="79"/>
    </row>
    <row r="22" ht="20" customHeight="1">
      <c r="B22" s="260"/>
      <c r="C22" s="208">
        <f>IFERROR(IF(B22="","",INDEX('ISO · Alumnos'!C:C,9+B22)&amp;", "&amp;INDEX('ISO · Alumnos'!D:D,9+B22)),"")</f>
        <v/>
      </c>
      <c r="D22" s="261">
        <f>IFERROR(IF(B22="","",INDEX('ISO · 1ªORD'!L:L,10+B22)),"")</f>
        <v/>
      </c>
      <c r="E22" s="262"/>
      <c r="F22" s="249">
        <f>IF(E22="",IF(D22="","",D22),E22)</f>
        <v/>
      </c>
      <c r="G22" s="251">
        <f>IF(F22="","",IF(F22&gt;=5,"APTO","NO APTO"))</f>
        <v/>
      </c>
      <c r="H22" s="78"/>
    </row>
    <row r="23" ht="20" customHeight="1">
      <c r="B23" s="260"/>
      <c r="C23" s="208">
        <f>IFERROR(IF(B23="","",INDEX('ISO · Alumnos'!C:C,9+B23)&amp;", "&amp;INDEX('ISO · Alumnos'!D:D,9+B23)),"")</f>
        <v/>
      </c>
      <c r="D23" s="261">
        <f>IFERROR(IF(B23="","",INDEX('ISO · 1ªORD'!L:L,10+B23)),"")</f>
        <v/>
      </c>
      <c r="E23" s="262"/>
      <c r="F23" s="249">
        <f>IF(E23="",IF(D23="","",D23),E23)</f>
        <v/>
      </c>
      <c r="G23" s="250">
        <f>IF(F23="","",IF(F23&gt;=5,"APTO","NO APTO"))</f>
        <v/>
      </c>
      <c r="H23" s="79"/>
    </row>
    <row r="24" ht="20" customHeight="1">
      <c r="B24" s="260"/>
      <c r="C24" s="208">
        <f>IFERROR(IF(B24="","",INDEX('ISO · Alumnos'!C:C,9+B24)&amp;", "&amp;INDEX('ISO · Alumnos'!D:D,9+B24)),"")</f>
        <v/>
      </c>
      <c r="D24" s="261">
        <f>IFERROR(IF(B24="","",INDEX('ISO · 1ªORD'!L:L,10+B24)),"")</f>
        <v/>
      </c>
      <c r="E24" s="262"/>
      <c r="F24" s="249">
        <f>IF(E24="",IF(D24="","",D24),E24)</f>
        <v/>
      </c>
      <c r="G24" s="251">
        <f>IF(F24="","",IF(F24&gt;=5,"APTO","NO APTO"))</f>
        <v/>
      </c>
      <c r="H24" s="78"/>
    </row>
    <row r="25" ht="20" customHeight="1">
      <c r="B25" s="260"/>
      <c r="C25" s="208">
        <f>IFERROR(IF(B25="","",INDEX('ISO · Alumnos'!C:C,9+B25)&amp;", "&amp;INDEX('ISO · Alumnos'!D:D,9+B25)),"")</f>
        <v/>
      </c>
      <c r="D25" s="261">
        <f>IFERROR(IF(B25="","",INDEX('ISO · 1ªORD'!L:L,10+B25)),"")</f>
        <v/>
      </c>
      <c r="E25" s="262"/>
      <c r="F25" s="249">
        <f>IF(E25="",IF(D25="","",D25),E25)</f>
        <v/>
      </c>
      <c r="G25" s="250">
        <f>IF(F25="","",IF(F25&gt;=5,"APTO","NO APTO"))</f>
        <v/>
      </c>
      <c r="H25" s="79"/>
    </row>
    <row r="26" ht="20" customHeight="1">
      <c r="B26" s="260"/>
      <c r="C26" s="208">
        <f>IFERROR(IF(B26="","",INDEX('ISO · Alumnos'!C:C,9+B26)&amp;", "&amp;INDEX('ISO · Alumnos'!D:D,9+B26)),"")</f>
        <v/>
      </c>
      <c r="D26" s="261">
        <f>IFERROR(IF(B26="","",INDEX('ISO · 1ªORD'!L:L,10+B26)),"")</f>
        <v/>
      </c>
      <c r="E26" s="262"/>
      <c r="F26" s="249">
        <f>IF(E26="",IF(D26="","",D26),E26)</f>
        <v/>
      </c>
      <c r="G26" s="251">
        <f>IF(F26="","",IF(F26&gt;=5,"APTO","NO APTO"))</f>
        <v/>
      </c>
      <c r="H26" s="78"/>
    </row>
    <row r="27" ht="20" customHeight="1">
      <c r="B27" s="260"/>
      <c r="C27" s="208">
        <f>IFERROR(IF(B27="","",INDEX('ISO · Alumnos'!C:C,9+B27)&amp;", "&amp;INDEX('ISO · Alumnos'!D:D,9+B27)),"")</f>
        <v/>
      </c>
      <c r="D27" s="261">
        <f>IFERROR(IF(B27="","",INDEX('ISO · 1ªORD'!L:L,10+B27)),"")</f>
        <v/>
      </c>
      <c r="E27" s="262"/>
      <c r="F27" s="249">
        <f>IF(E27="",IF(D27="","",D27),E27)</f>
        <v/>
      </c>
      <c r="G27" s="250">
        <f>IF(F27="","",IF(F27&gt;=5,"APTO","NO APTO"))</f>
        <v/>
      </c>
      <c r="H27" s="79"/>
    </row>
    <row r="28" ht="20" customHeight="1">
      <c r="B28" s="260"/>
      <c r="C28" s="208">
        <f>IFERROR(IF(B28="","",INDEX('ISO · Alumnos'!C:C,9+B28)&amp;", "&amp;INDEX('ISO · Alumnos'!D:D,9+B28)),"")</f>
        <v/>
      </c>
      <c r="D28" s="261">
        <f>IFERROR(IF(B28="","",INDEX('ISO · 1ªORD'!L:L,10+B28)),"")</f>
        <v/>
      </c>
      <c r="E28" s="262"/>
      <c r="F28" s="249">
        <f>IF(E28="",IF(D28="","",D28),E28)</f>
        <v/>
      </c>
      <c r="G28" s="251">
        <f>IF(F28="","",IF(F28&gt;=5,"APTO","NO APTO"))</f>
        <v/>
      </c>
      <c r="H28" s="78"/>
    </row>
    <row r="29" ht="20" customHeight="1">
      <c r="B29" s="260"/>
      <c r="C29" s="208">
        <f>IFERROR(IF(B29="","",INDEX('ISO · Alumnos'!C:C,9+B29)&amp;", "&amp;INDEX('ISO · Alumnos'!D:D,9+B29)),"")</f>
        <v/>
      </c>
      <c r="D29" s="261">
        <f>IFERROR(IF(B29="","",INDEX('ISO · 1ªORD'!L:L,10+B29)),"")</f>
        <v/>
      </c>
      <c r="E29" s="262"/>
      <c r="F29" s="249">
        <f>IF(E29="",IF(D29="","",D29),E29)</f>
        <v/>
      </c>
      <c r="G29" s="250">
        <f>IF(F29="","",IF(F29&gt;=5,"APTO","NO APTO"))</f>
        <v/>
      </c>
      <c r="H29" s="79"/>
    </row>
    <row r="30" ht="20" customHeight="1">
      <c r="B30" s="260"/>
      <c r="C30" s="208">
        <f>IFERROR(IF(B30="","",INDEX('ISO · Alumnos'!C:C,9+B30)&amp;", "&amp;INDEX('ISO · Alumnos'!D:D,9+B30)),"")</f>
        <v/>
      </c>
      <c r="D30" s="261">
        <f>IFERROR(IF(B30="","",INDEX('ISO · 1ªORD'!L:L,10+B30)),"")</f>
        <v/>
      </c>
      <c r="E30" s="262"/>
      <c r="F30" s="249">
        <f>IF(E30="",IF(D30="","",D30),E30)</f>
        <v/>
      </c>
      <c r="G30" s="251">
        <f>IF(F30="","",IF(F30&gt;=5,"APTO","NO APTO"))</f>
        <v/>
      </c>
      <c r="H30" s="78"/>
    </row>
    <row r="32" ht="16" customHeight="1">
      <c r="B32" s="263" t="inlineStr">
        <is>
          <t>★  Introduce el número de alumno/a (1-30) en columna B. El nombre y la nota de 1ªORD se cargarán automáticamente. El alumnado APTO en 1ª convocatoria no debe aparecer aquí.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119"/>
  <sheetViews>
    <sheetView workbookViewId="0">
      <pane xSplit="1" ySplit="8" topLeftCell="B9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30" customWidth="1" min="4" max="4"/>
    <col width="30" customWidth="1" min="5" max="5"/>
    <col width="30" customWidth="1" min="6" max="6"/>
    <col width="9" customWidth="1" min="7" max="7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🎯 Rúbricas de Evaluación — ISO 1º ASIR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Indicadores de logro por Resultado de Aprendizaje · Implantación de Sistemas Operativos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6">
        <f>HYPERLINK("#ISO · Actividades!A1","📝 Actividades")</f>
        <v/>
      </c>
      <c r="F5" s="6">
        <f>HYPERLINK("#ISO · Reg. Notas!A1","📊 Reg. Notas")</f>
        <v/>
      </c>
      <c r="G5" s="6">
        <f>HYPERLINK("#ISO · Resumen!A1","📈 Resumen")</f>
        <v/>
      </c>
      <c r="H5" s="6">
        <f>HYPERLINK("#ISO · Evaluación 1!A1","Eval 1")</f>
        <v/>
      </c>
      <c r="I5" s="6">
        <f>HYPERLINK("#ISO · Evaluación 2!A1","Eval 2")</f>
        <v/>
      </c>
      <c r="J5" s="6">
        <f>HYPERLINK("#ISO · Evaluación 3!A1","Eval 3")</f>
        <v/>
      </c>
      <c r="K5" s="6">
        <f>HYPERLINK("#ISO · 1ªORD!A1","1ª ORD")</f>
        <v/>
      </c>
      <c r="L5" s="6">
        <f>HYPERLINK("#ISO · 2ªORD!A1","2ª ORD")</f>
        <v/>
      </c>
      <c r="M5" s="5" t="inlineStr">
        <is>
          <t>🎯 Rúbricas</t>
        </is>
      </c>
      <c r="N5" s="6">
        <f>HYPERLINK("#ISO · Informe Grupo!A1","📊 Inf.Grupo")</f>
        <v/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20" customHeight="1">
      <c r="B8" s="264" t="inlineStr">
        <is>
          <t>ℹ️  Rúbricas generadas automáticamente desde la Programación. Los descriptores son orientativos — edítalos para adaptarlos a tu módulo y actividades. Peso CE: distribución equitativa por defecto (modifica si lo necesitas).</t>
        </is>
      </c>
    </row>
    <row r="9" ht="20" customHeight="1">
      <c r="B9" s="265" t="inlineStr">
        <is>
          <t>RA1 · EV1 · Pond. 13%  —  Instala sistemas operativos, relacionando sus características con el hardware del equipo y el software de aplicación.</t>
        </is>
      </c>
    </row>
    <row r="10" ht="36" customHeight="1">
      <c r="B10" s="36" t="inlineStr">
        <is>
          <t>CE / Indicador</t>
        </is>
      </c>
      <c r="C10" s="102" t="inlineStr">
        <is>
          <t>Nivel 1
No Alcanzado
(0 – 4)</t>
        </is>
      </c>
      <c r="D10" s="103" t="inlineStr">
        <is>
          <t>Nivel 2
En Proceso
(5 – 6)</t>
        </is>
      </c>
      <c r="E10" s="216" t="inlineStr">
        <is>
          <t>Nivel 3
Alcanzado
(7 – 8)</t>
        </is>
      </c>
      <c r="F10" s="101" t="inlineStr">
        <is>
          <t>Nivel 4
Sobresaliente
(9 – 10)</t>
        </is>
      </c>
      <c r="G10" s="36" t="inlineStr">
        <is>
          <t>Peso
en RA</t>
        </is>
      </c>
    </row>
    <row r="11" ht="52" customHeight="1">
      <c r="B11" s="189" t="inlineStr">
        <is>
          <t>CR1</t>
        </is>
      </c>
      <c r="C11" s="266" t="inlineStr">
        <is>
          <t>No identifica CR1 ni lo aplica en el contexto de Instala sistemas operativos.</t>
        </is>
      </c>
      <c r="D11" s="267" t="inlineStr">
        <is>
          <t>Identifica CR1 con ayuda; lo aplica con errores o de forma incompleta.</t>
        </is>
      </c>
      <c r="E11" s="268" t="inlineStr">
        <is>
          <t>Aplica CR1 de forma correcta y autónoma en situaciones habituales.</t>
        </is>
      </c>
      <c r="F11" s="269" t="inlineStr">
        <is>
          <t>Aplica CR1 con criterio propio en situaciones nuevas; propone mejoras.</t>
        </is>
      </c>
      <c r="G11" s="56" t="inlineStr">
        <is>
          <t>12.5%</t>
        </is>
      </c>
    </row>
    <row r="12" ht="52" customHeight="1">
      <c r="B12" s="189" t="inlineStr">
        <is>
          <t>CR2</t>
        </is>
      </c>
      <c r="C12" s="266" t="inlineStr">
        <is>
          <t>No identifica CR2 ni lo aplica en el contexto de Instala sistemas operativos.</t>
        </is>
      </c>
      <c r="D12" s="267" t="inlineStr">
        <is>
          <t>Identifica CR2 con ayuda; lo aplica con errores o de forma incompleta.</t>
        </is>
      </c>
      <c r="E12" s="268" t="inlineStr">
        <is>
          <t>Aplica CR2 de forma correcta y autónoma en situaciones habituales.</t>
        </is>
      </c>
      <c r="F12" s="269" t="inlineStr">
        <is>
          <t>Aplica CR2 con criterio propio en situaciones nuevas; propone mejoras.</t>
        </is>
      </c>
      <c r="G12" s="54" t="inlineStr">
        <is>
          <t>12.5%</t>
        </is>
      </c>
    </row>
    <row r="13" ht="52" customHeight="1">
      <c r="B13" s="189" t="inlineStr">
        <is>
          <t>CR3</t>
        </is>
      </c>
      <c r="C13" s="266" t="inlineStr">
        <is>
          <t>No identifica CR3 ni lo aplica en el contexto de Instala sistemas operativos.</t>
        </is>
      </c>
      <c r="D13" s="267" t="inlineStr">
        <is>
          <t>Identifica CR3 con ayuda; lo aplica con errores o de forma incompleta.</t>
        </is>
      </c>
      <c r="E13" s="268" t="inlineStr">
        <is>
          <t>Aplica CR3 de forma correcta y autónoma en situaciones habituales.</t>
        </is>
      </c>
      <c r="F13" s="269" t="inlineStr">
        <is>
          <t>Aplica CR3 con criterio propio en situaciones nuevas; propone mejoras.</t>
        </is>
      </c>
      <c r="G13" s="56" t="inlineStr">
        <is>
          <t>12.5%</t>
        </is>
      </c>
    </row>
    <row r="14" ht="52" customHeight="1">
      <c r="B14" s="189" t="inlineStr">
        <is>
          <t>CR4</t>
        </is>
      </c>
      <c r="C14" s="266" t="inlineStr">
        <is>
          <t>No identifica CR4 ni lo aplica en el contexto de Instala sistemas operativos.</t>
        </is>
      </c>
      <c r="D14" s="267" t="inlineStr">
        <is>
          <t>Identifica CR4 con ayuda; lo aplica con errores o de forma incompleta.</t>
        </is>
      </c>
      <c r="E14" s="268" t="inlineStr">
        <is>
          <t>Aplica CR4 de forma correcta y autónoma en situaciones habituales.</t>
        </is>
      </c>
      <c r="F14" s="269" t="inlineStr">
        <is>
          <t>Aplica CR4 con criterio propio en situaciones nuevas; propone mejoras.</t>
        </is>
      </c>
      <c r="G14" s="54" t="inlineStr">
        <is>
          <t>12.5%</t>
        </is>
      </c>
    </row>
    <row r="15" ht="52" customHeight="1">
      <c r="B15" s="189" t="inlineStr">
        <is>
          <t>CR5</t>
        </is>
      </c>
      <c r="C15" s="266" t="inlineStr">
        <is>
          <t>No identifica CR5 ni lo aplica en el contexto de Instala sistemas operativos.</t>
        </is>
      </c>
      <c r="D15" s="267" t="inlineStr">
        <is>
          <t>Identifica CR5 con ayuda; lo aplica con errores o de forma incompleta.</t>
        </is>
      </c>
      <c r="E15" s="268" t="inlineStr">
        <is>
          <t>Aplica CR5 de forma correcta y autónoma en situaciones habituales.</t>
        </is>
      </c>
      <c r="F15" s="269" t="inlineStr">
        <is>
          <t>Aplica CR5 con criterio propio en situaciones nuevas; propone mejoras.</t>
        </is>
      </c>
      <c r="G15" s="56" t="inlineStr">
        <is>
          <t>12.5%</t>
        </is>
      </c>
    </row>
    <row r="16" ht="52" customHeight="1">
      <c r="B16" s="189" t="inlineStr">
        <is>
          <t>CR6</t>
        </is>
      </c>
      <c r="C16" s="266" t="inlineStr">
        <is>
          <t>No identifica CR6 ni lo aplica en el contexto de Instala sistemas operativos.</t>
        </is>
      </c>
      <c r="D16" s="267" t="inlineStr">
        <is>
          <t>Identifica CR6 con ayuda; lo aplica con errores o de forma incompleta.</t>
        </is>
      </c>
      <c r="E16" s="268" t="inlineStr">
        <is>
          <t>Aplica CR6 de forma correcta y autónoma en situaciones habituales.</t>
        </is>
      </c>
      <c r="F16" s="269" t="inlineStr">
        <is>
          <t>Aplica CR6 con criterio propio en situaciones nuevas; propone mejoras.</t>
        </is>
      </c>
      <c r="G16" s="54" t="inlineStr">
        <is>
          <t>12.5%</t>
        </is>
      </c>
    </row>
    <row r="17" ht="52" customHeight="1">
      <c r="B17" s="189" t="inlineStr">
        <is>
          <t>CR7</t>
        </is>
      </c>
      <c r="C17" s="266" t="inlineStr">
        <is>
          <t>No identifica CR7 ni lo aplica en el contexto de Instala sistemas operativos.</t>
        </is>
      </c>
      <c r="D17" s="267" t="inlineStr">
        <is>
          <t>Identifica CR7 con ayuda; lo aplica con errores o de forma incompleta.</t>
        </is>
      </c>
      <c r="E17" s="268" t="inlineStr">
        <is>
          <t>Aplica CR7 de forma correcta y autónoma en situaciones habituales.</t>
        </is>
      </c>
      <c r="F17" s="269" t="inlineStr">
        <is>
          <t>Aplica CR7 con criterio propio en situaciones nuevas; propone mejoras.</t>
        </is>
      </c>
      <c r="G17" s="56" t="inlineStr">
        <is>
          <t>12.5%</t>
        </is>
      </c>
    </row>
    <row r="18" ht="52" customHeight="1">
      <c r="B18" s="189" t="inlineStr">
        <is>
          <t>CR8</t>
        </is>
      </c>
      <c r="C18" s="266" t="inlineStr">
        <is>
          <t>No identifica CR8 ni lo aplica en el contexto de Instala sistemas operativos.</t>
        </is>
      </c>
      <c r="D18" s="267" t="inlineStr">
        <is>
          <t>Identifica CR8 con ayuda; lo aplica con errores o de forma incompleta.</t>
        </is>
      </c>
      <c r="E18" s="268" t="inlineStr">
        <is>
          <t>Aplica CR8 de forma correcta y autónoma en situaciones habituales.</t>
        </is>
      </c>
      <c r="F18" s="269" t="inlineStr">
        <is>
          <t>Aplica CR8 con criterio propio en situaciones nuevas; propone mejoras.</t>
        </is>
      </c>
      <c r="G18" s="54" t="inlineStr">
        <is>
          <t>12.5%</t>
        </is>
      </c>
    </row>
    <row r="19" ht="16" customHeight="1">
      <c r="B19" s="270" t="inlineStr">
        <is>
          <t>Total: 8 indicadores · Nota RA: media ponderada de niveles × 2.5  (Nivel 1=0-4 · Nivel 2=5-6 · Nivel 3=7-8 · Nivel 4=9-10)</t>
        </is>
      </c>
      <c r="G19" s="127" t="inlineStr">
        <is>
          <t>100%</t>
        </is>
      </c>
    </row>
    <row r="20" ht="6" customHeight="1">
      <c r="B20" s="1"/>
      <c r="C20" s="1"/>
      <c r="D20" s="1"/>
      <c r="E20" s="1"/>
      <c r="F20" s="1"/>
      <c r="G20" s="1"/>
    </row>
    <row r="21" ht="20" customHeight="1">
      <c r="B21" s="271" t="inlineStr">
        <is>
          <t>RA2 · EV1 · Pond. 19%  —  Gestiona el software de base, aplicando criterios de explotación del sistema.</t>
        </is>
      </c>
    </row>
    <row r="22" ht="36" customHeight="1">
      <c r="B22" s="36" t="inlineStr">
        <is>
          <t>CE / Indicador</t>
        </is>
      </c>
      <c r="C22" s="102" t="inlineStr">
        <is>
          <t>Nivel 1
No Alcanzado
(0 – 4)</t>
        </is>
      </c>
      <c r="D22" s="103" t="inlineStr">
        <is>
          <t>Nivel 2
En Proceso
(5 – 6)</t>
        </is>
      </c>
      <c r="E22" s="216" t="inlineStr">
        <is>
          <t>Nivel 3
Alcanzado
(7 – 8)</t>
        </is>
      </c>
      <c r="F22" s="101" t="inlineStr">
        <is>
          <t>Nivel 4
Sobresaliente
(9 – 10)</t>
        </is>
      </c>
      <c r="G22" s="36" t="inlineStr">
        <is>
          <t>Peso
en RA</t>
        </is>
      </c>
    </row>
    <row r="23" ht="52" customHeight="1">
      <c r="B23" s="189" t="inlineStr">
        <is>
          <t>CR1</t>
        </is>
      </c>
      <c r="C23" s="266" t="inlineStr">
        <is>
          <t>No identifica CR1 ni lo aplica en el contexto de Gestiona el software de base.</t>
        </is>
      </c>
      <c r="D23" s="267" t="inlineStr">
        <is>
          <t>Identifica CR1 con ayuda; lo aplica con errores o de forma incompleta.</t>
        </is>
      </c>
      <c r="E23" s="268" t="inlineStr">
        <is>
          <t>Aplica CR1 de forma correcta y autónoma en situaciones habituales.</t>
        </is>
      </c>
      <c r="F23" s="269" t="inlineStr">
        <is>
          <t>Aplica CR1 con criterio propio en situaciones nuevas; propone mejoras.</t>
        </is>
      </c>
      <c r="G23" s="62" t="inlineStr">
        <is>
          <t>5.3%</t>
        </is>
      </c>
    </row>
    <row r="24" ht="52" customHeight="1">
      <c r="B24" s="189" t="inlineStr">
        <is>
          <t>CR2</t>
        </is>
      </c>
      <c r="C24" s="266" t="inlineStr">
        <is>
          <t>No identifica CR2 ni lo aplica en el contexto de Gestiona el software de base.</t>
        </is>
      </c>
      <c r="D24" s="267" t="inlineStr">
        <is>
          <t>Identifica CR2 con ayuda; lo aplica con errores o de forma incompleta.</t>
        </is>
      </c>
      <c r="E24" s="268" t="inlineStr">
        <is>
          <t>Aplica CR2 de forma correcta y autónoma en situaciones habituales.</t>
        </is>
      </c>
      <c r="F24" s="269" t="inlineStr">
        <is>
          <t>Aplica CR2 con criterio propio en situaciones nuevas; propone mejoras.</t>
        </is>
      </c>
      <c r="G24" s="54" t="inlineStr">
        <is>
          <t>5.3%</t>
        </is>
      </c>
    </row>
    <row r="25" ht="52" customHeight="1">
      <c r="B25" s="189" t="inlineStr">
        <is>
          <t>CR3</t>
        </is>
      </c>
      <c r="C25" s="266" t="inlineStr">
        <is>
          <t>No identifica CR3 ni lo aplica en el contexto de Gestiona el software de base.</t>
        </is>
      </c>
      <c r="D25" s="267" t="inlineStr">
        <is>
          <t>Identifica CR3 con ayuda; lo aplica con errores o de forma incompleta.</t>
        </is>
      </c>
      <c r="E25" s="268" t="inlineStr">
        <is>
          <t>Aplica CR3 de forma correcta y autónoma en situaciones habituales.</t>
        </is>
      </c>
      <c r="F25" s="269" t="inlineStr">
        <is>
          <t>Aplica CR3 con criterio propio en situaciones nuevas; propone mejoras.</t>
        </is>
      </c>
      <c r="G25" s="62" t="inlineStr">
        <is>
          <t>5.3%</t>
        </is>
      </c>
    </row>
    <row r="26" ht="52" customHeight="1">
      <c r="B26" s="189" t="inlineStr">
        <is>
          <t>CR4</t>
        </is>
      </c>
      <c r="C26" s="266" t="inlineStr">
        <is>
          <t>No identifica CR4 ni lo aplica en el contexto de Gestiona el software de base.</t>
        </is>
      </c>
      <c r="D26" s="267" t="inlineStr">
        <is>
          <t>Identifica CR4 con ayuda; lo aplica con errores o de forma incompleta.</t>
        </is>
      </c>
      <c r="E26" s="268" t="inlineStr">
        <is>
          <t>Aplica CR4 de forma correcta y autónoma en situaciones habituales.</t>
        </is>
      </c>
      <c r="F26" s="269" t="inlineStr">
        <is>
          <t>Aplica CR4 con criterio propio en situaciones nuevas; propone mejoras.</t>
        </is>
      </c>
      <c r="G26" s="54" t="inlineStr">
        <is>
          <t>5.3%</t>
        </is>
      </c>
    </row>
    <row r="27" ht="52" customHeight="1">
      <c r="B27" s="189" t="inlineStr">
        <is>
          <t>CR5</t>
        </is>
      </c>
      <c r="C27" s="266" t="inlineStr">
        <is>
          <t>No identifica CR5 ni lo aplica en el contexto de Gestiona el software de base.</t>
        </is>
      </c>
      <c r="D27" s="267" t="inlineStr">
        <is>
          <t>Identifica CR5 con ayuda; lo aplica con errores o de forma incompleta.</t>
        </is>
      </c>
      <c r="E27" s="268" t="inlineStr">
        <is>
          <t>Aplica CR5 de forma correcta y autónoma en situaciones habituales.</t>
        </is>
      </c>
      <c r="F27" s="269" t="inlineStr">
        <is>
          <t>Aplica CR5 con criterio propio en situaciones nuevas; propone mejoras.</t>
        </is>
      </c>
      <c r="G27" s="62" t="inlineStr">
        <is>
          <t>5.3%</t>
        </is>
      </c>
    </row>
    <row r="28" ht="52" customHeight="1">
      <c r="B28" s="189" t="inlineStr">
        <is>
          <t>CR6</t>
        </is>
      </c>
      <c r="C28" s="266" t="inlineStr">
        <is>
          <t>No identifica CR6 ni lo aplica en el contexto de Gestiona el software de base.</t>
        </is>
      </c>
      <c r="D28" s="267" t="inlineStr">
        <is>
          <t>Identifica CR6 con ayuda; lo aplica con errores o de forma incompleta.</t>
        </is>
      </c>
      <c r="E28" s="268" t="inlineStr">
        <is>
          <t>Aplica CR6 de forma correcta y autónoma en situaciones habituales.</t>
        </is>
      </c>
      <c r="F28" s="269" t="inlineStr">
        <is>
          <t>Aplica CR6 con criterio propio en situaciones nuevas; propone mejoras.</t>
        </is>
      </c>
      <c r="G28" s="54" t="inlineStr">
        <is>
          <t>5.3%</t>
        </is>
      </c>
    </row>
    <row r="29" ht="52" customHeight="1">
      <c r="B29" s="189" t="inlineStr">
        <is>
          <t>CR7</t>
        </is>
      </c>
      <c r="C29" s="266" t="inlineStr">
        <is>
          <t>No identifica CR7 ni lo aplica en el contexto de Gestiona el software de base.</t>
        </is>
      </c>
      <c r="D29" s="267" t="inlineStr">
        <is>
          <t>Identifica CR7 con ayuda; lo aplica con errores o de forma incompleta.</t>
        </is>
      </c>
      <c r="E29" s="268" t="inlineStr">
        <is>
          <t>Aplica CR7 de forma correcta y autónoma en situaciones habituales.</t>
        </is>
      </c>
      <c r="F29" s="269" t="inlineStr">
        <is>
          <t>Aplica CR7 con criterio propio en situaciones nuevas; propone mejoras.</t>
        </is>
      </c>
      <c r="G29" s="62" t="inlineStr">
        <is>
          <t>5.3%</t>
        </is>
      </c>
    </row>
    <row r="30" ht="52" customHeight="1">
      <c r="B30" s="189" t="inlineStr">
        <is>
          <t>CR8</t>
        </is>
      </c>
      <c r="C30" s="266" t="inlineStr">
        <is>
          <t>No identifica CR8 ni lo aplica en el contexto de Gestiona el software de base.</t>
        </is>
      </c>
      <c r="D30" s="267" t="inlineStr">
        <is>
          <t>Identifica CR8 con ayuda; lo aplica con errores o de forma incompleta.</t>
        </is>
      </c>
      <c r="E30" s="268" t="inlineStr">
        <is>
          <t>Aplica CR8 de forma correcta y autónoma en situaciones habituales.</t>
        </is>
      </c>
      <c r="F30" s="269" t="inlineStr">
        <is>
          <t>Aplica CR8 con criterio propio en situaciones nuevas; propone mejoras.</t>
        </is>
      </c>
      <c r="G30" s="54" t="inlineStr">
        <is>
          <t>5.3%</t>
        </is>
      </c>
    </row>
    <row r="31" ht="52" customHeight="1">
      <c r="B31" s="189" t="inlineStr">
        <is>
          <t>CR9</t>
        </is>
      </c>
      <c r="C31" s="266" t="inlineStr">
        <is>
          <t>No identifica CR9 ni lo aplica en el contexto de Gestiona el software de base.</t>
        </is>
      </c>
      <c r="D31" s="267" t="inlineStr">
        <is>
          <t>Identifica CR9 con ayuda; lo aplica con errores o de forma incompleta.</t>
        </is>
      </c>
      <c r="E31" s="268" t="inlineStr">
        <is>
          <t>Aplica CR9 de forma correcta y autónoma en situaciones habituales.</t>
        </is>
      </c>
      <c r="F31" s="269" t="inlineStr">
        <is>
          <t>Aplica CR9 con criterio propio en situaciones nuevas; propone mejoras.</t>
        </is>
      </c>
      <c r="G31" s="62" t="inlineStr">
        <is>
          <t>5.3%</t>
        </is>
      </c>
    </row>
    <row r="32" ht="52" customHeight="1">
      <c r="B32" s="189" t="inlineStr">
        <is>
          <t>CR10</t>
        </is>
      </c>
      <c r="C32" s="266" t="inlineStr">
        <is>
          <t>No identifica CR10 ni lo aplica en el contexto de Gestiona el software de base.</t>
        </is>
      </c>
      <c r="D32" s="267" t="inlineStr">
        <is>
          <t>Identifica CR10 con ayuda; lo aplica con errores o de forma incompleta.</t>
        </is>
      </c>
      <c r="E32" s="268" t="inlineStr">
        <is>
          <t>Aplica CR10 de forma correcta y autónoma en situaciones habituales.</t>
        </is>
      </c>
      <c r="F32" s="269" t="inlineStr">
        <is>
          <t>Aplica CR10 con criterio propio en situaciones nuevas; propone mejoras.</t>
        </is>
      </c>
      <c r="G32" s="54" t="inlineStr">
        <is>
          <t>5.3%</t>
        </is>
      </c>
    </row>
    <row r="33" ht="52" customHeight="1">
      <c r="B33" s="189" t="inlineStr">
        <is>
          <t>CR11</t>
        </is>
      </c>
      <c r="C33" s="266" t="inlineStr">
        <is>
          <t>No identifica CR11 ni lo aplica en el contexto de Gestiona el software de base.</t>
        </is>
      </c>
      <c r="D33" s="267" t="inlineStr">
        <is>
          <t>Identifica CR11 con ayuda; lo aplica con errores o de forma incompleta.</t>
        </is>
      </c>
      <c r="E33" s="268" t="inlineStr">
        <is>
          <t>Aplica CR11 de forma correcta y autónoma en situaciones habituales.</t>
        </is>
      </c>
      <c r="F33" s="269" t="inlineStr">
        <is>
          <t>Aplica CR11 con criterio propio en situaciones nuevas; propone mejoras.</t>
        </is>
      </c>
      <c r="G33" s="62" t="inlineStr">
        <is>
          <t>5.3%</t>
        </is>
      </c>
    </row>
    <row r="34" ht="52" customHeight="1">
      <c r="B34" s="189" t="inlineStr">
        <is>
          <t>CR12</t>
        </is>
      </c>
      <c r="C34" s="266" t="inlineStr">
        <is>
          <t>No identifica CR12 ni lo aplica en el contexto de Gestiona el software de base.</t>
        </is>
      </c>
      <c r="D34" s="267" t="inlineStr">
        <is>
          <t>Identifica CR12 con ayuda; lo aplica con errores o de forma incompleta.</t>
        </is>
      </c>
      <c r="E34" s="268" t="inlineStr">
        <is>
          <t>Aplica CR12 de forma correcta y autónoma en situaciones habituales.</t>
        </is>
      </c>
      <c r="F34" s="269" t="inlineStr">
        <is>
          <t>Aplica CR12 con criterio propio en situaciones nuevas; propone mejoras.</t>
        </is>
      </c>
      <c r="G34" s="54" t="inlineStr">
        <is>
          <t>5.3%</t>
        </is>
      </c>
    </row>
    <row r="35" ht="52" customHeight="1">
      <c r="B35" s="189" t="inlineStr">
        <is>
          <t>CR13</t>
        </is>
      </c>
      <c r="C35" s="266" t="inlineStr">
        <is>
          <t>No identifica CR13 ni lo aplica en el contexto de Gestiona el software de base.</t>
        </is>
      </c>
      <c r="D35" s="267" t="inlineStr">
        <is>
          <t>Identifica CR13 con ayuda; lo aplica con errores o de forma incompleta.</t>
        </is>
      </c>
      <c r="E35" s="268" t="inlineStr">
        <is>
          <t>Aplica CR13 de forma correcta y autónoma en situaciones habituales.</t>
        </is>
      </c>
      <c r="F35" s="269" t="inlineStr">
        <is>
          <t>Aplica CR13 con criterio propio en situaciones nuevas; propone mejoras.</t>
        </is>
      </c>
      <c r="G35" s="62" t="inlineStr">
        <is>
          <t>5.3%</t>
        </is>
      </c>
    </row>
    <row r="36" ht="52" customHeight="1">
      <c r="B36" s="189" t="inlineStr">
        <is>
          <t>CR14</t>
        </is>
      </c>
      <c r="C36" s="266" t="inlineStr">
        <is>
          <t>No identifica CR14 ni lo aplica en el contexto de Gestiona el software de base.</t>
        </is>
      </c>
      <c r="D36" s="267" t="inlineStr">
        <is>
          <t>Identifica CR14 con ayuda; lo aplica con errores o de forma incompleta.</t>
        </is>
      </c>
      <c r="E36" s="268" t="inlineStr">
        <is>
          <t>Aplica CR14 de forma correcta y autónoma en situaciones habituales.</t>
        </is>
      </c>
      <c r="F36" s="269" t="inlineStr">
        <is>
          <t>Aplica CR14 con criterio propio en situaciones nuevas; propone mejoras.</t>
        </is>
      </c>
      <c r="G36" s="54" t="inlineStr">
        <is>
          <t>5.3%</t>
        </is>
      </c>
    </row>
    <row r="37" ht="52" customHeight="1">
      <c r="B37" s="189" t="inlineStr">
        <is>
          <t>CR15</t>
        </is>
      </c>
      <c r="C37" s="266" t="inlineStr">
        <is>
          <t>No identifica CR15 ni lo aplica en el contexto de Gestiona el software de base.</t>
        </is>
      </c>
      <c r="D37" s="267" t="inlineStr">
        <is>
          <t>Identifica CR15 con ayuda; lo aplica con errores o de forma incompleta.</t>
        </is>
      </c>
      <c r="E37" s="268" t="inlineStr">
        <is>
          <t>Aplica CR15 de forma correcta y autónoma en situaciones habituales.</t>
        </is>
      </c>
      <c r="F37" s="269" t="inlineStr">
        <is>
          <t>Aplica CR15 con criterio propio en situaciones nuevas; propone mejoras.</t>
        </is>
      </c>
      <c r="G37" s="62" t="inlineStr">
        <is>
          <t>5.3%</t>
        </is>
      </c>
    </row>
    <row r="38" ht="52" customHeight="1">
      <c r="B38" s="189" t="inlineStr">
        <is>
          <t>CR16</t>
        </is>
      </c>
      <c r="C38" s="266" t="inlineStr">
        <is>
          <t>No identifica CR16 ni lo aplica en el contexto de Gestiona el software de base.</t>
        </is>
      </c>
      <c r="D38" s="267" t="inlineStr">
        <is>
          <t>Identifica CR16 con ayuda; lo aplica con errores o de forma incompleta.</t>
        </is>
      </c>
      <c r="E38" s="268" t="inlineStr">
        <is>
          <t>Aplica CR16 de forma correcta y autónoma en situaciones habituales.</t>
        </is>
      </c>
      <c r="F38" s="269" t="inlineStr">
        <is>
          <t>Aplica CR16 con criterio propio en situaciones nuevas; propone mejoras.</t>
        </is>
      </c>
      <c r="G38" s="54" t="inlineStr">
        <is>
          <t>5.3%</t>
        </is>
      </c>
    </row>
    <row r="39" ht="52" customHeight="1">
      <c r="B39" s="189" t="inlineStr">
        <is>
          <t>CR17</t>
        </is>
      </c>
      <c r="C39" s="266" t="inlineStr">
        <is>
          <t>No identifica CR17 ni lo aplica en el contexto de Gestiona el software de base.</t>
        </is>
      </c>
      <c r="D39" s="267" t="inlineStr">
        <is>
          <t>Identifica CR17 con ayuda; lo aplica con errores o de forma incompleta.</t>
        </is>
      </c>
      <c r="E39" s="268" t="inlineStr">
        <is>
          <t>Aplica CR17 de forma correcta y autónoma en situaciones habituales.</t>
        </is>
      </c>
      <c r="F39" s="269" t="inlineStr">
        <is>
          <t>Aplica CR17 con criterio propio en situaciones nuevas; propone mejoras.</t>
        </is>
      </c>
      <c r="G39" s="62" t="inlineStr">
        <is>
          <t>5.3%</t>
        </is>
      </c>
    </row>
    <row r="40" ht="52" customHeight="1">
      <c r="B40" s="189" t="inlineStr">
        <is>
          <t>CR18</t>
        </is>
      </c>
      <c r="C40" s="266" t="inlineStr">
        <is>
          <t>No identifica CR18 ni lo aplica en el contexto de Gestiona el software de base.</t>
        </is>
      </c>
      <c r="D40" s="267" t="inlineStr">
        <is>
          <t>Identifica CR18 con ayuda; lo aplica con errores o de forma incompleta.</t>
        </is>
      </c>
      <c r="E40" s="268" t="inlineStr">
        <is>
          <t>Aplica CR18 de forma correcta y autónoma en situaciones habituales.</t>
        </is>
      </c>
      <c r="F40" s="269" t="inlineStr">
        <is>
          <t>Aplica CR18 con criterio propio en situaciones nuevas; propone mejoras.</t>
        </is>
      </c>
      <c r="G40" s="54" t="inlineStr">
        <is>
          <t>5.3%</t>
        </is>
      </c>
    </row>
    <row r="41" ht="52" customHeight="1">
      <c r="B41" s="189" t="inlineStr">
        <is>
          <t>CR19</t>
        </is>
      </c>
      <c r="C41" s="266" t="inlineStr">
        <is>
          <t>No identifica CR19 ni lo aplica en el contexto de Gestiona el software de base.</t>
        </is>
      </c>
      <c r="D41" s="267" t="inlineStr">
        <is>
          <t>Identifica CR19 con ayuda; lo aplica con errores o de forma incompleta.</t>
        </is>
      </c>
      <c r="E41" s="268" t="inlineStr">
        <is>
          <t>Aplica CR19 de forma correcta y autónoma en situaciones habituales.</t>
        </is>
      </c>
      <c r="F41" s="269" t="inlineStr">
        <is>
          <t>Aplica CR19 con criterio propio en situaciones nuevas; propone mejoras.</t>
        </is>
      </c>
      <c r="G41" s="62" t="inlineStr">
        <is>
          <t>5.3%</t>
        </is>
      </c>
    </row>
    <row r="42" ht="16" customHeight="1">
      <c r="B42" s="270" t="inlineStr">
        <is>
          <t>Total: 19 indicadores · Nota RA: media ponderada de niveles × 2.5  (Nivel 1=0-4 · Nivel 2=5-6 · Nivel 3=7-8 · Nivel 4=9-10)</t>
        </is>
      </c>
      <c r="G42" s="147" t="inlineStr">
        <is>
          <t>100%</t>
        </is>
      </c>
    </row>
    <row r="43" ht="6" customHeight="1">
      <c r="B43" s="1"/>
      <c r="C43" s="1"/>
      <c r="D43" s="1"/>
      <c r="E43" s="1"/>
      <c r="F43" s="1"/>
      <c r="G43" s="1"/>
    </row>
    <row r="44" ht="20" customHeight="1">
      <c r="B44" s="272" t="inlineStr">
        <is>
          <t>RA3 · EV2 · Pond. 9%  —  Asegura y recupera el sistema, aplicando procedimientos de administración de la información.</t>
        </is>
      </c>
    </row>
    <row r="45" ht="36" customHeight="1">
      <c r="B45" s="36" t="inlineStr">
        <is>
          <t>CE / Indicador</t>
        </is>
      </c>
      <c r="C45" s="102" t="inlineStr">
        <is>
          <t>Nivel 1
No Alcanzado
(0 – 4)</t>
        </is>
      </c>
      <c r="D45" s="103" t="inlineStr">
        <is>
          <t>Nivel 2
En Proceso
(5 – 6)</t>
        </is>
      </c>
      <c r="E45" s="216" t="inlineStr">
        <is>
          <t>Nivel 3
Alcanzado
(7 – 8)</t>
        </is>
      </c>
      <c r="F45" s="101" t="inlineStr">
        <is>
          <t>Nivel 4
Sobresaliente
(9 – 10)</t>
        </is>
      </c>
      <c r="G45" s="36" t="inlineStr">
        <is>
          <t>Peso
en RA</t>
        </is>
      </c>
    </row>
    <row r="46" ht="52" customHeight="1">
      <c r="B46" s="189" t="inlineStr">
        <is>
          <t>CR1</t>
        </is>
      </c>
      <c r="C46" s="266" t="inlineStr">
        <is>
          <t>No identifica CR1 ni lo aplica en el contexto de Asegura y recupera el sistema.</t>
        </is>
      </c>
      <c r="D46" s="267" t="inlineStr">
        <is>
          <t>Identifica CR1 con ayuda; lo aplica con errores o de forma incompleta.</t>
        </is>
      </c>
      <c r="E46" s="268" t="inlineStr">
        <is>
          <t>Aplica CR1 de forma correcta y autónoma en situaciones habituales.</t>
        </is>
      </c>
      <c r="F46" s="269" t="inlineStr">
        <is>
          <t>Aplica CR1 con criterio propio en situaciones nuevas; propone mejoras.</t>
        </is>
      </c>
      <c r="G46" s="66" t="inlineStr">
        <is>
          <t>12.5%</t>
        </is>
      </c>
    </row>
    <row r="47" ht="52" customHeight="1">
      <c r="B47" s="189" t="inlineStr">
        <is>
          <t>CR2</t>
        </is>
      </c>
      <c r="C47" s="266" t="inlineStr">
        <is>
          <t>No identifica CR2 ni lo aplica en el contexto de Asegura y recupera el sistema.</t>
        </is>
      </c>
      <c r="D47" s="267" t="inlineStr">
        <is>
          <t>Identifica CR2 con ayuda; lo aplica con errores o de forma incompleta.</t>
        </is>
      </c>
      <c r="E47" s="268" t="inlineStr">
        <is>
          <t>Aplica CR2 de forma correcta y autónoma en situaciones habituales.</t>
        </is>
      </c>
      <c r="F47" s="269" t="inlineStr">
        <is>
          <t>Aplica CR2 con criterio propio en situaciones nuevas; propone mejoras.</t>
        </is>
      </c>
      <c r="G47" s="54" t="inlineStr">
        <is>
          <t>12.5%</t>
        </is>
      </c>
    </row>
    <row r="48" ht="52" customHeight="1">
      <c r="B48" s="189" t="inlineStr">
        <is>
          <t>CR3</t>
        </is>
      </c>
      <c r="C48" s="266" t="inlineStr">
        <is>
          <t>No identifica CR3 ni lo aplica en el contexto de Asegura y recupera el sistema.</t>
        </is>
      </c>
      <c r="D48" s="267" t="inlineStr">
        <is>
          <t>Identifica CR3 con ayuda; lo aplica con errores o de forma incompleta.</t>
        </is>
      </c>
      <c r="E48" s="268" t="inlineStr">
        <is>
          <t>Aplica CR3 de forma correcta y autónoma en situaciones habituales.</t>
        </is>
      </c>
      <c r="F48" s="269" t="inlineStr">
        <is>
          <t>Aplica CR3 con criterio propio en situaciones nuevas; propone mejoras.</t>
        </is>
      </c>
      <c r="G48" s="66" t="inlineStr">
        <is>
          <t>12.5%</t>
        </is>
      </c>
    </row>
    <row r="49" ht="52" customHeight="1">
      <c r="B49" s="189" t="inlineStr">
        <is>
          <t>CR4</t>
        </is>
      </c>
      <c r="C49" s="266" t="inlineStr">
        <is>
          <t>No identifica CR4 ni lo aplica en el contexto de Asegura y recupera el sistema.</t>
        </is>
      </c>
      <c r="D49" s="267" t="inlineStr">
        <is>
          <t>Identifica CR4 con ayuda; lo aplica con errores o de forma incompleta.</t>
        </is>
      </c>
      <c r="E49" s="268" t="inlineStr">
        <is>
          <t>Aplica CR4 de forma correcta y autónoma en situaciones habituales.</t>
        </is>
      </c>
      <c r="F49" s="269" t="inlineStr">
        <is>
          <t>Aplica CR4 con criterio propio en situaciones nuevas; propone mejoras.</t>
        </is>
      </c>
      <c r="G49" s="54" t="inlineStr">
        <is>
          <t>12.5%</t>
        </is>
      </c>
    </row>
    <row r="50" ht="52" customHeight="1">
      <c r="B50" s="189" t="inlineStr">
        <is>
          <t>CR5</t>
        </is>
      </c>
      <c r="C50" s="266" t="inlineStr">
        <is>
          <t>No identifica CR5 ni lo aplica en el contexto de Asegura y recupera el sistema.</t>
        </is>
      </c>
      <c r="D50" s="267" t="inlineStr">
        <is>
          <t>Identifica CR5 con ayuda; lo aplica con errores o de forma incompleta.</t>
        </is>
      </c>
      <c r="E50" s="268" t="inlineStr">
        <is>
          <t>Aplica CR5 de forma correcta y autónoma en situaciones habituales.</t>
        </is>
      </c>
      <c r="F50" s="269" t="inlineStr">
        <is>
          <t>Aplica CR5 con criterio propio en situaciones nuevas; propone mejoras.</t>
        </is>
      </c>
      <c r="G50" s="66" t="inlineStr">
        <is>
          <t>12.5%</t>
        </is>
      </c>
    </row>
    <row r="51" ht="52" customHeight="1">
      <c r="B51" s="189" t="inlineStr">
        <is>
          <t>CR6</t>
        </is>
      </c>
      <c r="C51" s="266" t="inlineStr">
        <is>
          <t>No identifica CR6 ni lo aplica en el contexto de Asegura y recupera el sistema.</t>
        </is>
      </c>
      <c r="D51" s="267" t="inlineStr">
        <is>
          <t>Identifica CR6 con ayuda; lo aplica con errores o de forma incompleta.</t>
        </is>
      </c>
      <c r="E51" s="268" t="inlineStr">
        <is>
          <t>Aplica CR6 de forma correcta y autónoma en situaciones habituales.</t>
        </is>
      </c>
      <c r="F51" s="269" t="inlineStr">
        <is>
          <t>Aplica CR6 con criterio propio en situaciones nuevas; propone mejoras.</t>
        </is>
      </c>
      <c r="G51" s="54" t="inlineStr">
        <is>
          <t>12.5%</t>
        </is>
      </c>
    </row>
    <row r="52" ht="52" customHeight="1">
      <c r="B52" s="189" t="inlineStr">
        <is>
          <t>CR7</t>
        </is>
      </c>
      <c r="C52" s="266" t="inlineStr">
        <is>
          <t>No identifica CR7 ni lo aplica en el contexto de Asegura y recupera el sistema.</t>
        </is>
      </c>
      <c r="D52" s="267" t="inlineStr">
        <is>
          <t>Identifica CR7 con ayuda; lo aplica con errores o de forma incompleta.</t>
        </is>
      </c>
      <c r="E52" s="268" t="inlineStr">
        <is>
          <t>Aplica CR7 de forma correcta y autónoma en situaciones habituales.</t>
        </is>
      </c>
      <c r="F52" s="269" t="inlineStr">
        <is>
          <t>Aplica CR7 con criterio propio en situaciones nuevas; propone mejoras.</t>
        </is>
      </c>
      <c r="G52" s="66" t="inlineStr">
        <is>
          <t>12.5%</t>
        </is>
      </c>
    </row>
    <row r="53" ht="52" customHeight="1">
      <c r="B53" s="189" t="inlineStr">
        <is>
          <t>CR8</t>
        </is>
      </c>
      <c r="C53" s="266" t="inlineStr">
        <is>
          <t>No identifica CR8 ni lo aplica en el contexto de Asegura y recupera el sistema.</t>
        </is>
      </c>
      <c r="D53" s="267" t="inlineStr">
        <is>
          <t>Identifica CR8 con ayuda; lo aplica con errores o de forma incompleta.</t>
        </is>
      </c>
      <c r="E53" s="268" t="inlineStr">
        <is>
          <t>Aplica CR8 de forma correcta y autónoma en situaciones habituales.</t>
        </is>
      </c>
      <c r="F53" s="269" t="inlineStr">
        <is>
          <t>Aplica CR8 con criterio propio en situaciones nuevas; propone mejoras.</t>
        </is>
      </c>
      <c r="G53" s="54" t="inlineStr">
        <is>
          <t>12.5%</t>
        </is>
      </c>
    </row>
    <row r="54" ht="16" customHeight="1">
      <c r="B54" s="270" t="inlineStr">
        <is>
          <t>Total: 8 indicadores · Nota RA: media ponderada de niveles × 2.5  (Nivel 1=0-4 · Nivel 2=5-6 · Nivel 3=7-8 · Nivel 4=9-10)</t>
        </is>
      </c>
      <c r="G54" s="157" t="inlineStr">
        <is>
          <t>100%</t>
        </is>
      </c>
    </row>
    <row r="55" ht="6" customHeight="1">
      <c r="B55" s="1"/>
      <c r="C55" s="1"/>
      <c r="D55" s="1"/>
      <c r="E55" s="1"/>
      <c r="F55" s="1"/>
      <c r="G55" s="1"/>
    </row>
    <row r="56" ht="20" customHeight="1">
      <c r="B56" s="273" t="inlineStr">
        <is>
          <t>RA4 · EV2 · Pond. 16%  —  Gestiona dominios, elaborando el modelo lógico de la red en un entorno de trabajo.</t>
        </is>
      </c>
    </row>
    <row r="57" ht="36" customHeight="1">
      <c r="B57" s="36" t="inlineStr">
        <is>
          <t>CE / Indicador</t>
        </is>
      </c>
      <c r="C57" s="102" t="inlineStr">
        <is>
          <t>Nivel 1
No Alcanzado
(0 – 4)</t>
        </is>
      </c>
      <c r="D57" s="103" t="inlineStr">
        <is>
          <t>Nivel 2
En Proceso
(5 – 6)</t>
        </is>
      </c>
      <c r="E57" s="216" t="inlineStr">
        <is>
          <t>Nivel 3
Alcanzado
(7 – 8)</t>
        </is>
      </c>
      <c r="F57" s="101" t="inlineStr">
        <is>
          <t>Nivel 4
Sobresaliente
(9 – 10)</t>
        </is>
      </c>
      <c r="G57" s="36" t="inlineStr">
        <is>
          <t>Peso
en RA</t>
        </is>
      </c>
    </row>
    <row r="58" ht="52" customHeight="1">
      <c r="B58" s="189" t="inlineStr">
        <is>
          <t>CR1</t>
        </is>
      </c>
      <c r="C58" s="266" t="inlineStr">
        <is>
          <t>No identifica CR1 ni lo aplica en el contexto de Gestiona dominios.</t>
        </is>
      </c>
      <c r="D58" s="267" t="inlineStr">
        <is>
          <t>Identifica CR1 con ayuda; lo aplica con errores o de forma incompleta.</t>
        </is>
      </c>
      <c r="E58" s="268" t="inlineStr">
        <is>
          <t>Aplica CR1 de forma correcta y autónoma en situaciones habituales.</t>
        </is>
      </c>
      <c r="F58" s="269" t="inlineStr">
        <is>
          <t>Aplica CR1 con criterio propio en situaciones nuevas; propone mejoras.</t>
        </is>
      </c>
      <c r="G58" s="68" t="inlineStr">
        <is>
          <t>12.5%</t>
        </is>
      </c>
    </row>
    <row r="59" ht="52" customHeight="1">
      <c r="B59" s="189" t="inlineStr">
        <is>
          <t>CR2</t>
        </is>
      </c>
      <c r="C59" s="266" t="inlineStr">
        <is>
          <t>No identifica CR2 ni lo aplica en el contexto de Gestiona dominios.</t>
        </is>
      </c>
      <c r="D59" s="267" t="inlineStr">
        <is>
          <t>Identifica CR2 con ayuda; lo aplica con errores o de forma incompleta.</t>
        </is>
      </c>
      <c r="E59" s="268" t="inlineStr">
        <is>
          <t>Aplica CR2 de forma correcta y autónoma en situaciones habituales.</t>
        </is>
      </c>
      <c r="F59" s="269" t="inlineStr">
        <is>
          <t>Aplica CR2 con criterio propio en situaciones nuevas; propone mejoras.</t>
        </is>
      </c>
      <c r="G59" s="54" t="inlineStr">
        <is>
          <t>12.5%</t>
        </is>
      </c>
    </row>
    <row r="60" ht="52" customHeight="1">
      <c r="B60" s="189" t="inlineStr">
        <is>
          <t>CR3</t>
        </is>
      </c>
      <c r="C60" s="266" t="inlineStr">
        <is>
          <t>No identifica CR3 ni lo aplica en el contexto de Gestiona dominios.</t>
        </is>
      </c>
      <c r="D60" s="267" t="inlineStr">
        <is>
          <t>Identifica CR3 con ayuda; lo aplica con errores o de forma incompleta.</t>
        </is>
      </c>
      <c r="E60" s="268" t="inlineStr">
        <is>
          <t>Aplica CR3 de forma correcta y autónoma en situaciones habituales.</t>
        </is>
      </c>
      <c r="F60" s="269" t="inlineStr">
        <is>
          <t>Aplica CR3 con criterio propio en situaciones nuevas; propone mejoras.</t>
        </is>
      </c>
      <c r="G60" s="68" t="inlineStr">
        <is>
          <t>12.5%</t>
        </is>
      </c>
    </row>
    <row r="61" ht="52" customHeight="1">
      <c r="B61" s="189" t="inlineStr">
        <is>
          <t>CR4</t>
        </is>
      </c>
      <c r="C61" s="266" t="inlineStr">
        <is>
          <t>No identifica CR4 ni lo aplica en el contexto de Gestiona dominios.</t>
        </is>
      </c>
      <c r="D61" s="267" t="inlineStr">
        <is>
          <t>Identifica CR4 con ayuda; lo aplica con errores o de forma incompleta.</t>
        </is>
      </c>
      <c r="E61" s="268" t="inlineStr">
        <is>
          <t>Aplica CR4 de forma correcta y autónoma en situaciones habituales.</t>
        </is>
      </c>
      <c r="F61" s="269" t="inlineStr">
        <is>
          <t>Aplica CR4 con criterio propio en situaciones nuevas; propone mejoras.</t>
        </is>
      </c>
      <c r="G61" s="54" t="inlineStr">
        <is>
          <t>12.5%</t>
        </is>
      </c>
    </row>
    <row r="62" ht="52" customHeight="1">
      <c r="B62" s="189" t="inlineStr">
        <is>
          <t>CR5</t>
        </is>
      </c>
      <c r="C62" s="266" t="inlineStr">
        <is>
          <t>No identifica CR5 ni lo aplica en el contexto de Gestiona dominios.</t>
        </is>
      </c>
      <c r="D62" s="267" t="inlineStr">
        <is>
          <t>Identifica CR5 con ayuda; lo aplica con errores o de forma incompleta.</t>
        </is>
      </c>
      <c r="E62" s="268" t="inlineStr">
        <is>
          <t>Aplica CR5 de forma correcta y autónoma en situaciones habituales.</t>
        </is>
      </c>
      <c r="F62" s="269" t="inlineStr">
        <is>
          <t>Aplica CR5 con criterio propio en situaciones nuevas; propone mejoras.</t>
        </is>
      </c>
      <c r="G62" s="68" t="inlineStr">
        <is>
          <t>12.5%</t>
        </is>
      </c>
    </row>
    <row r="63" ht="52" customHeight="1">
      <c r="B63" s="189" t="inlineStr">
        <is>
          <t>CR6</t>
        </is>
      </c>
      <c r="C63" s="266" t="inlineStr">
        <is>
          <t>No identifica CR6 ni lo aplica en el contexto de Gestiona dominios.</t>
        </is>
      </c>
      <c r="D63" s="267" t="inlineStr">
        <is>
          <t>Identifica CR6 con ayuda; lo aplica con errores o de forma incompleta.</t>
        </is>
      </c>
      <c r="E63" s="268" t="inlineStr">
        <is>
          <t>Aplica CR6 de forma correcta y autónoma en situaciones habituales.</t>
        </is>
      </c>
      <c r="F63" s="269" t="inlineStr">
        <is>
          <t>Aplica CR6 con criterio propio en situaciones nuevas; propone mejoras.</t>
        </is>
      </c>
      <c r="G63" s="54" t="inlineStr">
        <is>
          <t>12.5%</t>
        </is>
      </c>
    </row>
    <row r="64" ht="52" customHeight="1">
      <c r="B64" s="189" t="inlineStr">
        <is>
          <t>CR7</t>
        </is>
      </c>
      <c r="C64" s="266" t="inlineStr">
        <is>
          <t>No identifica CR7 ni lo aplica en el contexto de Gestiona dominios.</t>
        </is>
      </c>
      <c r="D64" s="267" t="inlineStr">
        <is>
          <t>Identifica CR7 con ayuda; lo aplica con errores o de forma incompleta.</t>
        </is>
      </c>
      <c r="E64" s="268" t="inlineStr">
        <is>
          <t>Aplica CR7 de forma correcta y autónoma en situaciones habituales.</t>
        </is>
      </c>
      <c r="F64" s="269" t="inlineStr">
        <is>
          <t>Aplica CR7 con criterio propio en situaciones nuevas; propone mejoras.</t>
        </is>
      </c>
      <c r="G64" s="68" t="inlineStr">
        <is>
          <t>12.5%</t>
        </is>
      </c>
    </row>
    <row r="65" ht="52" customHeight="1">
      <c r="B65" s="189" t="inlineStr">
        <is>
          <t>CR8</t>
        </is>
      </c>
      <c r="C65" s="266" t="inlineStr">
        <is>
          <t>No identifica CR8 ni lo aplica en el contexto de Gestiona dominios.</t>
        </is>
      </c>
      <c r="D65" s="267" t="inlineStr">
        <is>
          <t>Identifica CR8 con ayuda; lo aplica con errores o de forma incompleta.</t>
        </is>
      </c>
      <c r="E65" s="268" t="inlineStr">
        <is>
          <t>Aplica CR8 de forma correcta y autónoma en situaciones habituales.</t>
        </is>
      </c>
      <c r="F65" s="269" t="inlineStr">
        <is>
          <t>Aplica CR8 con criterio propio en situaciones nuevas; propone mejoras.</t>
        </is>
      </c>
      <c r="G65" s="54" t="inlineStr">
        <is>
          <t>12.5%</t>
        </is>
      </c>
    </row>
    <row r="66" ht="16" customHeight="1">
      <c r="B66" s="270" t="inlineStr">
        <is>
          <t>Total: 8 indicadores · Nota RA: media ponderada de niveles × 2.5  (Nivel 1=0-4 · Nivel 2=5-6 · Nivel 3=7-8 · Nivel 4=9-10)</t>
        </is>
      </c>
      <c r="G66" s="252" t="inlineStr">
        <is>
          <t>100%</t>
        </is>
      </c>
    </row>
    <row r="67" ht="6" customHeight="1">
      <c r="B67" s="1"/>
      <c r="C67" s="1"/>
      <c r="D67" s="1"/>
      <c r="E67" s="1"/>
      <c r="F67" s="1"/>
      <c r="G67" s="1"/>
    </row>
    <row r="68" ht="20" customHeight="1">
      <c r="B68" s="274" t="inlineStr">
        <is>
          <t>RA5 · EV2 · Pond. 13%  —  Administra el acceso al dominio, gestionando servidores de directorio y verificando el acceso de los usuarios.</t>
        </is>
      </c>
    </row>
    <row r="69" ht="36" customHeight="1">
      <c r="B69" s="36" t="inlineStr">
        <is>
          <t>CE / Indicador</t>
        </is>
      </c>
      <c r="C69" s="102" t="inlineStr">
        <is>
          <t>Nivel 1
No Alcanzado
(0 – 4)</t>
        </is>
      </c>
      <c r="D69" s="103" t="inlineStr">
        <is>
          <t>Nivel 2
En Proceso
(5 – 6)</t>
        </is>
      </c>
      <c r="E69" s="216" t="inlineStr">
        <is>
          <t>Nivel 3
Alcanzado
(7 – 8)</t>
        </is>
      </c>
      <c r="F69" s="101" t="inlineStr">
        <is>
          <t>Nivel 4
Sobresaliente
(9 – 10)</t>
        </is>
      </c>
      <c r="G69" s="36" t="inlineStr">
        <is>
          <t>Peso
en RA</t>
        </is>
      </c>
    </row>
    <row r="70" ht="52" customHeight="1">
      <c r="B70" s="189" t="inlineStr">
        <is>
          <t>CR1</t>
        </is>
      </c>
      <c r="C70" s="266" t="inlineStr">
        <is>
          <t>No identifica CR1 ni lo aplica en el contexto de Administra el acceso al dominio.</t>
        </is>
      </c>
      <c r="D70" s="267" t="inlineStr">
        <is>
          <t>Identifica CR1 con ayuda; lo aplica con errores o de forma incompleta.</t>
        </is>
      </c>
      <c r="E70" s="268" t="inlineStr">
        <is>
          <t>Aplica CR1 de forma correcta y autónoma en situaciones habituales.</t>
        </is>
      </c>
      <c r="F70" s="269" t="inlineStr">
        <is>
          <t>Aplica CR1 con criterio propio en situaciones nuevas; propone mejoras.</t>
        </is>
      </c>
      <c r="G70" s="70" t="inlineStr">
        <is>
          <t>12.5%</t>
        </is>
      </c>
    </row>
    <row r="71" ht="52" customHeight="1">
      <c r="B71" s="189" t="inlineStr">
        <is>
          <t>CR2</t>
        </is>
      </c>
      <c r="C71" s="266" t="inlineStr">
        <is>
          <t>No identifica CR2 ni lo aplica en el contexto de Administra el acceso al dominio.</t>
        </is>
      </c>
      <c r="D71" s="267" t="inlineStr">
        <is>
          <t>Identifica CR2 con ayuda; lo aplica con errores o de forma incompleta.</t>
        </is>
      </c>
      <c r="E71" s="268" t="inlineStr">
        <is>
          <t>Aplica CR2 de forma correcta y autónoma en situaciones habituales.</t>
        </is>
      </c>
      <c r="F71" s="269" t="inlineStr">
        <is>
          <t>Aplica CR2 con criterio propio en situaciones nuevas; propone mejoras.</t>
        </is>
      </c>
      <c r="G71" s="54" t="inlineStr">
        <is>
          <t>12.5%</t>
        </is>
      </c>
    </row>
    <row r="72" ht="52" customHeight="1">
      <c r="B72" s="189" t="inlineStr">
        <is>
          <t>CR3</t>
        </is>
      </c>
      <c r="C72" s="266" t="inlineStr">
        <is>
          <t>No identifica CR3 ni lo aplica en el contexto de Administra el acceso al dominio.</t>
        </is>
      </c>
      <c r="D72" s="267" t="inlineStr">
        <is>
          <t>Identifica CR3 con ayuda; lo aplica con errores o de forma incompleta.</t>
        </is>
      </c>
      <c r="E72" s="268" t="inlineStr">
        <is>
          <t>Aplica CR3 de forma correcta y autónoma en situaciones habituales.</t>
        </is>
      </c>
      <c r="F72" s="269" t="inlineStr">
        <is>
          <t>Aplica CR3 con criterio propio en situaciones nuevas; propone mejoras.</t>
        </is>
      </c>
      <c r="G72" s="70" t="inlineStr">
        <is>
          <t>12.5%</t>
        </is>
      </c>
    </row>
    <row r="73" ht="52" customHeight="1">
      <c r="B73" s="189" t="inlineStr">
        <is>
          <t>CR4</t>
        </is>
      </c>
      <c r="C73" s="266" t="inlineStr">
        <is>
          <t>No identifica CR4 ni lo aplica en el contexto de Administra el acceso al dominio.</t>
        </is>
      </c>
      <c r="D73" s="267" t="inlineStr">
        <is>
          <t>Identifica CR4 con ayuda; lo aplica con errores o de forma incompleta.</t>
        </is>
      </c>
      <c r="E73" s="268" t="inlineStr">
        <is>
          <t>Aplica CR4 de forma correcta y autónoma en situaciones habituales.</t>
        </is>
      </c>
      <c r="F73" s="269" t="inlineStr">
        <is>
          <t>Aplica CR4 con criterio propio en situaciones nuevas; propone mejoras.</t>
        </is>
      </c>
      <c r="G73" s="54" t="inlineStr">
        <is>
          <t>12.5%</t>
        </is>
      </c>
    </row>
    <row r="74" ht="52" customHeight="1">
      <c r="B74" s="189" t="inlineStr">
        <is>
          <t>CR5</t>
        </is>
      </c>
      <c r="C74" s="266" t="inlineStr">
        <is>
          <t>No identifica CR5 ni lo aplica en el contexto de Administra el acceso al dominio.</t>
        </is>
      </c>
      <c r="D74" s="267" t="inlineStr">
        <is>
          <t>Identifica CR5 con ayuda; lo aplica con errores o de forma incompleta.</t>
        </is>
      </c>
      <c r="E74" s="268" t="inlineStr">
        <is>
          <t>Aplica CR5 de forma correcta y autónoma en situaciones habituales.</t>
        </is>
      </c>
      <c r="F74" s="269" t="inlineStr">
        <is>
          <t>Aplica CR5 con criterio propio en situaciones nuevas; propone mejoras.</t>
        </is>
      </c>
      <c r="G74" s="70" t="inlineStr">
        <is>
          <t>12.5%</t>
        </is>
      </c>
    </row>
    <row r="75" ht="52" customHeight="1">
      <c r="B75" s="189" t="inlineStr">
        <is>
          <t>CR6</t>
        </is>
      </c>
      <c r="C75" s="266" t="inlineStr">
        <is>
          <t>No identifica CR6 ni lo aplica en el contexto de Administra el acceso al dominio.</t>
        </is>
      </c>
      <c r="D75" s="267" t="inlineStr">
        <is>
          <t>Identifica CR6 con ayuda; lo aplica con errores o de forma incompleta.</t>
        </is>
      </c>
      <c r="E75" s="268" t="inlineStr">
        <is>
          <t>Aplica CR6 de forma correcta y autónoma en situaciones habituales.</t>
        </is>
      </c>
      <c r="F75" s="269" t="inlineStr">
        <is>
          <t>Aplica CR6 con criterio propio en situaciones nuevas; propone mejoras.</t>
        </is>
      </c>
      <c r="G75" s="54" t="inlineStr">
        <is>
          <t>12.5%</t>
        </is>
      </c>
    </row>
    <row r="76" ht="52" customHeight="1">
      <c r="B76" s="189" t="inlineStr">
        <is>
          <t>CR7</t>
        </is>
      </c>
      <c r="C76" s="266" t="inlineStr">
        <is>
          <t>No identifica CR7 ni lo aplica en el contexto de Administra el acceso al dominio.</t>
        </is>
      </c>
      <c r="D76" s="267" t="inlineStr">
        <is>
          <t>Identifica CR7 con ayuda; lo aplica con errores o de forma incompleta.</t>
        </is>
      </c>
      <c r="E76" s="268" t="inlineStr">
        <is>
          <t>Aplica CR7 de forma correcta y autónoma en situaciones habituales.</t>
        </is>
      </c>
      <c r="F76" s="269" t="inlineStr">
        <is>
          <t>Aplica CR7 con criterio propio en situaciones nuevas; propone mejoras.</t>
        </is>
      </c>
      <c r="G76" s="70" t="inlineStr">
        <is>
          <t>12.5%</t>
        </is>
      </c>
    </row>
    <row r="77" ht="52" customHeight="1">
      <c r="B77" s="189" t="inlineStr">
        <is>
          <t>CR8</t>
        </is>
      </c>
      <c r="C77" s="266" t="inlineStr">
        <is>
          <t>No identifica CR8 ni lo aplica en el contexto de Administra el acceso al dominio.</t>
        </is>
      </c>
      <c r="D77" s="267" t="inlineStr">
        <is>
          <t>Identifica CR8 con ayuda; lo aplica con errores o de forma incompleta.</t>
        </is>
      </c>
      <c r="E77" s="268" t="inlineStr">
        <is>
          <t>Aplica CR8 de forma correcta y autónoma en situaciones habituales.</t>
        </is>
      </c>
      <c r="F77" s="269" t="inlineStr">
        <is>
          <t>Aplica CR8 con criterio propio en situaciones nuevas; propone mejoras.</t>
        </is>
      </c>
      <c r="G77" s="54" t="inlineStr">
        <is>
          <t>12.5%</t>
        </is>
      </c>
    </row>
    <row r="78" ht="16" customHeight="1">
      <c r="B78" s="270" t="inlineStr">
        <is>
          <t>Total: 8 indicadores · Nota RA: media ponderada de niveles × 2.5  (Nivel 1=0-4 · Nivel 2=5-6 · Nivel 3=7-8 · Nivel 4=9-10)</t>
        </is>
      </c>
      <c r="G78" s="253" t="inlineStr">
        <is>
          <t>100%</t>
        </is>
      </c>
    </row>
    <row r="79" ht="6" customHeight="1">
      <c r="B79" s="1"/>
      <c r="C79" s="1"/>
      <c r="D79" s="1"/>
      <c r="E79" s="1"/>
      <c r="F79" s="1"/>
      <c r="G79" s="1"/>
    </row>
    <row r="80" ht="20" customHeight="1">
      <c r="B80" s="275" t="inlineStr">
        <is>
          <t>RA6 · EV3 · Pond. 12%  —  Supervisa el rendimiento del sistema, diagnosticando las causas de pérdidas de rendimiento.</t>
        </is>
      </c>
    </row>
    <row r="81" ht="36" customHeight="1">
      <c r="B81" s="36" t="inlineStr">
        <is>
          <t>CE / Indicador</t>
        </is>
      </c>
      <c r="C81" s="102" t="inlineStr">
        <is>
          <t>Nivel 1
No Alcanzado
(0 – 4)</t>
        </is>
      </c>
      <c r="D81" s="103" t="inlineStr">
        <is>
          <t>Nivel 2
En Proceso
(5 – 6)</t>
        </is>
      </c>
      <c r="E81" s="216" t="inlineStr">
        <is>
          <t>Nivel 3
Alcanzado
(7 – 8)</t>
        </is>
      </c>
      <c r="F81" s="101" t="inlineStr">
        <is>
          <t>Nivel 4
Sobresaliente
(9 – 10)</t>
        </is>
      </c>
      <c r="G81" s="36" t="inlineStr">
        <is>
          <t>Peso
en RA</t>
        </is>
      </c>
    </row>
    <row r="82" ht="52" customHeight="1">
      <c r="B82" s="189" t="inlineStr">
        <is>
          <t>CR1</t>
        </is>
      </c>
      <c r="C82" s="266" t="inlineStr">
        <is>
          <t>No identifica CR1 ni lo aplica en el contexto de Supervisa el rendimiento del sistema.</t>
        </is>
      </c>
      <c r="D82" s="267" t="inlineStr">
        <is>
          <t>Identifica CR1 con ayuda; lo aplica con errores o de forma incompleta.</t>
        </is>
      </c>
      <c r="E82" s="268" t="inlineStr">
        <is>
          <t>Aplica CR1 de forma correcta y autónoma en situaciones habituales.</t>
        </is>
      </c>
      <c r="F82" s="269" t="inlineStr">
        <is>
          <t>Aplica CR1 con criterio propio en situaciones nuevas; propone mejoras.</t>
        </is>
      </c>
      <c r="G82" s="72" t="inlineStr">
        <is>
          <t>10.0%</t>
        </is>
      </c>
    </row>
    <row r="83" ht="52" customHeight="1">
      <c r="B83" s="189" t="inlineStr">
        <is>
          <t>CR2</t>
        </is>
      </c>
      <c r="C83" s="266" t="inlineStr">
        <is>
          <t>No identifica CR2 ni lo aplica en el contexto de Supervisa el rendimiento del sistema.</t>
        </is>
      </c>
      <c r="D83" s="267" t="inlineStr">
        <is>
          <t>Identifica CR2 con ayuda; lo aplica con errores o de forma incompleta.</t>
        </is>
      </c>
      <c r="E83" s="268" t="inlineStr">
        <is>
          <t>Aplica CR2 de forma correcta y autónoma en situaciones habituales.</t>
        </is>
      </c>
      <c r="F83" s="269" t="inlineStr">
        <is>
          <t>Aplica CR2 con criterio propio en situaciones nuevas; propone mejoras.</t>
        </is>
      </c>
      <c r="G83" s="54" t="inlineStr">
        <is>
          <t>10.0%</t>
        </is>
      </c>
    </row>
    <row r="84" ht="52" customHeight="1">
      <c r="B84" s="189" t="inlineStr">
        <is>
          <t>CR3</t>
        </is>
      </c>
      <c r="C84" s="266" t="inlineStr">
        <is>
          <t>No identifica CR3 ni lo aplica en el contexto de Supervisa el rendimiento del sistema.</t>
        </is>
      </c>
      <c r="D84" s="267" t="inlineStr">
        <is>
          <t>Identifica CR3 con ayuda; lo aplica con errores o de forma incompleta.</t>
        </is>
      </c>
      <c r="E84" s="268" t="inlineStr">
        <is>
          <t>Aplica CR3 de forma correcta y autónoma en situaciones habituales.</t>
        </is>
      </c>
      <c r="F84" s="269" t="inlineStr">
        <is>
          <t>Aplica CR3 con criterio propio en situaciones nuevas; propone mejoras.</t>
        </is>
      </c>
      <c r="G84" s="72" t="inlineStr">
        <is>
          <t>10.0%</t>
        </is>
      </c>
    </row>
    <row r="85" ht="52" customHeight="1">
      <c r="B85" s="189" t="inlineStr">
        <is>
          <t>CR4</t>
        </is>
      </c>
      <c r="C85" s="266" t="inlineStr">
        <is>
          <t>No identifica CR4 ni lo aplica en el contexto de Supervisa el rendimiento del sistema.</t>
        </is>
      </c>
      <c r="D85" s="267" t="inlineStr">
        <is>
          <t>Identifica CR4 con ayuda; lo aplica con errores o de forma incompleta.</t>
        </is>
      </c>
      <c r="E85" s="268" t="inlineStr">
        <is>
          <t>Aplica CR4 de forma correcta y autónoma en situaciones habituales.</t>
        </is>
      </c>
      <c r="F85" s="269" t="inlineStr">
        <is>
          <t>Aplica CR4 con criterio propio en situaciones nuevas; propone mejoras.</t>
        </is>
      </c>
      <c r="G85" s="54" t="inlineStr">
        <is>
          <t>10.0%</t>
        </is>
      </c>
    </row>
    <row r="86" ht="52" customHeight="1">
      <c r="B86" s="189" t="inlineStr">
        <is>
          <t>CR5</t>
        </is>
      </c>
      <c r="C86" s="266" t="inlineStr">
        <is>
          <t>No identifica CR5 ni lo aplica en el contexto de Supervisa el rendimiento del sistema.</t>
        </is>
      </c>
      <c r="D86" s="267" t="inlineStr">
        <is>
          <t>Identifica CR5 con ayuda; lo aplica con errores o de forma incompleta.</t>
        </is>
      </c>
      <c r="E86" s="268" t="inlineStr">
        <is>
          <t>Aplica CR5 de forma correcta y autónoma en situaciones habituales.</t>
        </is>
      </c>
      <c r="F86" s="269" t="inlineStr">
        <is>
          <t>Aplica CR5 con criterio propio en situaciones nuevas; propone mejoras.</t>
        </is>
      </c>
      <c r="G86" s="72" t="inlineStr">
        <is>
          <t>10.0%</t>
        </is>
      </c>
    </row>
    <row r="87" ht="52" customHeight="1">
      <c r="B87" s="189" t="inlineStr">
        <is>
          <t>CR6</t>
        </is>
      </c>
      <c r="C87" s="266" t="inlineStr">
        <is>
          <t>No identifica CR6 ni lo aplica en el contexto de Supervisa el rendimiento del sistema.</t>
        </is>
      </c>
      <c r="D87" s="267" t="inlineStr">
        <is>
          <t>Identifica CR6 con ayuda; lo aplica con errores o de forma incompleta.</t>
        </is>
      </c>
      <c r="E87" s="268" t="inlineStr">
        <is>
          <t>Aplica CR6 de forma correcta y autónoma en situaciones habituales.</t>
        </is>
      </c>
      <c r="F87" s="269" t="inlineStr">
        <is>
          <t>Aplica CR6 con criterio propio en situaciones nuevas; propone mejoras.</t>
        </is>
      </c>
      <c r="G87" s="54" t="inlineStr">
        <is>
          <t>10.0%</t>
        </is>
      </c>
    </row>
    <row r="88" ht="52" customHeight="1">
      <c r="B88" s="189" t="inlineStr">
        <is>
          <t>CR7</t>
        </is>
      </c>
      <c r="C88" s="266" t="inlineStr">
        <is>
          <t>No identifica CR7 ni lo aplica en el contexto de Supervisa el rendimiento del sistema.</t>
        </is>
      </c>
      <c r="D88" s="267" t="inlineStr">
        <is>
          <t>Identifica CR7 con ayuda; lo aplica con errores o de forma incompleta.</t>
        </is>
      </c>
      <c r="E88" s="268" t="inlineStr">
        <is>
          <t>Aplica CR7 de forma correcta y autónoma en situaciones habituales.</t>
        </is>
      </c>
      <c r="F88" s="269" t="inlineStr">
        <is>
          <t>Aplica CR7 con criterio propio en situaciones nuevas; propone mejoras.</t>
        </is>
      </c>
      <c r="G88" s="72" t="inlineStr">
        <is>
          <t>10.0%</t>
        </is>
      </c>
    </row>
    <row r="89" ht="52" customHeight="1">
      <c r="B89" s="189" t="inlineStr">
        <is>
          <t>CR8</t>
        </is>
      </c>
      <c r="C89" s="266" t="inlineStr">
        <is>
          <t>No identifica CR8 ni lo aplica en el contexto de Supervisa el rendimiento del sistema.</t>
        </is>
      </c>
      <c r="D89" s="267" t="inlineStr">
        <is>
          <t>Identifica CR8 con ayuda; lo aplica con errores o de forma incompleta.</t>
        </is>
      </c>
      <c r="E89" s="268" t="inlineStr">
        <is>
          <t>Aplica CR8 de forma correcta y autónoma en situaciones habituales.</t>
        </is>
      </c>
      <c r="F89" s="269" t="inlineStr">
        <is>
          <t>Aplica CR8 con criterio propio en situaciones nuevas; propone mejoras.</t>
        </is>
      </c>
      <c r="G89" s="54" t="inlineStr">
        <is>
          <t>10.0%</t>
        </is>
      </c>
    </row>
    <row r="90" ht="52" customHeight="1">
      <c r="B90" s="189" t="inlineStr">
        <is>
          <t>CR9</t>
        </is>
      </c>
      <c r="C90" s="266" t="inlineStr">
        <is>
          <t>No identifica CR9 ni lo aplica en el contexto de Supervisa el rendimiento del sistema.</t>
        </is>
      </c>
      <c r="D90" s="267" t="inlineStr">
        <is>
          <t>Identifica CR9 con ayuda; lo aplica con errores o de forma incompleta.</t>
        </is>
      </c>
      <c r="E90" s="268" t="inlineStr">
        <is>
          <t>Aplica CR9 de forma correcta y autónoma en situaciones habituales.</t>
        </is>
      </c>
      <c r="F90" s="269" t="inlineStr">
        <is>
          <t>Aplica CR9 con criterio propio en situaciones nuevas; propone mejoras.</t>
        </is>
      </c>
      <c r="G90" s="72" t="inlineStr">
        <is>
          <t>10.0%</t>
        </is>
      </c>
    </row>
    <row r="91" ht="52" customHeight="1">
      <c r="B91" s="189" t="inlineStr">
        <is>
          <t>CR10</t>
        </is>
      </c>
      <c r="C91" s="266" t="inlineStr">
        <is>
          <t>No identifica CR10 ni lo aplica en el contexto de Supervisa el rendimiento del sistema.</t>
        </is>
      </c>
      <c r="D91" s="267" t="inlineStr">
        <is>
          <t>Identifica CR10 con ayuda; lo aplica con errores o de forma incompleta.</t>
        </is>
      </c>
      <c r="E91" s="268" t="inlineStr">
        <is>
          <t>Aplica CR10 de forma correcta y autónoma en situaciones habituales.</t>
        </is>
      </c>
      <c r="F91" s="269" t="inlineStr">
        <is>
          <t>Aplica CR10 con criterio propio en situaciones nuevas; propone mejoras.</t>
        </is>
      </c>
      <c r="G91" s="54" t="inlineStr">
        <is>
          <t>10.0%</t>
        </is>
      </c>
    </row>
    <row r="92" ht="16" customHeight="1">
      <c r="B92" s="270" t="inlineStr">
        <is>
          <t>Total: 10 indicadores · Nota RA: media ponderada de niveles × 2.5  (Nivel 1=0-4 · Nivel 2=5-6 · Nivel 3=7-8 · Nivel 4=9-10)</t>
        </is>
      </c>
      <c r="G92" s="254" t="inlineStr">
        <is>
          <t>100%</t>
        </is>
      </c>
    </row>
    <row r="93" ht="6" customHeight="1">
      <c r="B93" s="1"/>
      <c r="C93" s="1"/>
      <c r="D93" s="1"/>
      <c r="E93" s="1"/>
      <c r="F93" s="1"/>
      <c r="G93" s="1"/>
    </row>
    <row r="94" ht="20" customHeight="1">
      <c r="B94" s="276" t="inlineStr">
        <is>
          <t>RA7 · EV3 · Pond. 13%  —  Aplica directivas de seguridad y gestiona auditorías, interpretando y aplicando la normativa vigente.</t>
        </is>
      </c>
    </row>
    <row r="95" ht="36" customHeight="1">
      <c r="B95" s="36" t="inlineStr">
        <is>
          <t>CE / Indicador</t>
        </is>
      </c>
      <c r="C95" s="102" t="inlineStr">
        <is>
          <t>Nivel 1
No Alcanzado
(0 – 4)</t>
        </is>
      </c>
      <c r="D95" s="103" t="inlineStr">
        <is>
          <t>Nivel 2
En Proceso
(5 – 6)</t>
        </is>
      </c>
      <c r="E95" s="216" t="inlineStr">
        <is>
          <t>Nivel 3
Alcanzado
(7 – 8)</t>
        </is>
      </c>
      <c r="F95" s="101" t="inlineStr">
        <is>
          <t>Nivel 4
Sobresaliente
(9 – 10)</t>
        </is>
      </c>
      <c r="G95" s="36" t="inlineStr">
        <is>
          <t>Peso
en RA</t>
        </is>
      </c>
    </row>
    <row r="96" ht="52" customHeight="1">
      <c r="B96" s="189" t="inlineStr">
        <is>
          <t>CR1</t>
        </is>
      </c>
      <c r="C96" s="266" t="inlineStr">
        <is>
          <t>No identifica CR1 ni lo aplica en el contexto de Aplica directivas de seguridad y gestiona aud.</t>
        </is>
      </c>
      <c r="D96" s="267" t="inlineStr">
        <is>
          <t>Identifica CR1 con ayuda; lo aplica con errores o de forma incompleta.</t>
        </is>
      </c>
      <c r="E96" s="268" t="inlineStr">
        <is>
          <t>Aplica CR1 de forma correcta y autónoma en situaciones habituales.</t>
        </is>
      </c>
      <c r="F96" s="269" t="inlineStr">
        <is>
          <t>Aplica CR1 con criterio propio en situaciones nuevas; propone mejoras.</t>
        </is>
      </c>
      <c r="G96" s="66" t="inlineStr">
        <is>
          <t>11.1%</t>
        </is>
      </c>
    </row>
    <row r="97" ht="52" customHeight="1">
      <c r="B97" s="189" t="inlineStr">
        <is>
          <t>CR2</t>
        </is>
      </c>
      <c r="C97" s="266" t="inlineStr">
        <is>
          <t>No identifica CR2 ni lo aplica en el contexto de Aplica directivas de seguridad y gestiona aud.</t>
        </is>
      </c>
      <c r="D97" s="267" t="inlineStr">
        <is>
          <t>Identifica CR2 con ayuda; lo aplica con errores o de forma incompleta.</t>
        </is>
      </c>
      <c r="E97" s="268" t="inlineStr">
        <is>
          <t>Aplica CR2 de forma correcta y autónoma en situaciones habituales.</t>
        </is>
      </c>
      <c r="F97" s="269" t="inlineStr">
        <is>
          <t>Aplica CR2 con criterio propio en situaciones nuevas; propone mejoras.</t>
        </is>
      </c>
      <c r="G97" s="54" t="inlineStr">
        <is>
          <t>11.1%</t>
        </is>
      </c>
    </row>
    <row r="98" ht="52" customHeight="1">
      <c r="B98" s="189" t="inlineStr">
        <is>
          <t>CR3</t>
        </is>
      </c>
      <c r="C98" s="266" t="inlineStr">
        <is>
          <t>No identifica CR3 ni lo aplica en el contexto de Aplica directivas de seguridad y gestiona aud.</t>
        </is>
      </c>
      <c r="D98" s="267" t="inlineStr">
        <is>
          <t>Identifica CR3 con ayuda; lo aplica con errores o de forma incompleta.</t>
        </is>
      </c>
      <c r="E98" s="268" t="inlineStr">
        <is>
          <t>Aplica CR3 de forma correcta y autónoma en situaciones habituales.</t>
        </is>
      </c>
      <c r="F98" s="269" t="inlineStr">
        <is>
          <t>Aplica CR3 con criterio propio en situaciones nuevas; propone mejoras.</t>
        </is>
      </c>
      <c r="G98" s="66" t="inlineStr">
        <is>
          <t>11.1%</t>
        </is>
      </c>
    </row>
    <row r="99" ht="52" customHeight="1">
      <c r="B99" s="189" t="inlineStr">
        <is>
          <t>CR4</t>
        </is>
      </c>
      <c r="C99" s="266" t="inlineStr">
        <is>
          <t>No identifica CR4 ni lo aplica en el contexto de Aplica directivas de seguridad y gestiona aud.</t>
        </is>
      </c>
      <c r="D99" s="267" t="inlineStr">
        <is>
          <t>Identifica CR4 con ayuda; lo aplica con errores o de forma incompleta.</t>
        </is>
      </c>
      <c r="E99" s="268" t="inlineStr">
        <is>
          <t>Aplica CR4 de forma correcta y autónoma en situaciones habituales.</t>
        </is>
      </c>
      <c r="F99" s="269" t="inlineStr">
        <is>
          <t>Aplica CR4 con criterio propio en situaciones nuevas; propone mejoras.</t>
        </is>
      </c>
      <c r="G99" s="54" t="inlineStr">
        <is>
          <t>11.1%</t>
        </is>
      </c>
    </row>
    <row r="100" ht="52" customHeight="1">
      <c r="B100" s="189" t="inlineStr">
        <is>
          <t>CR5</t>
        </is>
      </c>
      <c r="C100" s="266" t="inlineStr">
        <is>
          <t>No identifica CR5 ni lo aplica en el contexto de Aplica directivas de seguridad y gestiona aud.</t>
        </is>
      </c>
      <c r="D100" s="267" t="inlineStr">
        <is>
          <t>Identifica CR5 con ayuda; lo aplica con errores o de forma incompleta.</t>
        </is>
      </c>
      <c r="E100" s="268" t="inlineStr">
        <is>
          <t>Aplica CR5 de forma correcta y autónoma en situaciones habituales.</t>
        </is>
      </c>
      <c r="F100" s="269" t="inlineStr">
        <is>
          <t>Aplica CR5 con criterio propio en situaciones nuevas; propone mejoras.</t>
        </is>
      </c>
      <c r="G100" s="66" t="inlineStr">
        <is>
          <t>11.1%</t>
        </is>
      </c>
    </row>
    <row r="101" ht="52" customHeight="1">
      <c r="B101" s="189" t="inlineStr">
        <is>
          <t>CR6</t>
        </is>
      </c>
      <c r="C101" s="266" t="inlineStr">
        <is>
          <t>No identifica CR6 ni lo aplica en el contexto de Aplica directivas de seguridad y gestiona aud.</t>
        </is>
      </c>
      <c r="D101" s="267" t="inlineStr">
        <is>
          <t>Identifica CR6 con ayuda; lo aplica con errores o de forma incompleta.</t>
        </is>
      </c>
      <c r="E101" s="268" t="inlineStr">
        <is>
          <t>Aplica CR6 de forma correcta y autónoma en situaciones habituales.</t>
        </is>
      </c>
      <c r="F101" s="269" t="inlineStr">
        <is>
          <t>Aplica CR6 con criterio propio en situaciones nuevas; propone mejoras.</t>
        </is>
      </c>
      <c r="G101" s="54" t="inlineStr">
        <is>
          <t>11.1%</t>
        </is>
      </c>
    </row>
    <row r="102" ht="52" customHeight="1">
      <c r="B102" s="189" t="inlineStr">
        <is>
          <t>CR7</t>
        </is>
      </c>
      <c r="C102" s="266" t="inlineStr">
        <is>
          <t>No identifica CR7 ni lo aplica en el contexto de Aplica directivas de seguridad y gestiona aud.</t>
        </is>
      </c>
      <c r="D102" s="267" t="inlineStr">
        <is>
          <t>Identifica CR7 con ayuda; lo aplica con errores o de forma incompleta.</t>
        </is>
      </c>
      <c r="E102" s="268" t="inlineStr">
        <is>
          <t>Aplica CR7 de forma correcta y autónoma en situaciones habituales.</t>
        </is>
      </c>
      <c r="F102" s="269" t="inlineStr">
        <is>
          <t>Aplica CR7 con criterio propio en situaciones nuevas; propone mejoras.</t>
        </is>
      </c>
      <c r="G102" s="66" t="inlineStr">
        <is>
          <t>11.1%</t>
        </is>
      </c>
    </row>
    <row r="103" ht="52" customHeight="1">
      <c r="B103" s="189" t="inlineStr">
        <is>
          <t>CR8</t>
        </is>
      </c>
      <c r="C103" s="266" t="inlineStr">
        <is>
          <t>No identifica CR8 ni lo aplica en el contexto de Aplica directivas de seguridad y gestiona aud.</t>
        </is>
      </c>
      <c r="D103" s="267" t="inlineStr">
        <is>
          <t>Identifica CR8 con ayuda; lo aplica con errores o de forma incompleta.</t>
        </is>
      </c>
      <c r="E103" s="268" t="inlineStr">
        <is>
          <t>Aplica CR8 de forma correcta y autónoma en situaciones habituales.</t>
        </is>
      </c>
      <c r="F103" s="269" t="inlineStr">
        <is>
          <t>Aplica CR8 con criterio propio en situaciones nuevas; propone mejoras.</t>
        </is>
      </c>
      <c r="G103" s="54" t="inlineStr">
        <is>
          <t>11.1%</t>
        </is>
      </c>
    </row>
    <row r="104" ht="52" customHeight="1">
      <c r="B104" s="189" t="inlineStr">
        <is>
          <t>CR9</t>
        </is>
      </c>
      <c r="C104" s="266" t="inlineStr">
        <is>
          <t>No identifica CR9 ni lo aplica en el contexto de Aplica directivas de seguridad y gestiona aud.</t>
        </is>
      </c>
      <c r="D104" s="267" t="inlineStr">
        <is>
          <t>Identifica CR9 con ayuda; lo aplica con errores o de forma incompleta.</t>
        </is>
      </c>
      <c r="E104" s="268" t="inlineStr">
        <is>
          <t>Aplica CR9 de forma correcta y autónoma en situaciones habituales.</t>
        </is>
      </c>
      <c r="F104" s="269" t="inlineStr">
        <is>
          <t>Aplica CR9 con criterio propio en situaciones nuevas; propone mejoras.</t>
        </is>
      </c>
      <c r="G104" s="66" t="inlineStr">
        <is>
          <t>11.1%</t>
        </is>
      </c>
    </row>
    <row r="105" ht="16" customHeight="1">
      <c r="B105" s="270" t="inlineStr">
        <is>
          <t>Total: 9 indicadores · Nota RA: media ponderada de niveles × 2.5  (Nivel 1=0-4 · Nivel 2=5-6 · Nivel 3=7-8 · Nivel 4=9-10)</t>
        </is>
      </c>
      <c r="G105" s="255" t="inlineStr">
        <is>
          <t>100%</t>
        </is>
      </c>
    </row>
    <row r="106" ht="6" customHeight="1">
      <c r="B106" s="1"/>
      <c r="C106" s="1"/>
      <c r="D106" s="1"/>
      <c r="E106" s="1"/>
      <c r="F106" s="1"/>
      <c r="G106" s="1"/>
    </row>
    <row r="107" ht="20" customHeight="1">
      <c r="B107" s="277" t="inlineStr">
        <is>
          <t>🏢 DUAL · RA8 · EV3 · Pond. 5%  —  Establece la conexión en red de los sistemas informáticos, configurando dispositivos y protocolos.</t>
        </is>
      </c>
    </row>
    <row r="108" ht="36" customHeight="1">
      <c r="B108" s="36" t="inlineStr">
        <is>
          <t>CE / Indicador</t>
        </is>
      </c>
      <c r="C108" s="102" t="inlineStr">
        <is>
          <t>Nivel 1
No Alcanzado
(0 – 4)</t>
        </is>
      </c>
      <c r="D108" s="103" t="inlineStr">
        <is>
          <t>Nivel 2
En Proceso
(5 – 6)</t>
        </is>
      </c>
      <c r="E108" s="216" t="inlineStr">
        <is>
          <t>Nivel 3
Alcanzado
(7 – 8)</t>
        </is>
      </c>
      <c r="F108" s="101" t="inlineStr">
        <is>
          <t>Nivel 4
Sobresaliente
(9 – 10)</t>
        </is>
      </c>
      <c r="G108" s="36" t="inlineStr">
        <is>
          <t>Peso
en RA</t>
        </is>
      </c>
    </row>
    <row r="109" ht="52" customHeight="1">
      <c r="B109" s="189" t="inlineStr">
        <is>
          <t>CR1</t>
        </is>
      </c>
      <c r="C109" s="266" t="inlineStr">
        <is>
          <t>No identifica CR1 ni lo aplica en el contexto de Establece la conexión en red de los sistemas .</t>
        </is>
      </c>
      <c r="D109" s="267" t="inlineStr">
        <is>
          <t>Identifica CR1 con ayuda; lo aplica con errores o de forma incompleta.</t>
        </is>
      </c>
      <c r="E109" s="268" t="inlineStr">
        <is>
          <t>Aplica CR1 de forma correcta y autónoma en situaciones habituales.</t>
        </is>
      </c>
      <c r="F109" s="269" t="inlineStr">
        <is>
          <t>Aplica CR1 con criterio propio en situaciones nuevas; propone mejoras.</t>
        </is>
      </c>
      <c r="G109" s="76" t="inlineStr">
        <is>
          <t>11.1%</t>
        </is>
      </c>
    </row>
    <row r="110" ht="52" customHeight="1">
      <c r="B110" s="189" t="inlineStr">
        <is>
          <t>CR2</t>
        </is>
      </c>
      <c r="C110" s="266" t="inlineStr">
        <is>
          <t>No identifica CR2 ni lo aplica en el contexto de Establece la conexión en red de los sistemas .</t>
        </is>
      </c>
      <c r="D110" s="267" t="inlineStr">
        <is>
          <t>Identifica CR2 con ayuda; lo aplica con errores o de forma incompleta.</t>
        </is>
      </c>
      <c r="E110" s="268" t="inlineStr">
        <is>
          <t>Aplica CR2 de forma correcta y autónoma en situaciones habituales.</t>
        </is>
      </c>
      <c r="F110" s="269" t="inlineStr">
        <is>
          <t>Aplica CR2 con criterio propio en situaciones nuevas; propone mejoras.</t>
        </is>
      </c>
      <c r="G110" s="54" t="inlineStr">
        <is>
          <t>11.1%</t>
        </is>
      </c>
    </row>
    <row r="111" ht="52" customHeight="1">
      <c r="B111" s="189" t="inlineStr">
        <is>
          <t>CR3</t>
        </is>
      </c>
      <c r="C111" s="266" t="inlineStr">
        <is>
          <t>No identifica CR3 ni lo aplica en el contexto de Establece la conexión en red de los sistemas .</t>
        </is>
      </c>
      <c r="D111" s="267" t="inlineStr">
        <is>
          <t>Identifica CR3 con ayuda; lo aplica con errores o de forma incompleta.</t>
        </is>
      </c>
      <c r="E111" s="268" t="inlineStr">
        <is>
          <t>Aplica CR3 de forma correcta y autónoma en situaciones habituales.</t>
        </is>
      </c>
      <c r="F111" s="269" t="inlineStr">
        <is>
          <t>Aplica CR3 con criterio propio en situaciones nuevas; propone mejoras.</t>
        </is>
      </c>
      <c r="G111" s="76" t="inlineStr">
        <is>
          <t>11.1%</t>
        </is>
      </c>
    </row>
    <row r="112" ht="52" customHeight="1">
      <c r="B112" s="189" t="inlineStr">
        <is>
          <t>CR4</t>
        </is>
      </c>
      <c r="C112" s="266" t="inlineStr">
        <is>
          <t>No identifica CR4 ni lo aplica en el contexto de Establece la conexión en red de los sistemas .</t>
        </is>
      </c>
      <c r="D112" s="267" t="inlineStr">
        <is>
          <t>Identifica CR4 con ayuda; lo aplica con errores o de forma incompleta.</t>
        </is>
      </c>
      <c r="E112" s="268" t="inlineStr">
        <is>
          <t>Aplica CR4 de forma correcta y autónoma en situaciones habituales.</t>
        </is>
      </c>
      <c r="F112" s="269" t="inlineStr">
        <is>
          <t>Aplica CR4 con criterio propio en situaciones nuevas; propone mejoras.</t>
        </is>
      </c>
      <c r="G112" s="54" t="inlineStr">
        <is>
          <t>11.1%</t>
        </is>
      </c>
    </row>
    <row r="113" ht="52" customHeight="1">
      <c r="B113" s="189" t="inlineStr">
        <is>
          <t>CR5</t>
        </is>
      </c>
      <c r="C113" s="266" t="inlineStr">
        <is>
          <t>No identifica CR5 ni lo aplica en el contexto de Establece la conexión en red de los sistemas .</t>
        </is>
      </c>
      <c r="D113" s="267" t="inlineStr">
        <is>
          <t>Identifica CR5 con ayuda; lo aplica con errores o de forma incompleta.</t>
        </is>
      </c>
      <c r="E113" s="268" t="inlineStr">
        <is>
          <t>Aplica CR5 de forma correcta y autónoma en situaciones habituales.</t>
        </is>
      </c>
      <c r="F113" s="269" t="inlineStr">
        <is>
          <t>Aplica CR5 con criterio propio en situaciones nuevas; propone mejoras.</t>
        </is>
      </c>
      <c r="G113" s="76" t="inlineStr">
        <is>
          <t>11.1%</t>
        </is>
      </c>
    </row>
    <row r="114" ht="52" customHeight="1">
      <c r="B114" s="189" t="inlineStr">
        <is>
          <t>CR6</t>
        </is>
      </c>
      <c r="C114" s="266" t="inlineStr">
        <is>
          <t>No identifica CR6 ni lo aplica en el contexto de Establece la conexión en red de los sistemas .</t>
        </is>
      </c>
      <c r="D114" s="267" t="inlineStr">
        <is>
          <t>Identifica CR6 con ayuda; lo aplica con errores o de forma incompleta.</t>
        </is>
      </c>
      <c r="E114" s="268" t="inlineStr">
        <is>
          <t>Aplica CR6 de forma correcta y autónoma en situaciones habituales.</t>
        </is>
      </c>
      <c r="F114" s="269" t="inlineStr">
        <is>
          <t>Aplica CR6 con criterio propio en situaciones nuevas; propone mejoras.</t>
        </is>
      </c>
      <c r="G114" s="54" t="inlineStr">
        <is>
          <t>11.1%</t>
        </is>
      </c>
    </row>
    <row r="115" ht="52" customHeight="1">
      <c r="B115" s="189" t="inlineStr">
        <is>
          <t>CR7</t>
        </is>
      </c>
      <c r="C115" s="266" t="inlineStr">
        <is>
          <t>No identifica CR7 ni lo aplica en el contexto de Establece la conexión en red de los sistemas .</t>
        </is>
      </c>
      <c r="D115" s="267" t="inlineStr">
        <is>
          <t>Identifica CR7 con ayuda; lo aplica con errores o de forma incompleta.</t>
        </is>
      </c>
      <c r="E115" s="268" t="inlineStr">
        <is>
          <t>Aplica CR7 de forma correcta y autónoma en situaciones habituales.</t>
        </is>
      </c>
      <c r="F115" s="269" t="inlineStr">
        <is>
          <t>Aplica CR7 con criterio propio en situaciones nuevas; propone mejoras.</t>
        </is>
      </c>
      <c r="G115" s="76" t="inlineStr">
        <is>
          <t>11.1%</t>
        </is>
      </c>
    </row>
    <row r="116" ht="52" customHeight="1">
      <c r="B116" s="189" t="inlineStr">
        <is>
          <t>CR8</t>
        </is>
      </c>
      <c r="C116" s="266" t="inlineStr">
        <is>
          <t>No identifica CR8 ni lo aplica en el contexto de Establece la conexión en red de los sistemas .</t>
        </is>
      </c>
      <c r="D116" s="267" t="inlineStr">
        <is>
          <t>Identifica CR8 con ayuda; lo aplica con errores o de forma incompleta.</t>
        </is>
      </c>
      <c r="E116" s="268" t="inlineStr">
        <is>
          <t>Aplica CR8 de forma correcta y autónoma en situaciones habituales.</t>
        </is>
      </c>
      <c r="F116" s="269" t="inlineStr">
        <is>
          <t>Aplica CR8 con criterio propio en situaciones nuevas; propone mejoras.</t>
        </is>
      </c>
      <c r="G116" s="54" t="inlineStr">
        <is>
          <t>11.1%</t>
        </is>
      </c>
    </row>
    <row r="117" ht="52" customHeight="1">
      <c r="B117" s="189" t="inlineStr">
        <is>
          <t>CR9</t>
        </is>
      </c>
      <c r="C117" s="266" t="inlineStr">
        <is>
          <t>No identifica CR9 ni lo aplica en el contexto de Establece la conexión en red de los sistemas .</t>
        </is>
      </c>
      <c r="D117" s="267" t="inlineStr">
        <is>
          <t>Identifica CR9 con ayuda; lo aplica con errores o de forma incompleta.</t>
        </is>
      </c>
      <c r="E117" s="268" t="inlineStr">
        <is>
          <t>Aplica CR9 de forma correcta y autónoma en situaciones habituales.</t>
        </is>
      </c>
      <c r="F117" s="269" t="inlineStr">
        <is>
          <t>Aplica CR9 con criterio propio en situaciones nuevas; propone mejoras.</t>
        </is>
      </c>
      <c r="G117" s="76" t="inlineStr">
        <is>
          <t>11.1%</t>
        </is>
      </c>
    </row>
    <row r="118" ht="16" customHeight="1">
      <c r="B118" s="270" t="inlineStr">
        <is>
          <t>Total: 9 indicadores · Nota RA: media ponderada de niveles × 2.5  (Nivel 1=0-4 · Nivel 2=5-6 · Nivel 3=7-8 · Nivel 4=9-10)</t>
        </is>
      </c>
      <c r="G118" s="278" t="inlineStr">
        <is>
          <t>100%</t>
        </is>
      </c>
    </row>
    <row r="119" ht="6" customHeight="1">
      <c r="B119" s="1"/>
      <c r="C119" s="1"/>
      <c r="D119" s="1"/>
      <c r="E119" s="1"/>
      <c r="F119" s="1"/>
      <c r="G119" s="1"/>
    </row>
  </sheetData>
  <mergeCells count="19">
    <mergeCell ref="B107:G107"/>
    <mergeCell ref="B54:F54"/>
    <mergeCell ref="B8:G8"/>
    <mergeCell ref="B66:F66"/>
    <mergeCell ref="B44:G44"/>
    <mergeCell ref="B105:F105"/>
    <mergeCell ref="B42:F42"/>
    <mergeCell ref="B9:G9"/>
    <mergeCell ref="B68:G68"/>
    <mergeCell ref="B3:K3"/>
    <mergeCell ref="B80:G80"/>
    <mergeCell ref="B78:F78"/>
    <mergeCell ref="B94:G94"/>
    <mergeCell ref="B19:F19"/>
    <mergeCell ref="B2:K2"/>
    <mergeCell ref="B118:F118"/>
    <mergeCell ref="B92:F92"/>
    <mergeCell ref="B56:G56"/>
    <mergeCell ref="B21:G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📈 Informe de Grupo — ISO 1º ASIR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Estadísticas y seguimiento del grupo · Implantación de Sistemas Operativos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6">
        <f>HYPERLINK("#ISO · Actividades!A1","📝 Actividades")</f>
        <v/>
      </c>
      <c r="F5" s="6">
        <f>HYPERLINK("#ISO · Reg. Notas!A1","📊 Reg. Notas")</f>
        <v/>
      </c>
      <c r="G5" s="6">
        <f>HYPERLINK("#ISO · Resumen!A1","📈 Resumen")</f>
        <v/>
      </c>
      <c r="H5" s="6">
        <f>HYPERLINK("#ISO · Evaluación 1!A1","Eval 1")</f>
        <v/>
      </c>
      <c r="I5" s="6">
        <f>HYPERLINK("#ISO · Evaluación 2!A1","Eval 2")</f>
        <v/>
      </c>
      <c r="J5" s="6">
        <f>HYPERLINK("#ISO · Evaluación 3!A1","Eval 3")</f>
        <v/>
      </c>
      <c r="K5" s="6">
        <f>HYPERLINK("#ISO · 1ªORD!A1","1ª ORD")</f>
        <v/>
      </c>
      <c r="L5" s="6">
        <f>HYPERLINK("#ISO · 2ªORD!A1","2ª ORD")</f>
        <v/>
      </c>
      <c r="M5" s="6">
        <f>HYPERLINK("#ISO · Rúbricas!A1","🎯 Rúbricas")</f>
        <v/>
      </c>
      <c r="N5" s="5" t="inlineStr">
        <is>
          <t>📊 Inf.Grupo</t>
        </is>
      </c>
      <c r="O5" s="6">
        <f>HYPERLINK("#ISO · Boletín!A1","📄 Boletín")</f>
        <v/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22" customHeight="1">
      <c r="B8" s="279" t="inlineStr">
        <is>
          <t>📊  ESTADÍSTICAS DEL GRUPO</t>
        </is>
      </c>
    </row>
    <row r="9" ht="20" customHeight="1">
      <c r="B9" s="9" t="inlineStr">
        <is>
          <t>Alumnos registrados</t>
        </is>
      </c>
      <c r="C9" s="280">
        <f>COUNTA({_sr('Alumnos')}!C10:C39)</f>
        <v/>
      </c>
    </row>
    <row r="10" ht="20" customHeight="1">
      <c r="B10" s="11" t="inlineStr">
        <is>
          <t>Activos</t>
        </is>
      </c>
      <c r="C10" s="280">
        <f>COUNTIF({_sr('Alumnos')}!J10:J39,"Activo")</f>
        <v/>
      </c>
    </row>
    <row r="11" ht="20" customHeight="1">
      <c r="B11" s="9" t="inlineStr">
        <is>
          <t>Aprobados en 1ªORD (≥5)</t>
        </is>
      </c>
      <c r="C11" s="281">
        <f>COUNTIF('ISO · 1ªORD'!M11:M40,"APTO")</f>
        <v/>
      </c>
    </row>
    <row r="12" ht="20" customHeight="1">
      <c r="B12" s="11" t="inlineStr">
        <is>
          <t>Suspensos en 1ªORD (&lt;5)</t>
        </is>
      </c>
      <c r="C12" s="282">
        <f>COUNTIF('ISO · 1ªORD'!M11:M40,"NO APTO")</f>
        <v/>
      </c>
    </row>
    <row r="13" ht="20" customHeight="1">
      <c r="B13" s="9" t="inlineStr">
        <is>
          <t>Media del grupo</t>
        </is>
      </c>
      <c r="C13" s="283">
        <f>IFERROR(ROUND(AVERAGEIF('ISO · 1ªORD'!M11:M40,"&lt;&gt;",'ISO · 1ªORD'!L11:L40),2),"")</f>
        <v/>
      </c>
    </row>
    <row r="14" ht="20" customHeight="1">
      <c r="B14" s="11" t="inlineStr">
        <is>
          <t>Nota máxima</t>
        </is>
      </c>
      <c r="C14" s="284">
        <f>IFERROR(MAX('ISO · 1ªORD'!L11:L40),"")</f>
        <v/>
      </c>
    </row>
    <row r="15" ht="20" customHeight="1">
      <c r="B15" s="9" t="inlineStr">
        <is>
          <t>Nota mínima (activos)</t>
        </is>
      </c>
      <c r="C15" s="285">
        <f>IFERROR(MINIFS('ISO · 1ªORD'!L11:L40,'ISO · 1ªORD'!L11:L40,"&gt;0"),"")</f>
        <v/>
      </c>
    </row>
    <row r="16" ht="20" customHeight="1">
      <c r="B16" s="11" t="inlineStr">
        <is>
          <t>En riesgo (&lt;4 en nota final)</t>
        </is>
      </c>
      <c r="C16" s="286">
        <f>COUNTIFS('ISO · 1ªORD'!L11:L40,"&lt;4",'ISO · 1ªORD'!L11:L40,"&gt;0")</f>
        <v/>
      </c>
    </row>
    <row r="18" ht="20" customHeight="1">
      <c r="B18" s="287" t="inlineStr">
        <is>
          <t>📊  MEDIA DEL GRUPO POR RESULTADO DE APRENDIZAJE</t>
        </is>
      </c>
    </row>
    <row r="19" ht="28" customHeight="1">
      <c r="B19" s="216" t="inlineStr">
        <is>
          <t>RA1
(13%)</t>
        </is>
      </c>
      <c r="C19" s="103" t="inlineStr">
        <is>
          <t>RA2
(19%)</t>
        </is>
      </c>
      <c r="D19" s="226" t="inlineStr">
        <is>
          <t>RA3
(9%)</t>
        </is>
      </c>
      <c r="E19" s="227" t="inlineStr">
        <is>
          <t>RA4
(16%)</t>
        </is>
      </c>
      <c r="F19" s="206" t="inlineStr">
        <is>
          <t>RA5
(13%)</t>
        </is>
      </c>
      <c r="G19" s="102" t="inlineStr">
        <is>
          <t>RA6
(12%)</t>
        </is>
      </c>
      <c r="H19" s="38" t="inlineStr">
        <is>
          <t>RA7
(13%)</t>
        </is>
      </c>
      <c r="I19" s="288" t="inlineStr">
        <is>
          <t>RA8
(5%)</t>
        </is>
      </c>
    </row>
    <row r="20" ht="20" customHeight="1">
      <c r="B20" s="289">
        <f>IFERROR(ROUND(AVERAGEIF('ISO · 1ªORD'!D11:D40,"&gt;0",'ISO · 1ªORD'!D11:D40),2),"")</f>
        <v/>
      </c>
      <c r="C20" s="290">
        <f>IFERROR(ROUND(AVERAGEIF('ISO · 1ªORD'!E11:E40,"&gt;0",'ISO · 1ªORD'!E11:E40),2),"")</f>
        <v/>
      </c>
      <c r="D20" s="291">
        <f>IFERROR(ROUND(AVERAGEIF('ISO · 1ªORD'!F11:F40,"&gt;0",'ISO · 1ªORD'!F11:F40),2),"")</f>
        <v/>
      </c>
      <c r="E20" s="292">
        <f>IFERROR(ROUND(AVERAGEIF('ISO · 1ªORD'!G11:G40,"&gt;0",'ISO · 1ªORD'!G11:G40),2),"")</f>
        <v/>
      </c>
      <c r="F20" s="293">
        <f>IFERROR(ROUND(AVERAGEIF('ISO · 1ªORD'!H11:H40,"&gt;0",'ISO · 1ªORD'!H11:H40),2),"")</f>
        <v/>
      </c>
      <c r="G20" s="294">
        <f>IFERROR(ROUND(AVERAGEIF('ISO · 1ªORD'!I11:I40,"&gt;0",'ISO · 1ªORD'!I11:I40),2),"")</f>
        <v/>
      </c>
      <c r="H20" s="291">
        <f>IFERROR(ROUND(AVERAGEIF('ISO · 1ªORD'!J11:J40,"&gt;0",'ISO · 1ªORD'!J11:J40),2),"")</f>
        <v/>
      </c>
      <c r="I20" s="295">
        <f>IFERROR(ROUND(AVERAGEIF('ISO · 1ªORD'!K11:K40,"&gt;0",'ISO · 1ªORD'!K11:K40),2),"")</f>
        <v/>
      </c>
    </row>
    <row r="22" ht="20" customHeight="1">
      <c r="B22" s="279" t="inlineStr">
        <is>
          <t>👥  LISTADO COMPLETO — NOTAS FINALES</t>
        </is>
      </c>
    </row>
    <row r="23" ht="30" customHeight="1">
      <c r="B23" s="36" t="inlineStr">
        <is>
          <t>Nº</t>
        </is>
      </c>
      <c r="C23" s="36" t="inlineStr">
        <is>
          <t>Apellidos y Nombre</t>
        </is>
      </c>
      <c r="D23" s="216" t="inlineStr">
        <is>
          <t>RA1</t>
        </is>
      </c>
      <c r="E23" s="103" t="inlineStr">
        <is>
          <t>RA2</t>
        </is>
      </c>
      <c r="F23" s="226" t="inlineStr">
        <is>
          <t>RA3</t>
        </is>
      </c>
      <c r="G23" s="227" t="inlineStr">
        <is>
          <t>RA4</t>
        </is>
      </c>
      <c r="H23" s="206" t="inlineStr">
        <is>
          <t>RA5</t>
        </is>
      </c>
      <c r="I23" s="102" t="inlineStr">
        <is>
          <t>RA6</t>
        </is>
      </c>
      <c r="J23" s="38" t="inlineStr">
        <is>
          <t>RA7</t>
        </is>
      </c>
      <c r="K23" s="288" t="inlineStr">
        <is>
          <t>RA8</t>
        </is>
      </c>
      <c r="L23" s="36" t="inlineStr">
        <is>
          <t>Nota Final</t>
        </is>
      </c>
      <c r="M23" s="36" t="inlineStr">
        <is>
          <t>Resultado</t>
        </is>
      </c>
    </row>
    <row r="24" ht="18" customHeight="1">
      <c r="B24" s="207" t="n">
        <v>1</v>
      </c>
      <c r="C24" s="208">
        <f>IFERROR(INDEX('ISO · 1ªORD'!C:C,11),"")</f>
        <v/>
      </c>
      <c r="D24" s="218">
        <f>IFERROR(INDEX('ISO · 1ªORD'!D:D,11),"")</f>
        <v/>
      </c>
      <c r="E24" s="219">
        <f>IFERROR(INDEX('ISO · 1ªORD'!E:E,11),"")</f>
        <v/>
      </c>
      <c r="F24" s="228">
        <f>IFERROR(INDEX('ISO · 1ªORD'!F:F,11),"")</f>
        <v/>
      </c>
      <c r="G24" s="229">
        <f>IFERROR(INDEX('ISO · 1ªORD'!G:G,11),"")</f>
        <v/>
      </c>
      <c r="H24" s="230">
        <f>IFERROR(INDEX('ISO · 1ªORD'!H:H,11),"")</f>
        <v/>
      </c>
      <c r="I24" s="235">
        <f>IFERROR(INDEX('ISO · 1ªORD'!I:I,11),"")</f>
        <v/>
      </c>
      <c r="J24" s="228">
        <f>IFERROR(INDEX('ISO · 1ªORD'!J:J,11),"")</f>
        <v/>
      </c>
      <c r="K24" s="296">
        <f>IFERROR(INDEX('ISO · 1ªORD'!K:K,11),"")</f>
        <v/>
      </c>
      <c r="L24" s="297">
        <f>IFERROR(INDEX('ISO · 1ªORD'!L:L,11),"")</f>
        <v/>
      </c>
      <c r="M24" s="298">
        <f>IFERROR(INDEX('ISO · 1ªORD'!M:M,11),"")</f>
        <v/>
      </c>
    </row>
    <row r="25" ht="18" customHeight="1">
      <c r="B25" s="207" t="n">
        <v>2</v>
      </c>
      <c r="C25" s="208">
        <f>IFERROR(INDEX('ISO · 1ªORD'!C:C,12),"")</f>
        <v/>
      </c>
      <c r="D25" s="218">
        <f>IFERROR(INDEX('ISO · 1ªORD'!D:D,12),"")</f>
        <v/>
      </c>
      <c r="E25" s="219">
        <f>IFERROR(INDEX('ISO · 1ªORD'!E:E,12),"")</f>
        <v/>
      </c>
      <c r="F25" s="228">
        <f>IFERROR(INDEX('ISO · 1ªORD'!F:F,12),"")</f>
        <v/>
      </c>
      <c r="G25" s="229">
        <f>IFERROR(INDEX('ISO · 1ªORD'!G:G,12),"")</f>
        <v/>
      </c>
      <c r="H25" s="230">
        <f>IFERROR(INDEX('ISO · 1ªORD'!H:H,12),"")</f>
        <v/>
      </c>
      <c r="I25" s="235">
        <f>IFERROR(INDEX('ISO · 1ªORD'!I:I,12),"")</f>
        <v/>
      </c>
      <c r="J25" s="228">
        <f>IFERROR(INDEX('ISO · 1ªORD'!J:J,12),"")</f>
        <v/>
      </c>
      <c r="K25" s="296">
        <f>IFERROR(INDEX('ISO · 1ªORD'!K:K,12),"")</f>
        <v/>
      </c>
      <c r="L25" s="249">
        <f>IFERROR(INDEX('ISO · 1ªORD'!L:L,12),"")</f>
        <v/>
      </c>
      <c r="M25" s="88">
        <f>IFERROR(INDEX('ISO · 1ªORD'!M:M,12),"")</f>
        <v/>
      </c>
    </row>
    <row r="26" ht="18" customHeight="1">
      <c r="B26" s="207" t="n">
        <v>3</v>
      </c>
      <c r="C26" s="208">
        <f>IFERROR(INDEX('ISO · 1ªORD'!C:C,13),"")</f>
        <v/>
      </c>
      <c r="D26" s="218">
        <f>IFERROR(INDEX('ISO · 1ªORD'!D:D,13),"")</f>
        <v/>
      </c>
      <c r="E26" s="219">
        <f>IFERROR(INDEX('ISO · 1ªORD'!E:E,13),"")</f>
        <v/>
      </c>
      <c r="F26" s="228">
        <f>IFERROR(INDEX('ISO · 1ªORD'!F:F,13),"")</f>
        <v/>
      </c>
      <c r="G26" s="229">
        <f>IFERROR(INDEX('ISO · 1ªORD'!G:G,13),"")</f>
        <v/>
      </c>
      <c r="H26" s="230">
        <f>IFERROR(INDEX('ISO · 1ªORD'!H:H,13),"")</f>
        <v/>
      </c>
      <c r="I26" s="235">
        <f>IFERROR(INDEX('ISO · 1ªORD'!I:I,13),"")</f>
        <v/>
      </c>
      <c r="J26" s="228">
        <f>IFERROR(INDEX('ISO · 1ªORD'!J:J,13),"")</f>
        <v/>
      </c>
      <c r="K26" s="296">
        <f>IFERROR(INDEX('ISO · 1ªORD'!K:K,13),"")</f>
        <v/>
      </c>
      <c r="L26" s="297">
        <f>IFERROR(INDEX('ISO · 1ªORD'!L:L,13),"")</f>
        <v/>
      </c>
      <c r="M26" s="298">
        <f>IFERROR(INDEX('ISO · 1ªORD'!M:M,13),"")</f>
        <v/>
      </c>
    </row>
    <row r="27" ht="18" customHeight="1">
      <c r="B27" s="207" t="n">
        <v>4</v>
      </c>
      <c r="C27" s="208">
        <f>IFERROR(INDEX('ISO · 1ªORD'!C:C,14),"")</f>
        <v/>
      </c>
      <c r="D27" s="218">
        <f>IFERROR(INDEX('ISO · 1ªORD'!D:D,14),"")</f>
        <v/>
      </c>
      <c r="E27" s="219">
        <f>IFERROR(INDEX('ISO · 1ªORD'!E:E,14),"")</f>
        <v/>
      </c>
      <c r="F27" s="228">
        <f>IFERROR(INDEX('ISO · 1ªORD'!F:F,14),"")</f>
        <v/>
      </c>
      <c r="G27" s="229">
        <f>IFERROR(INDEX('ISO · 1ªORD'!G:G,14),"")</f>
        <v/>
      </c>
      <c r="H27" s="230">
        <f>IFERROR(INDEX('ISO · 1ªORD'!H:H,14),"")</f>
        <v/>
      </c>
      <c r="I27" s="235">
        <f>IFERROR(INDEX('ISO · 1ªORD'!I:I,14),"")</f>
        <v/>
      </c>
      <c r="J27" s="228">
        <f>IFERROR(INDEX('ISO · 1ªORD'!J:J,14),"")</f>
        <v/>
      </c>
      <c r="K27" s="296">
        <f>IFERROR(INDEX('ISO · 1ªORD'!K:K,14),"")</f>
        <v/>
      </c>
      <c r="L27" s="249">
        <f>IFERROR(INDEX('ISO · 1ªORD'!L:L,14),"")</f>
        <v/>
      </c>
      <c r="M27" s="88">
        <f>IFERROR(INDEX('ISO · 1ªORD'!M:M,14),"")</f>
        <v/>
      </c>
    </row>
    <row r="28" ht="18" customHeight="1">
      <c r="B28" s="207" t="n">
        <v>5</v>
      </c>
      <c r="C28" s="208">
        <f>IFERROR(INDEX('ISO · 1ªORD'!C:C,15),"")</f>
        <v/>
      </c>
      <c r="D28" s="218">
        <f>IFERROR(INDEX('ISO · 1ªORD'!D:D,15),"")</f>
        <v/>
      </c>
      <c r="E28" s="219">
        <f>IFERROR(INDEX('ISO · 1ªORD'!E:E,15),"")</f>
        <v/>
      </c>
      <c r="F28" s="228">
        <f>IFERROR(INDEX('ISO · 1ªORD'!F:F,15),"")</f>
        <v/>
      </c>
      <c r="G28" s="229">
        <f>IFERROR(INDEX('ISO · 1ªORD'!G:G,15),"")</f>
        <v/>
      </c>
      <c r="H28" s="230">
        <f>IFERROR(INDEX('ISO · 1ªORD'!H:H,15),"")</f>
        <v/>
      </c>
      <c r="I28" s="235">
        <f>IFERROR(INDEX('ISO · 1ªORD'!I:I,15),"")</f>
        <v/>
      </c>
      <c r="J28" s="228">
        <f>IFERROR(INDEX('ISO · 1ªORD'!J:J,15),"")</f>
        <v/>
      </c>
      <c r="K28" s="296">
        <f>IFERROR(INDEX('ISO · 1ªORD'!K:K,15),"")</f>
        <v/>
      </c>
      <c r="L28" s="297">
        <f>IFERROR(INDEX('ISO · 1ªORD'!L:L,15),"")</f>
        <v/>
      </c>
      <c r="M28" s="298">
        <f>IFERROR(INDEX('ISO · 1ªORD'!M:M,15),"")</f>
        <v/>
      </c>
    </row>
    <row r="29" ht="18" customHeight="1">
      <c r="B29" s="207" t="n">
        <v>6</v>
      </c>
      <c r="C29" s="208">
        <f>IFERROR(INDEX('ISO · 1ªORD'!C:C,16),"")</f>
        <v/>
      </c>
      <c r="D29" s="218">
        <f>IFERROR(INDEX('ISO · 1ªORD'!D:D,16),"")</f>
        <v/>
      </c>
      <c r="E29" s="219">
        <f>IFERROR(INDEX('ISO · 1ªORD'!E:E,16),"")</f>
        <v/>
      </c>
      <c r="F29" s="228">
        <f>IFERROR(INDEX('ISO · 1ªORD'!F:F,16),"")</f>
        <v/>
      </c>
      <c r="G29" s="229">
        <f>IFERROR(INDEX('ISO · 1ªORD'!G:G,16),"")</f>
        <v/>
      </c>
      <c r="H29" s="230">
        <f>IFERROR(INDEX('ISO · 1ªORD'!H:H,16),"")</f>
        <v/>
      </c>
      <c r="I29" s="235">
        <f>IFERROR(INDEX('ISO · 1ªORD'!I:I,16),"")</f>
        <v/>
      </c>
      <c r="J29" s="228">
        <f>IFERROR(INDEX('ISO · 1ªORD'!J:J,16),"")</f>
        <v/>
      </c>
      <c r="K29" s="296">
        <f>IFERROR(INDEX('ISO · 1ªORD'!K:K,16),"")</f>
        <v/>
      </c>
      <c r="L29" s="249">
        <f>IFERROR(INDEX('ISO · 1ªORD'!L:L,16),"")</f>
        <v/>
      </c>
      <c r="M29" s="88">
        <f>IFERROR(INDEX('ISO · 1ªORD'!M:M,16),"")</f>
        <v/>
      </c>
    </row>
    <row r="30" ht="18" customHeight="1">
      <c r="B30" s="207" t="n">
        <v>7</v>
      </c>
      <c r="C30" s="208">
        <f>IFERROR(INDEX('ISO · 1ªORD'!C:C,17),"")</f>
        <v/>
      </c>
      <c r="D30" s="218">
        <f>IFERROR(INDEX('ISO · 1ªORD'!D:D,17),"")</f>
        <v/>
      </c>
      <c r="E30" s="219">
        <f>IFERROR(INDEX('ISO · 1ªORD'!E:E,17),"")</f>
        <v/>
      </c>
      <c r="F30" s="228">
        <f>IFERROR(INDEX('ISO · 1ªORD'!F:F,17),"")</f>
        <v/>
      </c>
      <c r="G30" s="229">
        <f>IFERROR(INDEX('ISO · 1ªORD'!G:G,17),"")</f>
        <v/>
      </c>
      <c r="H30" s="230">
        <f>IFERROR(INDEX('ISO · 1ªORD'!H:H,17),"")</f>
        <v/>
      </c>
      <c r="I30" s="235">
        <f>IFERROR(INDEX('ISO · 1ªORD'!I:I,17),"")</f>
        <v/>
      </c>
      <c r="J30" s="228">
        <f>IFERROR(INDEX('ISO · 1ªORD'!J:J,17),"")</f>
        <v/>
      </c>
      <c r="K30" s="296">
        <f>IFERROR(INDEX('ISO · 1ªORD'!K:K,17),"")</f>
        <v/>
      </c>
      <c r="L30" s="297">
        <f>IFERROR(INDEX('ISO · 1ªORD'!L:L,17),"")</f>
        <v/>
      </c>
      <c r="M30" s="298">
        <f>IFERROR(INDEX('ISO · 1ªORD'!M:M,17),"")</f>
        <v/>
      </c>
    </row>
    <row r="31" ht="18" customHeight="1">
      <c r="B31" s="207" t="n">
        <v>8</v>
      </c>
      <c r="C31" s="208">
        <f>IFERROR(INDEX('ISO · 1ªORD'!C:C,18),"")</f>
        <v/>
      </c>
      <c r="D31" s="218">
        <f>IFERROR(INDEX('ISO · 1ªORD'!D:D,18),"")</f>
        <v/>
      </c>
      <c r="E31" s="219">
        <f>IFERROR(INDEX('ISO · 1ªORD'!E:E,18),"")</f>
        <v/>
      </c>
      <c r="F31" s="228">
        <f>IFERROR(INDEX('ISO · 1ªORD'!F:F,18),"")</f>
        <v/>
      </c>
      <c r="G31" s="229">
        <f>IFERROR(INDEX('ISO · 1ªORD'!G:G,18),"")</f>
        <v/>
      </c>
      <c r="H31" s="230">
        <f>IFERROR(INDEX('ISO · 1ªORD'!H:H,18),"")</f>
        <v/>
      </c>
      <c r="I31" s="235">
        <f>IFERROR(INDEX('ISO · 1ªORD'!I:I,18),"")</f>
        <v/>
      </c>
      <c r="J31" s="228">
        <f>IFERROR(INDEX('ISO · 1ªORD'!J:J,18),"")</f>
        <v/>
      </c>
      <c r="K31" s="296">
        <f>IFERROR(INDEX('ISO · 1ªORD'!K:K,18),"")</f>
        <v/>
      </c>
      <c r="L31" s="249">
        <f>IFERROR(INDEX('ISO · 1ªORD'!L:L,18),"")</f>
        <v/>
      </c>
      <c r="M31" s="88">
        <f>IFERROR(INDEX('ISO · 1ªORD'!M:M,18),"")</f>
        <v/>
      </c>
    </row>
    <row r="32" ht="18" customHeight="1">
      <c r="B32" s="207" t="n">
        <v>9</v>
      </c>
      <c r="C32" s="208">
        <f>IFERROR(INDEX('ISO · 1ªORD'!C:C,19),"")</f>
        <v/>
      </c>
      <c r="D32" s="218">
        <f>IFERROR(INDEX('ISO · 1ªORD'!D:D,19),"")</f>
        <v/>
      </c>
      <c r="E32" s="219">
        <f>IFERROR(INDEX('ISO · 1ªORD'!E:E,19),"")</f>
        <v/>
      </c>
      <c r="F32" s="228">
        <f>IFERROR(INDEX('ISO · 1ªORD'!F:F,19),"")</f>
        <v/>
      </c>
      <c r="G32" s="229">
        <f>IFERROR(INDEX('ISO · 1ªORD'!G:G,19),"")</f>
        <v/>
      </c>
      <c r="H32" s="230">
        <f>IFERROR(INDEX('ISO · 1ªORD'!H:H,19),"")</f>
        <v/>
      </c>
      <c r="I32" s="235">
        <f>IFERROR(INDEX('ISO · 1ªORD'!I:I,19),"")</f>
        <v/>
      </c>
      <c r="J32" s="228">
        <f>IFERROR(INDEX('ISO · 1ªORD'!J:J,19),"")</f>
        <v/>
      </c>
      <c r="K32" s="296">
        <f>IFERROR(INDEX('ISO · 1ªORD'!K:K,19),"")</f>
        <v/>
      </c>
      <c r="L32" s="297">
        <f>IFERROR(INDEX('ISO · 1ªORD'!L:L,19),"")</f>
        <v/>
      </c>
      <c r="M32" s="298">
        <f>IFERROR(INDEX('ISO · 1ªORD'!M:M,19),"")</f>
        <v/>
      </c>
    </row>
    <row r="33" ht="18" customHeight="1">
      <c r="B33" s="207" t="n">
        <v>10</v>
      </c>
      <c r="C33" s="208">
        <f>IFERROR(INDEX('ISO · 1ªORD'!C:C,20),"")</f>
        <v/>
      </c>
      <c r="D33" s="218">
        <f>IFERROR(INDEX('ISO · 1ªORD'!D:D,20),"")</f>
        <v/>
      </c>
      <c r="E33" s="219">
        <f>IFERROR(INDEX('ISO · 1ªORD'!E:E,20),"")</f>
        <v/>
      </c>
      <c r="F33" s="228">
        <f>IFERROR(INDEX('ISO · 1ªORD'!F:F,20),"")</f>
        <v/>
      </c>
      <c r="G33" s="229">
        <f>IFERROR(INDEX('ISO · 1ªORD'!G:G,20),"")</f>
        <v/>
      </c>
      <c r="H33" s="230">
        <f>IFERROR(INDEX('ISO · 1ªORD'!H:H,20),"")</f>
        <v/>
      </c>
      <c r="I33" s="235">
        <f>IFERROR(INDEX('ISO · 1ªORD'!I:I,20),"")</f>
        <v/>
      </c>
      <c r="J33" s="228">
        <f>IFERROR(INDEX('ISO · 1ªORD'!J:J,20),"")</f>
        <v/>
      </c>
      <c r="K33" s="296">
        <f>IFERROR(INDEX('ISO · 1ªORD'!K:K,20),"")</f>
        <v/>
      </c>
      <c r="L33" s="249">
        <f>IFERROR(INDEX('ISO · 1ªORD'!L:L,20),"")</f>
        <v/>
      </c>
      <c r="M33" s="88">
        <f>IFERROR(INDEX('ISO · 1ªORD'!M:M,20),"")</f>
        <v/>
      </c>
    </row>
    <row r="34" ht="18" customHeight="1">
      <c r="B34" s="207" t="n">
        <v>11</v>
      </c>
      <c r="C34" s="208">
        <f>IFERROR(INDEX('ISO · 1ªORD'!C:C,21),"")</f>
        <v/>
      </c>
      <c r="D34" s="218">
        <f>IFERROR(INDEX('ISO · 1ªORD'!D:D,21),"")</f>
        <v/>
      </c>
      <c r="E34" s="219">
        <f>IFERROR(INDEX('ISO · 1ªORD'!E:E,21),"")</f>
        <v/>
      </c>
      <c r="F34" s="228">
        <f>IFERROR(INDEX('ISO · 1ªORD'!F:F,21),"")</f>
        <v/>
      </c>
      <c r="G34" s="229">
        <f>IFERROR(INDEX('ISO · 1ªORD'!G:G,21),"")</f>
        <v/>
      </c>
      <c r="H34" s="230">
        <f>IFERROR(INDEX('ISO · 1ªORD'!H:H,21),"")</f>
        <v/>
      </c>
      <c r="I34" s="235">
        <f>IFERROR(INDEX('ISO · 1ªORD'!I:I,21),"")</f>
        <v/>
      </c>
      <c r="J34" s="228">
        <f>IFERROR(INDEX('ISO · 1ªORD'!J:J,21),"")</f>
        <v/>
      </c>
      <c r="K34" s="296">
        <f>IFERROR(INDEX('ISO · 1ªORD'!K:K,21),"")</f>
        <v/>
      </c>
      <c r="L34" s="297">
        <f>IFERROR(INDEX('ISO · 1ªORD'!L:L,21),"")</f>
        <v/>
      </c>
      <c r="M34" s="298">
        <f>IFERROR(INDEX('ISO · 1ªORD'!M:M,21),"")</f>
        <v/>
      </c>
    </row>
    <row r="35" ht="18" customHeight="1">
      <c r="B35" s="207" t="n">
        <v>12</v>
      </c>
      <c r="C35" s="208">
        <f>IFERROR(INDEX('ISO · 1ªORD'!C:C,22),"")</f>
        <v/>
      </c>
      <c r="D35" s="218">
        <f>IFERROR(INDEX('ISO · 1ªORD'!D:D,22),"")</f>
        <v/>
      </c>
      <c r="E35" s="219">
        <f>IFERROR(INDEX('ISO · 1ªORD'!E:E,22),"")</f>
        <v/>
      </c>
      <c r="F35" s="228">
        <f>IFERROR(INDEX('ISO · 1ªORD'!F:F,22),"")</f>
        <v/>
      </c>
      <c r="G35" s="229">
        <f>IFERROR(INDEX('ISO · 1ªORD'!G:G,22),"")</f>
        <v/>
      </c>
      <c r="H35" s="230">
        <f>IFERROR(INDEX('ISO · 1ªORD'!H:H,22),"")</f>
        <v/>
      </c>
      <c r="I35" s="235">
        <f>IFERROR(INDEX('ISO · 1ªORD'!I:I,22),"")</f>
        <v/>
      </c>
      <c r="J35" s="228">
        <f>IFERROR(INDEX('ISO · 1ªORD'!J:J,22),"")</f>
        <v/>
      </c>
      <c r="K35" s="296">
        <f>IFERROR(INDEX('ISO · 1ªORD'!K:K,22),"")</f>
        <v/>
      </c>
      <c r="L35" s="249">
        <f>IFERROR(INDEX('ISO · 1ªORD'!L:L,22),"")</f>
        <v/>
      </c>
      <c r="M35" s="88">
        <f>IFERROR(INDEX('ISO · 1ªORD'!M:M,22),"")</f>
        <v/>
      </c>
    </row>
    <row r="36" ht="18" customHeight="1">
      <c r="B36" s="207" t="n">
        <v>13</v>
      </c>
      <c r="C36" s="208">
        <f>IFERROR(INDEX('ISO · 1ªORD'!C:C,23),"")</f>
        <v/>
      </c>
      <c r="D36" s="218">
        <f>IFERROR(INDEX('ISO · 1ªORD'!D:D,23),"")</f>
        <v/>
      </c>
      <c r="E36" s="219">
        <f>IFERROR(INDEX('ISO · 1ªORD'!E:E,23),"")</f>
        <v/>
      </c>
      <c r="F36" s="228">
        <f>IFERROR(INDEX('ISO · 1ªORD'!F:F,23),"")</f>
        <v/>
      </c>
      <c r="G36" s="229">
        <f>IFERROR(INDEX('ISO · 1ªORD'!G:G,23),"")</f>
        <v/>
      </c>
      <c r="H36" s="230">
        <f>IFERROR(INDEX('ISO · 1ªORD'!H:H,23),"")</f>
        <v/>
      </c>
      <c r="I36" s="235">
        <f>IFERROR(INDEX('ISO · 1ªORD'!I:I,23),"")</f>
        <v/>
      </c>
      <c r="J36" s="228">
        <f>IFERROR(INDEX('ISO · 1ªORD'!J:J,23),"")</f>
        <v/>
      </c>
      <c r="K36" s="296">
        <f>IFERROR(INDEX('ISO · 1ªORD'!K:K,23),"")</f>
        <v/>
      </c>
      <c r="L36" s="297">
        <f>IFERROR(INDEX('ISO · 1ªORD'!L:L,23),"")</f>
        <v/>
      </c>
      <c r="M36" s="298">
        <f>IFERROR(INDEX('ISO · 1ªORD'!M:M,23),"")</f>
        <v/>
      </c>
    </row>
    <row r="37" ht="18" customHeight="1">
      <c r="B37" s="207" t="n">
        <v>14</v>
      </c>
      <c r="C37" s="208">
        <f>IFERROR(INDEX('ISO · 1ªORD'!C:C,24),"")</f>
        <v/>
      </c>
      <c r="D37" s="218">
        <f>IFERROR(INDEX('ISO · 1ªORD'!D:D,24),"")</f>
        <v/>
      </c>
      <c r="E37" s="219">
        <f>IFERROR(INDEX('ISO · 1ªORD'!E:E,24),"")</f>
        <v/>
      </c>
      <c r="F37" s="228">
        <f>IFERROR(INDEX('ISO · 1ªORD'!F:F,24),"")</f>
        <v/>
      </c>
      <c r="G37" s="229">
        <f>IFERROR(INDEX('ISO · 1ªORD'!G:G,24),"")</f>
        <v/>
      </c>
      <c r="H37" s="230">
        <f>IFERROR(INDEX('ISO · 1ªORD'!H:H,24),"")</f>
        <v/>
      </c>
      <c r="I37" s="235">
        <f>IFERROR(INDEX('ISO · 1ªORD'!I:I,24),"")</f>
        <v/>
      </c>
      <c r="J37" s="228">
        <f>IFERROR(INDEX('ISO · 1ªORD'!J:J,24),"")</f>
        <v/>
      </c>
      <c r="K37" s="296">
        <f>IFERROR(INDEX('ISO · 1ªORD'!K:K,24),"")</f>
        <v/>
      </c>
      <c r="L37" s="249">
        <f>IFERROR(INDEX('ISO · 1ªORD'!L:L,24),"")</f>
        <v/>
      </c>
      <c r="M37" s="88">
        <f>IFERROR(INDEX('ISO · 1ªORD'!M:M,24),"")</f>
        <v/>
      </c>
    </row>
    <row r="38" ht="18" customHeight="1">
      <c r="B38" s="207" t="n">
        <v>15</v>
      </c>
      <c r="C38" s="208">
        <f>IFERROR(INDEX('ISO · 1ªORD'!C:C,25),"")</f>
        <v/>
      </c>
      <c r="D38" s="218">
        <f>IFERROR(INDEX('ISO · 1ªORD'!D:D,25),"")</f>
        <v/>
      </c>
      <c r="E38" s="219">
        <f>IFERROR(INDEX('ISO · 1ªORD'!E:E,25),"")</f>
        <v/>
      </c>
      <c r="F38" s="228">
        <f>IFERROR(INDEX('ISO · 1ªORD'!F:F,25),"")</f>
        <v/>
      </c>
      <c r="G38" s="229">
        <f>IFERROR(INDEX('ISO · 1ªORD'!G:G,25),"")</f>
        <v/>
      </c>
      <c r="H38" s="230">
        <f>IFERROR(INDEX('ISO · 1ªORD'!H:H,25),"")</f>
        <v/>
      </c>
      <c r="I38" s="235">
        <f>IFERROR(INDEX('ISO · 1ªORD'!I:I,25),"")</f>
        <v/>
      </c>
      <c r="J38" s="228">
        <f>IFERROR(INDEX('ISO · 1ªORD'!J:J,25),"")</f>
        <v/>
      </c>
      <c r="K38" s="296">
        <f>IFERROR(INDEX('ISO · 1ªORD'!K:K,25),"")</f>
        <v/>
      </c>
      <c r="L38" s="297">
        <f>IFERROR(INDEX('ISO · 1ªORD'!L:L,25),"")</f>
        <v/>
      </c>
      <c r="M38" s="298">
        <f>IFERROR(INDEX('ISO · 1ªORD'!M:M,25),"")</f>
        <v/>
      </c>
    </row>
    <row r="39" ht="18" customHeight="1">
      <c r="B39" s="207" t="n">
        <v>16</v>
      </c>
      <c r="C39" s="208">
        <f>IFERROR(INDEX('ISO · 1ªORD'!C:C,26),"")</f>
        <v/>
      </c>
      <c r="D39" s="218">
        <f>IFERROR(INDEX('ISO · 1ªORD'!D:D,26),"")</f>
        <v/>
      </c>
      <c r="E39" s="219">
        <f>IFERROR(INDEX('ISO · 1ªORD'!E:E,26),"")</f>
        <v/>
      </c>
      <c r="F39" s="228">
        <f>IFERROR(INDEX('ISO · 1ªORD'!F:F,26),"")</f>
        <v/>
      </c>
      <c r="G39" s="229">
        <f>IFERROR(INDEX('ISO · 1ªORD'!G:G,26),"")</f>
        <v/>
      </c>
      <c r="H39" s="230">
        <f>IFERROR(INDEX('ISO · 1ªORD'!H:H,26),"")</f>
        <v/>
      </c>
      <c r="I39" s="235">
        <f>IFERROR(INDEX('ISO · 1ªORD'!I:I,26),"")</f>
        <v/>
      </c>
      <c r="J39" s="228">
        <f>IFERROR(INDEX('ISO · 1ªORD'!J:J,26),"")</f>
        <v/>
      </c>
      <c r="K39" s="296">
        <f>IFERROR(INDEX('ISO · 1ªORD'!K:K,26),"")</f>
        <v/>
      </c>
      <c r="L39" s="249">
        <f>IFERROR(INDEX('ISO · 1ªORD'!L:L,26),"")</f>
        <v/>
      </c>
      <c r="M39" s="88">
        <f>IFERROR(INDEX('ISO · 1ªORD'!M:M,26),"")</f>
        <v/>
      </c>
    </row>
    <row r="40" ht="18" customHeight="1">
      <c r="B40" s="207" t="n">
        <v>17</v>
      </c>
      <c r="C40" s="208">
        <f>IFERROR(INDEX('ISO · 1ªORD'!C:C,27),"")</f>
        <v/>
      </c>
      <c r="D40" s="218">
        <f>IFERROR(INDEX('ISO · 1ªORD'!D:D,27),"")</f>
        <v/>
      </c>
      <c r="E40" s="219">
        <f>IFERROR(INDEX('ISO · 1ªORD'!E:E,27),"")</f>
        <v/>
      </c>
      <c r="F40" s="228">
        <f>IFERROR(INDEX('ISO · 1ªORD'!F:F,27),"")</f>
        <v/>
      </c>
      <c r="G40" s="229">
        <f>IFERROR(INDEX('ISO · 1ªORD'!G:G,27),"")</f>
        <v/>
      </c>
      <c r="H40" s="230">
        <f>IFERROR(INDEX('ISO · 1ªORD'!H:H,27),"")</f>
        <v/>
      </c>
      <c r="I40" s="235">
        <f>IFERROR(INDEX('ISO · 1ªORD'!I:I,27),"")</f>
        <v/>
      </c>
      <c r="J40" s="228">
        <f>IFERROR(INDEX('ISO · 1ªORD'!J:J,27),"")</f>
        <v/>
      </c>
      <c r="K40" s="296">
        <f>IFERROR(INDEX('ISO · 1ªORD'!K:K,27),"")</f>
        <v/>
      </c>
      <c r="L40" s="297">
        <f>IFERROR(INDEX('ISO · 1ªORD'!L:L,27),"")</f>
        <v/>
      </c>
      <c r="M40" s="298">
        <f>IFERROR(INDEX('ISO · 1ªORD'!M:M,27),"")</f>
        <v/>
      </c>
    </row>
    <row r="41" ht="18" customHeight="1">
      <c r="B41" s="207" t="n">
        <v>18</v>
      </c>
      <c r="C41" s="208">
        <f>IFERROR(INDEX('ISO · 1ªORD'!C:C,28),"")</f>
        <v/>
      </c>
      <c r="D41" s="218">
        <f>IFERROR(INDEX('ISO · 1ªORD'!D:D,28),"")</f>
        <v/>
      </c>
      <c r="E41" s="219">
        <f>IFERROR(INDEX('ISO · 1ªORD'!E:E,28),"")</f>
        <v/>
      </c>
      <c r="F41" s="228">
        <f>IFERROR(INDEX('ISO · 1ªORD'!F:F,28),"")</f>
        <v/>
      </c>
      <c r="G41" s="229">
        <f>IFERROR(INDEX('ISO · 1ªORD'!G:G,28),"")</f>
        <v/>
      </c>
      <c r="H41" s="230">
        <f>IFERROR(INDEX('ISO · 1ªORD'!H:H,28),"")</f>
        <v/>
      </c>
      <c r="I41" s="235">
        <f>IFERROR(INDEX('ISO · 1ªORD'!I:I,28),"")</f>
        <v/>
      </c>
      <c r="J41" s="228">
        <f>IFERROR(INDEX('ISO · 1ªORD'!J:J,28),"")</f>
        <v/>
      </c>
      <c r="K41" s="296">
        <f>IFERROR(INDEX('ISO · 1ªORD'!K:K,28),"")</f>
        <v/>
      </c>
      <c r="L41" s="249">
        <f>IFERROR(INDEX('ISO · 1ªORD'!L:L,28),"")</f>
        <v/>
      </c>
      <c r="M41" s="88">
        <f>IFERROR(INDEX('ISO · 1ªORD'!M:M,28),"")</f>
        <v/>
      </c>
    </row>
    <row r="42" ht="18" customHeight="1">
      <c r="B42" s="207" t="n">
        <v>19</v>
      </c>
      <c r="C42" s="208">
        <f>IFERROR(INDEX('ISO · 1ªORD'!C:C,29),"")</f>
        <v/>
      </c>
      <c r="D42" s="218">
        <f>IFERROR(INDEX('ISO · 1ªORD'!D:D,29),"")</f>
        <v/>
      </c>
      <c r="E42" s="219">
        <f>IFERROR(INDEX('ISO · 1ªORD'!E:E,29),"")</f>
        <v/>
      </c>
      <c r="F42" s="228">
        <f>IFERROR(INDEX('ISO · 1ªORD'!F:F,29),"")</f>
        <v/>
      </c>
      <c r="G42" s="229">
        <f>IFERROR(INDEX('ISO · 1ªORD'!G:G,29),"")</f>
        <v/>
      </c>
      <c r="H42" s="230">
        <f>IFERROR(INDEX('ISO · 1ªORD'!H:H,29),"")</f>
        <v/>
      </c>
      <c r="I42" s="235">
        <f>IFERROR(INDEX('ISO · 1ªORD'!I:I,29),"")</f>
        <v/>
      </c>
      <c r="J42" s="228">
        <f>IFERROR(INDEX('ISO · 1ªORD'!J:J,29),"")</f>
        <v/>
      </c>
      <c r="K42" s="296">
        <f>IFERROR(INDEX('ISO · 1ªORD'!K:K,29),"")</f>
        <v/>
      </c>
      <c r="L42" s="297">
        <f>IFERROR(INDEX('ISO · 1ªORD'!L:L,29),"")</f>
        <v/>
      </c>
      <c r="M42" s="298">
        <f>IFERROR(INDEX('ISO · 1ªORD'!M:M,29),"")</f>
        <v/>
      </c>
    </row>
    <row r="43" ht="18" customHeight="1">
      <c r="B43" s="207" t="n">
        <v>20</v>
      </c>
      <c r="C43" s="208">
        <f>IFERROR(INDEX('ISO · 1ªORD'!C:C,30),"")</f>
        <v/>
      </c>
      <c r="D43" s="218">
        <f>IFERROR(INDEX('ISO · 1ªORD'!D:D,30),"")</f>
        <v/>
      </c>
      <c r="E43" s="219">
        <f>IFERROR(INDEX('ISO · 1ªORD'!E:E,30),"")</f>
        <v/>
      </c>
      <c r="F43" s="228">
        <f>IFERROR(INDEX('ISO · 1ªORD'!F:F,30),"")</f>
        <v/>
      </c>
      <c r="G43" s="229">
        <f>IFERROR(INDEX('ISO · 1ªORD'!G:G,30),"")</f>
        <v/>
      </c>
      <c r="H43" s="230">
        <f>IFERROR(INDEX('ISO · 1ªORD'!H:H,30),"")</f>
        <v/>
      </c>
      <c r="I43" s="235">
        <f>IFERROR(INDEX('ISO · 1ªORD'!I:I,30),"")</f>
        <v/>
      </c>
      <c r="J43" s="228">
        <f>IFERROR(INDEX('ISO · 1ªORD'!J:J,30),"")</f>
        <v/>
      </c>
      <c r="K43" s="296">
        <f>IFERROR(INDEX('ISO · 1ªORD'!K:K,30),"")</f>
        <v/>
      </c>
      <c r="L43" s="249">
        <f>IFERROR(INDEX('ISO · 1ªORD'!L:L,30),"")</f>
        <v/>
      </c>
      <c r="M43" s="88">
        <f>IFERROR(INDEX('ISO · 1ªORD'!M:M,30),"")</f>
        <v/>
      </c>
    </row>
    <row r="44" ht="18" customHeight="1">
      <c r="B44" s="207" t="n">
        <v>21</v>
      </c>
      <c r="C44" s="208">
        <f>IFERROR(INDEX('ISO · 1ªORD'!C:C,31),"")</f>
        <v/>
      </c>
      <c r="D44" s="218">
        <f>IFERROR(INDEX('ISO · 1ªORD'!D:D,31),"")</f>
        <v/>
      </c>
      <c r="E44" s="219">
        <f>IFERROR(INDEX('ISO · 1ªORD'!E:E,31),"")</f>
        <v/>
      </c>
      <c r="F44" s="228">
        <f>IFERROR(INDEX('ISO · 1ªORD'!F:F,31),"")</f>
        <v/>
      </c>
      <c r="G44" s="229">
        <f>IFERROR(INDEX('ISO · 1ªORD'!G:G,31),"")</f>
        <v/>
      </c>
      <c r="H44" s="230">
        <f>IFERROR(INDEX('ISO · 1ªORD'!H:H,31),"")</f>
        <v/>
      </c>
      <c r="I44" s="235">
        <f>IFERROR(INDEX('ISO · 1ªORD'!I:I,31),"")</f>
        <v/>
      </c>
      <c r="J44" s="228">
        <f>IFERROR(INDEX('ISO · 1ªORD'!J:J,31),"")</f>
        <v/>
      </c>
      <c r="K44" s="296">
        <f>IFERROR(INDEX('ISO · 1ªORD'!K:K,31),"")</f>
        <v/>
      </c>
      <c r="L44" s="297">
        <f>IFERROR(INDEX('ISO · 1ªORD'!L:L,31),"")</f>
        <v/>
      </c>
      <c r="M44" s="298">
        <f>IFERROR(INDEX('ISO · 1ªORD'!M:M,31),"")</f>
        <v/>
      </c>
    </row>
    <row r="45" ht="18" customHeight="1">
      <c r="B45" s="207" t="n">
        <v>22</v>
      </c>
      <c r="C45" s="208">
        <f>IFERROR(INDEX('ISO · 1ªORD'!C:C,32),"")</f>
        <v/>
      </c>
      <c r="D45" s="218">
        <f>IFERROR(INDEX('ISO · 1ªORD'!D:D,32),"")</f>
        <v/>
      </c>
      <c r="E45" s="219">
        <f>IFERROR(INDEX('ISO · 1ªORD'!E:E,32),"")</f>
        <v/>
      </c>
      <c r="F45" s="228">
        <f>IFERROR(INDEX('ISO · 1ªORD'!F:F,32),"")</f>
        <v/>
      </c>
      <c r="G45" s="229">
        <f>IFERROR(INDEX('ISO · 1ªORD'!G:G,32),"")</f>
        <v/>
      </c>
      <c r="H45" s="230">
        <f>IFERROR(INDEX('ISO · 1ªORD'!H:H,32),"")</f>
        <v/>
      </c>
      <c r="I45" s="235">
        <f>IFERROR(INDEX('ISO · 1ªORD'!I:I,32),"")</f>
        <v/>
      </c>
      <c r="J45" s="228">
        <f>IFERROR(INDEX('ISO · 1ªORD'!J:J,32),"")</f>
        <v/>
      </c>
      <c r="K45" s="296">
        <f>IFERROR(INDEX('ISO · 1ªORD'!K:K,32),"")</f>
        <v/>
      </c>
      <c r="L45" s="249">
        <f>IFERROR(INDEX('ISO · 1ªORD'!L:L,32),"")</f>
        <v/>
      </c>
      <c r="M45" s="88">
        <f>IFERROR(INDEX('ISO · 1ªORD'!M:M,32),"")</f>
        <v/>
      </c>
    </row>
    <row r="46" ht="18" customHeight="1">
      <c r="B46" s="207" t="n">
        <v>23</v>
      </c>
      <c r="C46" s="208">
        <f>IFERROR(INDEX('ISO · 1ªORD'!C:C,33),"")</f>
        <v/>
      </c>
      <c r="D46" s="218">
        <f>IFERROR(INDEX('ISO · 1ªORD'!D:D,33),"")</f>
        <v/>
      </c>
      <c r="E46" s="219">
        <f>IFERROR(INDEX('ISO · 1ªORD'!E:E,33),"")</f>
        <v/>
      </c>
      <c r="F46" s="228">
        <f>IFERROR(INDEX('ISO · 1ªORD'!F:F,33),"")</f>
        <v/>
      </c>
      <c r="G46" s="229">
        <f>IFERROR(INDEX('ISO · 1ªORD'!G:G,33),"")</f>
        <v/>
      </c>
      <c r="H46" s="230">
        <f>IFERROR(INDEX('ISO · 1ªORD'!H:H,33),"")</f>
        <v/>
      </c>
      <c r="I46" s="235">
        <f>IFERROR(INDEX('ISO · 1ªORD'!I:I,33),"")</f>
        <v/>
      </c>
      <c r="J46" s="228">
        <f>IFERROR(INDEX('ISO · 1ªORD'!J:J,33),"")</f>
        <v/>
      </c>
      <c r="K46" s="296">
        <f>IFERROR(INDEX('ISO · 1ªORD'!K:K,33),"")</f>
        <v/>
      </c>
      <c r="L46" s="297">
        <f>IFERROR(INDEX('ISO · 1ªORD'!L:L,33),"")</f>
        <v/>
      </c>
      <c r="M46" s="298">
        <f>IFERROR(INDEX('ISO · 1ªORD'!M:M,33),"")</f>
        <v/>
      </c>
    </row>
    <row r="47" ht="18" customHeight="1">
      <c r="B47" s="207" t="n">
        <v>24</v>
      </c>
      <c r="C47" s="208">
        <f>IFERROR(INDEX('ISO · 1ªORD'!C:C,34),"")</f>
        <v/>
      </c>
      <c r="D47" s="218">
        <f>IFERROR(INDEX('ISO · 1ªORD'!D:D,34),"")</f>
        <v/>
      </c>
      <c r="E47" s="219">
        <f>IFERROR(INDEX('ISO · 1ªORD'!E:E,34),"")</f>
        <v/>
      </c>
      <c r="F47" s="228">
        <f>IFERROR(INDEX('ISO · 1ªORD'!F:F,34),"")</f>
        <v/>
      </c>
      <c r="G47" s="229">
        <f>IFERROR(INDEX('ISO · 1ªORD'!G:G,34),"")</f>
        <v/>
      </c>
      <c r="H47" s="230">
        <f>IFERROR(INDEX('ISO · 1ªORD'!H:H,34),"")</f>
        <v/>
      </c>
      <c r="I47" s="235">
        <f>IFERROR(INDEX('ISO · 1ªORD'!I:I,34),"")</f>
        <v/>
      </c>
      <c r="J47" s="228">
        <f>IFERROR(INDEX('ISO · 1ªORD'!J:J,34),"")</f>
        <v/>
      </c>
      <c r="K47" s="296">
        <f>IFERROR(INDEX('ISO · 1ªORD'!K:K,34),"")</f>
        <v/>
      </c>
      <c r="L47" s="249">
        <f>IFERROR(INDEX('ISO · 1ªORD'!L:L,34),"")</f>
        <v/>
      </c>
      <c r="M47" s="88">
        <f>IFERROR(INDEX('ISO · 1ªORD'!M:M,34),"")</f>
        <v/>
      </c>
    </row>
    <row r="48" ht="18" customHeight="1">
      <c r="B48" s="207" t="n">
        <v>25</v>
      </c>
      <c r="C48" s="208">
        <f>IFERROR(INDEX('ISO · 1ªORD'!C:C,35),"")</f>
        <v/>
      </c>
      <c r="D48" s="218">
        <f>IFERROR(INDEX('ISO · 1ªORD'!D:D,35),"")</f>
        <v/>
      </c>
      <c r="E48" s="219">
        <f>IFERROR(INDEX('ISO · 1ªORD'!E:E,35),"")</f>
        <v/>
      </c>
      <c r="F48" s="228">
        <f>IFERROR(INDEX('ISO · 1ªORD'!F:F,35),"")</f>
        <v/>
      </c>
      <c r="G48" s="229">
        <f>IFERROR(INDEX('ISO · 1ªORD'!G:G,35),"")</f>
        <v/>
      </c>
      <c r="H48" s="230">
        <f>IFERROR(INDEX('ISO · 1ªORD'!H:H,35),"")</f>
        <v/>
      </c>
      <c r="I48" s="235">
        <f>IFERROR(INDEX('ISO · 1ªORD'!I:I,35),"")</f>
        <v/>
      </c>
      <c r="J48" s="228">
        <f>IFERROR(INDEX('ISO · 1ªORD'!J:J,35),"")</f>
        <v/>
      </c>
      <c r="K48" s="296">
        <f>IFERROR(INDEX('ISO · 1ªORD'!K:K,35),"")</f>
        <v/>
      </c>
      <c r="L48" s="297">
        <f>IFERROR(INDEX('ISO · 1ªORD'!L:L,35),"")</f>
        <v/>
      </c>
      <c r="M48" s="298">
        <f>IFERROR(INDEX('ISO · 1ªORD'!M:M,35),"")</f>
        <v/>
      </c>
    </row>
    <row r="49" ht="18" customHeight="1">
      <c r="B49" s="207" t="n">
        <v>26</v>
      </c>
      <c r="C49" s="208">
        <f>IFERROR(INDEX('ISO · 1ªORD'!C:C,36),"")</f>
        <v/>
      </c>
      <c r="D49" s="218">
        <f>IFERROR(INDEX('ISO · 1ªORD'!D:D,36),"")</f>
        <v/>
      </c>
      <c r="E49" s="219">
        <f>IFERROR(INDEX('ISO · 1ªORD'!E:E,36),"")</f>
        <v/>
      </c>
      <c r="F49" s="228">
        <f>IFERROR(INDEX('ISO · 1ªORD'!F:F,36),"")</f>
        <v/>
      </c>
      <c r="G49" s="229">
        <f>IFERROR(INDEX('ISO · 1ªORD'!G:G,36),"")</f>
        <v/>
      </c>
      <c r="H49" s="230">
        <f>IFERROR(INDEX('ISO · 1ªORD'!H:H,36),"")</f>
        <v/>
      </c>
      <c r="I49" s="235">
        <f>IFERROR(INDEX('ISO · 1ªORD'!I:I,36),"")</f>
        <v/>
      </c>
      <c r="J49" s="228">
        <f>IFERROR(INDEX('ISO · 1ªORD'!J:J,36),"")</f>
        <v/>
      </c>
      <c r="K49" s="296">
        <f>IFERROR(INDEX('ISO · 1ªORD'!K:K,36),"")</f>
        <v/>
      </c>
      <c r="L49" s="249">
        <f>IFERROR(INDEX('ISO · 1ªORD'!L:L,36),"")</f>
        <v/>
      </c>
      <c r="M49" s="88">
        <f>IFERROR(INDEX('ISO · 1ªORD'!M:M,36),"")</f>
        <v/>
      </c>
    </row>
    <row r="50" ht="18" customHeight="1">
      <c r="B50" s="207" t="n">
        <v>27</v>
      </c>
      <c r="C50" s="208">
        <f>IFERROR(INDEX('ISO · 1ªORD'!C:C,37),"")</f>
        <v/>
      </c>
      <c r="D50" s="218">
        <f>IFERROR(INDEX('ISO · 1ªORD'!D:D,37),"")</f>
        <v/>
      </c>
      <c r="E50" s="219">
        <f>IFERROR(INDEX('ISO · 1ªORD'!E:E,37),"")</f>
        <v/>
      </c>
      <c r="F50" s="228">
        <f>IFERROR(INDEX('ISO · 1ªORD'!F:F,37),"")</f>
        <v/>
      </c>
      <c r="G50" s="229">
        <f>IFERROR(INDEX('ISO · 1ªORD'!G:G,37),"")</f>
        <v/>
      </c>
      <c r="H50" s="230">
        <f>IFERROR(INDEX('ISO · 1ªORD'!H:H,37),"")</f>
        <v/>
      </c>
      <c r="I50" s="235">
        <f>IFERROR(INDEX('ISO · 1ªORD'!I:I,37),"")</f>
        <v/>
      </c>
      <c r="J50" s="228">
        <f>IFERROR(INDEX('ISO · 1ªORD'!J:J,37),"")</f>
        <v/>
      </c>
      <c r="K50" s="296">
        <f>IFERROR(INDEX('ISO · 1ªORD'!K:K,37),"")</f>
        <v/>
      </c>
      <c r="L50" s="297">
        <f>IFERROR(INDEX('ISO · 1ªORD'!L:L,37),"")</f>
        <v/>
      </c>
      <c r="M50" s="298">
        <f>IFERROR(INDEX('ISO · 1ªORD'!M:M,37),"")</f>
        <v/>
      </c>
    </row>
    <row r="51" ht="18" customHeight="1">
      <c r="B51" s="207" t="n">
        <v>28</v>
      </c>
      <c r="C51" s="208">
        <f>IFERROR(INDEX('ISO · 1ªORD'!C:C,38),"")</f>
        <v/>
      </c>
      <c r="D51" s="218">
        <f>IFERROR(INDEX('ISO · 1ªORD'!D:D,38),"")</f>
        <v/>
      </c>
      <c r="E51" s="219">
        <f>IFERROR(INDEX('ISO · 1ªORD'!E:E,38),"")</f>
        <v/>
      </c>
      <c r="F51" s="228">
        <f>IFERROR(INDEX('ISO · 1ªORD'!F:F,38),"")</f>
        <v/>
      </c>
      <c r="G51" s="229">
        <f>IFERROR(INDEX('ISO · 1ªORD'!G:G,38),"")</f>
        <v/>
      </c>
      <c r="H51" s="230">
        <f>IFERROR(INDEX('ISO · 1ªORD'!H:H,38),"")</f>
        <v/>
      </c>
      <c r="I51" s="235">
        <f>IFERROR(INDEX('ISO · 1ªORD'!I:I,38),"")</f>
        <v/>
      </c>
      <c r="J51" s="228">
        <f>IFERROR(INDEX('ISO · 1ªORD'!J:J,38),"")</f>
        <v/>
      </c>
      <c r="K51" s="296">
        <f>IFERROR(INDEX('ISO · 1ªORD'!K:K,38),"")</f>
        <v/>
      </c>
      <c r="L51" s="249">
        <f>IFERROR(INDEX('ISO · 1ªORD'!L:L,38),"")</f>
        <v/>
      </c>
      <c r="M51" s="88">
        <f>IFERROR(INDEX('ISO · 1ªORD'!M:M,38),"")</f>
        <v/>
      </c>
    </row>
    <row r="52" ht="18" customHeight="1">
      <c r="B52" s="207" t="n">
        <v>29</v>
      </c>
      <c r="C52" s="208">
        <f>IFERROR(INDEX('ISO · 1ªORD'!C:C,39),"")</f>
        <v/>
      </c>
      <c r="D52" s="218">
        <f>IFERROR(INDEX('ISO · 1ªORD'!D:D,39),"")</f>
        <v/>
      </c>
      <c r="E52" s="219">
        <f>IFERROR(INDEX('ISO · 1ªORD'!E:E,39),"")</f>
        <v/>
      </c>
      <c r="F52" s="228">
        <f>IFERROR(INDEX('ISO · 1ªORD'!F:F,39),"")</f>
        <v/>
      </c>
      <c r="G52" s="229">
        <f>IFERROR(INDEX('ISO · 1ªORD'!G:G,39),"")</f>
        <v/>
      </c>
      <c r="H52" s="230">
        <f>IFERROR(INDEX('ISO · 1ªORD'!H:H,39),"")</f>
        <v/>
      </c>
      <c r="I52" s="235">
        <f>IFERROR(INDEX('ISO · 1ªORD'!I:I,39),"")</f>
        <v/>
      </c>
      <c r="J52" s="228">
        <f>IFERROR(INDEX('ISO · 1ªORD'!J:J,39),"")</f>
        <v/>
      </c>
      <c r="K52" s="296">
        <f>IFERROR(INDEX('ISO · 1ªORD'!K:K,39),"")</f>
        <v/>
      </c>
      <c r="L52" s="297">
        <f>IFERROR(INDEX('ISO · 1ªORD'!L:L,39),"")</f>
        <v/>
      </c>
      <c r="M52" s="298">
        <f>IFERROR(INDEX('ISO · 1ªORD'!M:M,39),"")</f>
        <v/>
      </c>
    </row>
    <row r="53" ht="18" customHeight="1">
      <c r="B53" s="207" t="n">
        <v>30</v>
      </c>
      <c r="C53" s="208">
        <f>IFERROR(INDEX('ISO · 1ªORD'!C:C,40),"")</f>
        <v/>
      </c>
      <c r="D53" s="218">
        <f>IFERROR(INDEX('ISO · 1ªORD'!D:D,40),"")</f>
        <v/>
      </c>
      <c r="E53" s="219">
        <f>IFERROR(INDEX('ISO · 1ªORD'!E:E,40),"")</f>
        <v/>
      </c>
      <c r="F53" s="228">
        <f>IFERROR(INDEX('ISO · 1ªORD'!F:F,40),"")</f>
        <v/>
      </c>
      <c r="G53" s="229">
        <f>IFERROR(INDEX('ISO · 1ªORD'!G:G,40),"")</f>
        <v/>
      </c>
      <c r="H53" s="230">
        <f>IFERROR(INDEX('ISO · 1ªORD'!H:H,40),"")</f>
        <v/>
      </c>
      <c r="I53" s="235">
        <f>IFERROR(INDEX('ISO · 1ªORD'!I:I,40),"")</f>
        <v/>
      </c>
      <c r="J53" s="228">
        <f>IFERROR(INDEX('ISO · 1ªORD'!J:J,40),"")</f>
        <v/>
      </c>
      <c r="K53" s="296">
        <f>IFERROR(INDEX('ISO · 1ªORD'!K:K,40),"")</f>
        <v/>
      </c>
      <c r="L53" s="249">
        <f>IFERROR(INDEX('ISO · 1ªORD'!L:L,40),"")</f>
        <v/>
      </c>
      <c r="M53" s="88">
        <f>IFERROR(INDEX('ISO · 1ªORD'!M:M,40),"")</f>
        <v/>
      </c>
    </row>
    <row r="55" ht="14" customHeight="1">
      <c r="B55" s="270" t="inlineStr">
        <is>
          <t>Generado automáticamente desde 1ªORD · Implantación de Sistemas Operativos · 2026-2027</t>
        </is>
      </c>
    </row>
  </sheetData>
  <mergeCells count="6">
    <mergeCell ref="B22:N22"/>
    <mergeCell ref="B8:N8"/>
    <mergeCell ref="B18:N18"/>
    <mergeCell ref="B2:K2"/>
    <mergeCell ref="B55:N55"/>
    <mergeCell ref="B3:K3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📄 Boletín Individual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Informe de calificaciones por alumno/a · ISO 1º ASIR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6">
        <f>HYPERLINK("#ISO · Actividades!A1","📝 Actividades")</f>
        <v/>
      </c>
      <c r="F5" s="6">
        <f>HYPERLINK("#ISO · Reg. Notas!A1","📊 Reg. Notas")</f>
        <v/>
      </c>
      <c r="G5" s="6">
        <f>HYPERLINK("#ISO · Resumen!A1","📈 Resumen")</f>
        <v/>
      </c>
      <c r="H5" s="6">
        <f>HYPERLINK("#ISO · Evaluación 1!A1","Eval 1")</f>
        <v/>
      </c>
      <c r="I5" s="6">
        <f>HYPERLINK("#ISO · Evaluación 2!A1","Eval 2")</f>
        <v/>
      </c>
      <c r="J5" s="6">
        <f>HYPERLINK("#ISO · Evaluación 3!A1","Eval 3")</f>
        <v/>
      </c>
      <c r="K5" s="6">
        <f>HYPERLINK("#ISO · 1ªORD!A1","1ª ORD")</f>
        <v/>
      </c>
      <c r="L5" s="6">
        <f>HYPERLINK("#ISO · 2ªORD!A1","2ª ORD")</f>
        <v/>
      </c>
      <c r="M5" s="6">
        <f>HYPERLINK("#ISO · Rúbricas!A1","🎯 Rúbricas")</f>
        <v/>
      </c>
      <c r="N5" s="6">
        <f>HYPERLINK("#ISO · Informe Grupo!A1","📊 Inf.Grupo")</f>
        <v/>
      </c>
      <c r="O5" s="5" t="inlineStr">
        <is>
          <t>📄 Boletín</t>
        </is>
      </c>
      <c r="P5" s="6">
        <f>HYPERLINK("#ISO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26" customHeight="1">
      <c r="B8" s="212" t="inlineStr">
        <is>
          <t>👤  Seleccionar alumno/a (número):</t>
        </is>
      </c>
      <c r="C8" s="299" t="n">
        <v>1</v>
      </c>
      <c r="D8" s="300">
        <f>IFERROR(INDEX({_sr('Alumnos')}!C:C,9+C8)&amp;", "&amp;INDEX({_sr('Alumnos')}!D:D,9+C8),"")</f>
        <v/>
      </c>
    </row>
    <row r="9" ht="18" customHeight="1">
      <c r="B9" s="301" t="inlineStr">
        <is>
          <t>NIA/Exp.</t>
        </is>
      </c>
      <c r="C9" s="302">
        <f>IFERROR(INDEX('ISO · Alumnos'!E:E,9+C8),"")</f>
        <v/>
      </c>
      <c r="D9" s="301" t="inlineStr">
        <is>
          <t>Email</t>
        </is>
      </c>
      <c r="E9" s="302">
        <f>IFERROR(INDEX('ISO · Alumnos'!G:G,9+C8),"")</f>
        <v/>
      </c>
      <c r="F9" s="301" t="inlineStr">
        <is>
          <t>Teléfono</t>
        </is>
      </c>
      <c r="G9" s="302">
        <f>IFERROR(INDEX('ISO · Alumnos'!H:H,9+C8),"")</f>
        <v/>
      </c>
      <c r="H9" s="301" t="inlineStr">
        <is>
          <t>Estado</t>
        </is>
      </c>
      <c r="I9" s="302">
        <f>IFERROR(INDEX('ISO · Alumnos'!J:J,9+C8),"")</f>
        <v/>
      </c>
    </row>
    <row r="11" ht="20" customHeight="1">
      <c r="B11" s="303" t="inlineStr">
        <is>
          <t>📘  EVALUACIÓN 1  ·  RA1 + RA2  (32% del módulo)</t>
        </is>
      </c>
    </row>
    <row r="12" ht="16" customHeight="1">
      <c r="B12" s="86" t="inlineStr">
        <is>
          <t>EX1 (75%)</t>
        </is>
      </c>
      <c r="C12" s="86" t="inlineStr">
        <is>
          <t>A001·RA1</t>
        </is>
      </c>
      <c r="D12" s="86" t="inlineStr">
        <is>
          <t>A002·RA2</t>
        </is>
      </c>
      <c r="E12" s="86" t="inlineStr">
        <is>
          <t>A003·RA2</t>
        </is>
      </c>
      <c r="F12" s="304" t="inlineStr">
        <is>
          <t>Nota RA1</t>
        </is>
      </c>
      <c r="G12" s="304" t="inlineStr">
        <is>
          <t>Nota RA2</t>
        </is>
      </c>
      <c r="H12" s="304" t="inlineStr">
        <is>
          <t>NOTA EVAL 1</t>
        </is>
      </c>
    </row>
    <row r="13" ht="18" customHeight="1">
      <c r="B13" s="305" t="inlineStr">
        <is>
          <t>Calificación</t>
        </is>
      </c>
      <c r="C13" s="306">
        <f>IFERROR(INDEX('ISO · Reg. Notas'!M:M,10+C$8),"")</f>
        <v/>
      </c>
      <c r="D13" s="306">
        <f>IFERROR(INDEX('ISO · Reg. Notas'!D:D,10+C$8),"")</f>
        <v/>
      </c>
      <c r="E13" s="306">
        <f>IFERROR(INDEX('ISO · Reg. Notas'!E:E,10+C$8),"")</f>
        <v/>
      </c>
      <c r="F13" s="306">
        <f>IFERROR(INDEX('ISO · Reg. Notas'!F:F,10+C$8),"")</f>
        <v/>
      </c>
      <c r="G13" s="306">
        <f>IFERROR(INDEX('ISO · Reg. Notas'!P:P,10+C$8),"")</f>
        <v/>
      </c>
      <c r="H13" s="306">
        <f>IFERROR(INDEX('ISO · Reg. Notas'!Q:Q,10+C$8),"")</f>
        <v/>
      </c>
    </row>
    <row r="14" ht="20" customHeight="1">
      <c r="B14" s="307" t="inlineStr">
        <is>
          <t>Nota Evaluación 1:</t>
        </is>
      </c>
      <c r="H14" s="308">
        <f>IFERROR(INDEX('ISO · Evaluación 1'!H:H,10+C$8),"")</f>
        <v/>
      </c>
      <c r="I14" s="88">
        <f>IFERROR(INDEX('ISO · Evaluación 1'!I:I,10+C$8),"")</f>
        <v/>
      </c>
    </row>
    <row r="16" ht="20" customHeight="1">
      <c r="B16" s="309" t="inlineStr">
        <is>
          <t>📗  EVALUACIÓN 2  ·  RA3 + RA4 + RA5  (38% del módulo)</t>
        </is>
      </c>
    </row>
    <row r="17" ht="16" customHeight="1">
      <c r="B17" s="86" t="inlineStr">
        <is>
          <t>EX2 (75%)</t>
        </is>
      </c>
      <c r="C17" s="86" t="inlineStr">
        <is>
          <t>A004·RA3</t>
        </is>
      </c>
      <c r="D17" s="86" t="inlineStr">
        <is>
          <t>A005·RA4</t>
        </is>
      </c>
      <c r="E17" s="86" t="inlineStr">
        <is>
          <t>A006·RA5</t>
        </is>
      </c>
      <c r="F17" s="310" t="inlineStr">
        <is>
          <t>Nota RA3</t>
        </is>
      </c>
      <c r="G17" s="310" t="inlineStr">
        <is>
          <t>Nota RA4</t>
        </is>
      </c>
      <c r="H17" s="310" t="inlineStr">
        <is>
          <t>Nota RA5</t>
        </is>
      </c>
      <c r="I17" s="310" t="inlineStr">
        <is>
          <t>NOTA EVAL 2</t>
        </is>
      </c>
    </row>
    <row r="18" ht="18" customHeight="1">
      <c r="B18" s="305" t="inlineStr">
        <is>
          <t>Calificación</t>
        </is>
      </c>
      <c r="C18" s="306">
        <f>IFERROR(INDEX('ISO · Reg. Notas'!N:N,10+C$8),"")</f>
        <v/>
      </c>
      <c r="D18" s="306">
        <f>IFERROR(INDEX('ISO · Reg. Notas'!G:G,10+C$8),"")</f>
        <v/>
      </c>
      <c r="E18" s="306">
        <f>IFERROR(INDEX('ISO · Reg. Notas'!H:H,10+C$8),"")</f>
        <v/>
      </c>
      <c r="F18" s="306">
        <f>IFERROR(INDEX('ISO · Reg. Notas'!I:I,10+C$8),"")</f>
        <v/>
      </c>
      <c r="G18" s="306">
        <f>IFERROR(INDEX('ISO · Reg. Notas'!R:R,10+C$8),"")</f>
        <v/>
      </c>
      <c r="H18" s="306">
        <f>IFERROR(INDEX('ISO · Reg. Notas'!S:S,10+C$8),"")</f>
        <v/>
      </c>
      <c r="I18" s="306">
        <f>IFERROR(INDEX('ISO · Reg. Notas'!T:T,10+C$8),"")</f>
        <v/>
      </c>
    </row>
    <row r="19" ht="20" customHeight="1">
      <c r="B19" s="311" t="inlineStr">
        <is>
          <t>Nota Evaluación 2:</t>
        </is>
      </c>
      <c r="I19" s="312">
        <f>IFERROR(INDEX('ISO · Evaluación 2'!J:J,10+C$8),"")</f>
        <v/>
      </c>
      <c r="J19" s="88">
        <f>IFERROR(INDEX('ISO · Evaluación 2'!K:K,10+C$8),"")</f>
        <v/>
      </c>
    </row>
    <row r="21" ht="20" customHeight="1">
      <c r="B21" s="313" t="inlineStr">
        <is>
          <t>📙  EVALUACIÓN 3  ·  RA6 + RA7 + RA8  (30% del módulo)</t>
        </is>
      </c>
    </row>
    <row r="22" ht="16" customHeight="1">
      <c r="B22" s="86" t="inlineStr">
        <is>
          <t>EX3 (75%)</t>
        </is>
      </c>
      <c r="C22" s="86" t="inlineStr">
        <is>
          <t>A007·RA6</t>
        </is>
      </c>
      <c r="D22" s="86" t="inlineStr">
        <is>
          <t>A008·RA7</t>
        </is>
      </c>
      <c r="E22" s="86" t="inlineStr">
        <is>
          <t>A009·RA8</t>
        </is>
      </c>
      <c r="F22" s="94" t="inlineStr">
        <is>
          <t>Nota RA6</t>
        </is>
      </c>
      <c r="G22" s="94" t="inlineStr">
        <is>
          <t>Nota RA7</t>
        </is>
      </c>
      <c r="H22" s="314" t="inlineStr">
        <is>
          <t>Nota RA8</t>
        </is>
      </c>
      <c r="I22" s="94" t="inlineStr">
        <is>
          <t>NOTA EVAL 3</t>
        </is>
      </c>
    </row>
    <row r="23" ht="18" customHeight="1">
      <c r="B23" s="305" t="inlineStr">
        <is>
          <t>Calificación</t>
        </is>
      </c>
      <c r="C23" s="306">
        <f>IFERROR(INDEX('ISO · Reg. Notas'!O:O,10+C$8),"")</f>
        <v/>
      </c>
      <c r="D23" s="306">
        <f>IFERROR(INDEX('ISO · Reg. Notas'!J:J,10+C$8),"")</f>
        <v/>
      </c>
      <c r="E23" s="306">
        <f>IFERROR(INDEX('ISO · Reg. Notas'!K:K,10+C$8),"")</f>
        <v/>
      </c>
      <c r="F23" s="306">
        <f>IFERROR(INDEX('ISO · Reg. Notas'!L:L,10+C$8),"")</f>
        <v/>
      </c>
      <c r="G23" s="306">
        <f>IFERROR(INDEX('ISO · Reg. Notas'!U:U,10+C$8),"")</f>
        <v/>
      </c>
      <c r="H23" s="306">
        <f>IFERROR(INDEX('ISO · Reg. Notas'!V:V,10+C$8),"")</f>
        <v/>
      </c>
      <c r="I23" s="306">
        <f>IFERROR(INDEX('ISO · Reg. Notas'!W:W,10+C$8),"")</f>
        <v/>
      </c>
    </row>
    <row r="24" ht="20" customHeight="1">
      <c r="B24" s="315" t="inlineStr">
        <is>
          <t>Nota Evaluación 3:</t>
        </is>
      </c>
      <c r="I24" s="316">
        <f>IFERROR(INDEX('ISO · Evaluación 3'!J:J,10+C$8),"")</f>
        <v/>
      </c>
      <c r="J24" s="88">
        <f>IFERROR(INDEX('ISO · Evaluación 3'!K:K,10+C$8),"")</f>
        <v/>
      </c>
    </row>
    <row r="26" ht="20" customHeight="1">
      <c r="B26" s="317" t="inlineStr">
        <is>
          <t>🎓  CALIFICACIÓN FINAL DEL MÓDULO</t>
        </is>
      </c>
    </row>
    <row r="27" ht="32" customHeight="1">
      <c r="B27" s="318" t="inlineStr">
        <is>
          <t>RA1
(13%)</t>
        </is>
      </c>
      <c r="C27" s="319" t="inlineStr">
        <is>
          <t>RA2
(19%)</t>
        </is>
      </c>
      <c r="D27" s="320" t="inlineStr">
        <is>
          <t>RA3
(9%)</t>
        </is>
      </c>
      <c r="E27" s="321" t="inlineStr">
        <is>
          <t>RA4
(16%)</t>
        </is>
      </c>
      <c r="F27" s="322" t="inlineStr">
        <is>
          <t>RA5
(13%)</t>
        </is>
      </c>
      <c r="G27" s="323" t="inlineStr">
        <is>
          <t>RA6
(12%)</t>
        </is>
      </c>
      <c r="H27" s="324" t="inlineStr">
        <is>
          <t>RA7
(13%)</t>
        </is>
      </c>
      <c r="I27" s="325" t="inlineStr">
        <is>
          <t>RA8
(5%)</t>
        </is>
      </c>
      <c r="J27" s="14" t="inlineStr">
        <is>
          <t>NOTA FINAL</t>
        </is>
      </c>
      <c r="K27" s="14" t="inlineStr">
        <is>
          <t>RESULTADO</t>
        </is>
      </c>
    </row>
    <row r="28" ht="26" customHeight="1">
      <c r="B28" s="326">
        <f>IFERROR(INDEX('ISO · 1ªORD'!D:D,10+C$8),"")</f>
        <v/>
      </c>
      <c r="C28" s="327">
        <f>IFERROR(INDEX('ISO · 1ªORD'!E:E,10+C$8),"")</f>
        <v/>
      </c>
      <c r="D28" s="328">
        <f>IFERROR(INDEX('ISO · 1ªORD'!F:F,10+C$8),"")</f>
        <v/>
      </c>
      <c r="E28" s="329">
        <f>IFERROR(INDEX('ISO · 1ªORD'!G:G,10+C$8),"")</f>
        <v/>
      </c>
      <c r="F28" s="330">
        <f>IFERROR(INDEX('ISO · 1ªORD'!H:H,10+C$8),"")</f>
        <v/>
      </c>
      <c r="G28" s="331">
        <f>IFERROR(INDEX('ISO · 1ªORD'!I:I,10+C$8),"")</f>
        <v/>
      </c>
      <c r="H28" s="328">
        <f>IFERROR(INDEX('ISO · 1ªORD'!J:J,10+C$8),"")</f>
        <v/>
      </c>
      <c r="I28" s="332">
        <f>IFERROR(INDEX('ISO · 1ªORD'!K:K,10+C$8),"")</f>
        <v/>
      </c>
      <c r="J28" s="333">
        <f>IFERROR(INDEX('ISO · 1ªORD'!L:L,10+C$8),"")</f>
        <v/>
      </c>
      <c r="K28" s="334">
        <f>IFERROR(INDEX('ISO · 1ªORD'!M:M,10+C$8),"")</f>
        <v/>
      </c>
    </row>
  </sheetData>
  <mergeCells count="10">
    <mergeCell ref="B26:L26"/>
    <mergeCell ref="D8:H8"/>
    <mergeCell ref="B21:L21"/>
    <mergeCell ref="B14:G14"/>
    <mergeCell ref="B16:L16"/>
    <mergeCell ref="B11:L11"/>
    <mergeCell ref="B24:H24"/>
    <mergeCell ref="B2:K2"/>
    <mergeCell ref="B19:H19"/>
    <mergeCell ref="B3:K3"/>
  </mergeCells>
  <dataValidations count="1">
    <dataValidation sqref="C8" showDropDown="0" showInputMessage="0" showErrorMessage="0" allowBlank="0" errorTitle="Número inválido" error="Introduce un número entre 1 y 30" type="whole" operator="between">
      <formula1>1</formula1>
      <formula2>30</formula2>
    </dataValidation>
  </dataValidations>
  <pageMargins left="0.75" right="0.75" top="1" bottom="1" header="0.5" footer="0.5"/>
  <pageSetup orientation="portrait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  <col width="12" customWidth="1" min="9" max="9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📊 Cuadro de Mando — Dashboard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Implantación de Sistemas Operativos  ·  1º ASIR  · 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HYPERLINK("#ISO · Programación!A1","📋 Programa")</f>
        <v/>
      </c>
      <c r="D5" s="6">
        <f>HYPERLINK("#ISO · Alumnos!A1","👥 Alumnos")</f>
        <v/>
      </c>
      <c r="E5" s="6">
        <f>HYPERLINK("#ISO · Actividades!A1","📝 Actividades")</f>
        <v/>
      </c>
      <c r="F5" s="6">
        <f>HYPERLINK("#ISO · Reg. Notas!A1","📊 Reg. Notas")</f>
        <v/>
      </c>
      <c r="G5" s="6">
        <f>HYPERLINK("#ISO · Resumen!A1","📈 Resumen")</f>
        <v/>
      </c>
      <c r="H5" s="6">
        <f>HYPERLINK("#ISO · Evaluación 1!A1","Eval 1")</f>
        <v/>
      </c>
      <c r="I5" s="6">
        <f>HYPERLINK("#ISO · Evaluación 2!A1","Eval 2")</f>
        <v/>
      </c>
      <c r="J5" s="6">
        <f>HYPERLINK("#ISO · Evaluación 3!A1","Eval 3")</f>
        <v/>
      </c>
      <c r="K5" s="6">
        <f>HYPERLINK("#ISO · 1ªORD!A1","1ª ORD")</f>
        <v/>
      </c>
      <c r="L5" s="6">
        <f>HYPERLINK("#ISO · 2ªORD!A1","2ª ORD")</f>
        <v/>
      </c>
      <c r="M5" s="6">
        <f>HYPERLINK("#ISO · Rúbricas!A1","🎯 Rúbricas")</f>
        <v/>
      </c>
      <c r="N5" s="6">
        <f>HYPERLINK("#ISO · Informe Grupo!A1","📊 Inf.Grupo")</f>
        <v/>
      </c>
      <c r="O5" s="6">
        <f>HYPERLINK("#ISO · Boletín!A1","📄 Boletín")</f>
        <v/>
      </c>
      <c r="P5" s="5" t="inlineStr">
        <is>
          <t>📊 Dashboard</t>
        </is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B8" s="35" t="inlineStr">
        <is>
          <t xml:space="preserve">  INDICADORES GLOBALES DEL GRUPO</t>
        </is>
      </c>
    </row>
    <row r="9" ht="13" customHeight="1">
      <c r="B9" s="86" t="inlineStr">
        <is>
          <t>ALUMNOS ACTIVOS</t>
        </is>
      </c>
      <c r="D9" s="92" t="inlineStr">
        <is>
          <t>✅  APTOS</t>
        </is>
      </c>
      <c r="F9" s="93" t="inlineStr">
        <is>
          <t>❌  NO APTOS</t>
        </is>
      </c>
    </row>
    <row r="10" ht="30" customHeight="1">
      <c r="B10" s="335">
        <f>COUNTA('ISO · Alumnos'!C10:C39)</f>
        <v/>
      </c>
      <c r="D10" s="336">
        <f>COUNTIF('ISO · 1ªORD'!M11:M40,"APTO")</f>
        <v/>
      </c>
      <c r="F10" s="337">
        <f>COUNTIF('ISO · 1ªORD'!M11:M40,"NO APTO")</f>
        <v/>
      </c>
    </row>
    <row r="11" ht="5" customHeight="1"/>
    <row r="12" ht="13" customHeight="1">
      <c r="B12" s="87" t="inlineStr">
        <is>
          <t>MEDIA GRUPO</t>
        </is>
      </c>
      <c r="D12" s="338" t="inlineStr">
        <is>
          <t>NOTA MÁXIMA</t>
        </is>
      </c>
      <c r="F12" s="94" t="inlineStr">
        <is>
          <t>⚠️  EN RIESGO</t>
        </is>
      </c>
    </row>
    <row r="13" ht="30" customHeight="1">
      <c r="B13" s="339">
        <f>IFERROR(ROUND(AVERAGE('ISO · 1ªORD'!L11:L40),2),"–")</f>
        <v/>
      </c>
      <c r="D13" s="340">
        <f>IFERROR(MAX('ISO · 1ªORD'!L11:L40),"–")</f>
        <v/>
      </c>
      <c r="F13" s="341">
        <f>COUNTIFS('ISO · 1ªORD'!L11:L40,"&gt;0",'ISO · 1ªORD'!L11:L40,"&lt;4")</f>
        <v/>
      </c>
    </row>
    <row r="14" ht="5" customHeight="1"/>
    <row r="15" ht="5" customHeight="1">
      <c r="B15" s="1"/>
      <c r="C15" s="1"/>
      <c r="D15" s="1"/>
      <c r="E15" s="1"/>
      <c r="F15" s="1"/>
      <c r="G15" s="1"/>
      <c r="H15" s="1"/>
      <c r="I15" s="1"/>
    </row>
    <row r="16" ht="14" customHeight="1">
      <c r="B16" s="35" t="inlineStr">
        <is>
          <t xml:space="preserve">  SEGUIMIENTO INDIVIDUAL — SEMÁFORO DE RIESGO</t>
        </is>
      </c>
    </row>
    <row r="17" ht="30" customHeight="1">
      <c r="B17" s="36" t="inlineStr">
        <is>
          <t>Nº</t>
        </is>
      </c>
      <c r="C17" s="36" t="inlineStr">
        <is>
          <t>Apellidos y Nombre</t>
        </is>
      </c>
      <c r="D17" s="216" t="inlineStr">
        <is>
          <t>Eval 1
(nota)</t>
        </is>
      </c>
      <c r="E17" s="103" t="inlineStr">
        <is>
          <t>Eval 2
(nota)</t>
        </is>
      </c>
      <c r="F17" s="101" t="inlineStr">
        <is>
          <t>Eval 3
(nota)</t>
        </is>
      </c>
      <c r="G17" s="36" t="inlineStr">
        <is>
          <t>Nota Final</t>
        </is>
      </c>
      <c r="H17" s="36" t="inlineStr">
        <is>
          <t>Estado</t>
        </is>
      </c>
      <c r="I17" s="37" t="inlineStr">
        <is>
          <t>% Evals OK</t>
        </is>
      </c>
    </row>
    <row r="18" ht="18" customHeight="1">
      <c r="B18" s="184" t="n">
        <v>1</v>
      </c>
      <c r="C18" s="208">
        <f>IFERROR('ISO · Alumnos'!C17&amp;IF('ISO · Alumnos'!D17&lt;&gt;"",", "&amp;'ISO · Alumnos'!D17,""),"")</f>
        <v/>
      </c>
      <c r="D18" s="218">
        <f>IFERROR(INDEX('ISO · Evaluación 1'!H:H,10+1),"")</f>
        <v/>
      </c>
      <c r="E18" s="219">
        <f>IFERROR(INDEX('ISO · Evaluación 2'!J:J,10+1),"")</f>
        <v/>
      </c>
      <c r="F18" s="228">
        <f>IFERROR(INDEX('ISO · Evaluación 3'!J:J,10+1),"")</f>
        <v/>
      </c>
      <c r="G18" s="297">
        <f>IFERROR(INDEX('ISO · 1ªORD'!L:L,10+1),"")</f>
        <v/>
      </c>
      <c r="H18" s="342">
        <f>IF(G18="","–",IF(G18&gt;=7,"🟢 NOTABLE",IF(G18&gt;=5,"🟡 APTO","🔴 NO APTO")))</f>
        <v/>
      </c>
      <c r="I18" s="58">
        <f>IFERROR(TEXT(COUNTIF(D18:F18,"&gt;0")/3,"0%"),"–")</f>
        <v/>
      </c>
    </row>
    <row r="19" ht="18" customHeight="1">
      <c r="B19" s="184" t="n">
        <v>2</v>
      </c>
      <c r="C19" s="208">
        <f>IFERROR('ISO · Alumnos'!C18&amp;IF('ISO · Alumnos'!D18&lt;&gt;"",", "&amp;'ISO · Alumnos'!D18,""),"")</f>
        <v/>
      </c>
      <c r="D19" s="218">
        <f>IFERROR(INDEX('ISO · Evaluación 1'!H:H,10+2),"")</f>
        <v/>
      </c>
      <c r="E19" s="219">
        <f>IFERROR(INDEX('ISO · Evaluación 2'!J:J,10+2),"")</f>
        <v/>
      </c>
      <c r="F19" s="228">
        <f>IFERROR(INDEX('ISO · Evaluación 3'!J:J,10+2),"")</f>
        <v/>
      </c>
      <c r="G19" s="249">
        <f>IFERROR(INDEX('ISO · 1ªORD'!L:L,10+2),"")</f>
        <v/>
      </c>
      <c r="H19" s="343">
        <f>IF(G19="","–",IF(G19&gt;=7,"🟢 NOTABLE",IF(G19&gt;=5,"🟡 APTO","🔴 NO APTO")))</f>
        <v/>
      </c>
      <c r="I19" s="64">
        <f>IFERROR(TEXT(COUNTIF(D19:F19,"&gt;0")/3,"0%"),"–")</f>
        <v/>
      </c>
    </row>
    <row r="20" ht="18" customHeight="1">
      <c r="B20" s="184" t="n">
        <v>3</v>
      </c>
      <c r="C20" s="208">
        <f>IFERROR('ISO · Alumnos'!C19&amp;IF('ISO · Alumnos'!D19&lt;&gt;"",", "&amp;'ISO · Alumnos'!D19,""),"")</f>
        <v/>
      </c>
      <c r="D20" s="218">
        <f>IFERROR(INDEX('ISO · Evaluación 1'!H:H,10+3),"")</f>
        <v/>
      </c>
      <c r="E20" s="219">
        <f>IFERROR(INDEX('ISO · Evaluación 2'!J:J,10+3),"")</f>
        <v/>
      </c>
      <c r="F20" s="228">
        <f>IFERROR(INDEX('ISO · Evaluación 3'!J:J,10+3),"")</f>
        <v/>
      </c>
      <c r="G20" s="297">
        <f>IFERROR(INDEX('ISO · 1ªORD'!L:L,10+3),"")</f>
        <v/>
      </c>
      <c r="H20" s="342">
        <f>IF(G20="","–",IF(G20&gt;=7,"🟢 NOTABLE",IF(G20&gt;=5,"🟡 APTO","🔴 NO APTO")))</f>
        <v/>
      </c>
      <c r="I20" s="58">
        <f>IFERROR(TEXT(COUNTIF(D20:F20,"&gt;0")/3,"0%"),"–")</f>
        <v/>
      </c>
    </row>
    <row r="21" ht="18" customHeight="1">
      <c r="B21" s="184" t="n">
        <v>4</v>
      </c>
      <c r="C21" s="208">
        <f>IFERROR('ISO · Alumnos'!C20&amp;IF('ISO · Alumnos'!D20&lt;&gt;"",", "&amp;'ISO · Alumnos'!D20,""),"")</f>
        <v/>
      </c>
      <c r="D21" s="218">
        <f>IFERROR(INDEX('ISO · Evaluación 1'!H:H,10+4),"")</f>
        <v/>
      </c>
      <c r="E21" s="219">
        <f>IFERROR(INDEX('ISO · Evaluación 2'!J:J,10+4),"")</f>
        <v/>
      </c>
      <c r="F21" s="228">
        <f>IFERROR(INDEX('ISO · Evaluación 3'!J:J,10+4),"")</f>
        <v/>
      </c>
      <c r="G21" s="249">
        <f>IFERROR(INDEX('ISO · 1ªORD'!L:L,10+4),"")</f>
        <v/>
      </c>
      <c r="H21" s="343">
        <f>IF(G21="","–",IF(G21&gt;=7,"🟢 NOTABLE",IF(G21&gt;=5,"🟡 APTO","🔴 NO APTO")))</f>
        <v/>
      </c>
      <c r="I21" s="64">
        <f>IFERROR(TEXT(COUNTIF(D21:F21,"&gt;0")/3,"0%"),"–")</f>
        <v/>
      </c>
    </row>
    <row r="22" ht="18" customHeight="1">
      <c r="B22" s="184" t="n">
        <v>5</v>
      </c>
      <c r="C22" s="208">
        <f>IFERROR('ISO · Alumnos'!C21&amp;IF('ISO · Alumnos'!D21&lt;&gt;"",", "&amp;'ISO · Alumnos'!D21,""),"")</f>
        <v/>
      </c>
      <c r="D22" s="218">
        <f>IFERROR(INDEX('ISO · Evaluación 1'!H:H,10+5),"")</f>
        <v/>
      </c>
      <c r="E22" s="219">
        <f>IFERROR(INDEX('ISO · Evaluación 2'!J:J,10+5),"")</f>
        <v/>
      </c>
      <c r="F22" s="228">
        <f>IFERROR(INDEX('ISO · Evaluación 3'!J:J,10+5),"")</f>
        <v/>
      </c>
      <c r="G22" s="297">
        <f>IFERROR(INDEX('ISO · 1ªORD'!L:L,10+5),"")</f>
        <v/>
      </c>
      <c r="H22" s="342">
        <f>IF(G22="","–",IF(G22&gt;=7,"🟢 NOTABLE",IF(G22&gt;=5,"🟡 APTO","🔴 NO APTO")))</f>
        <v/>
      </c>
      <c r="I22" s="58">
        <f>IFERROR(TEXT(COUNTIF(D22:F22,"&gt;0")/3,"0%"),"–")</f>
        <v/>
      </c>
    </row>
    <row r="23" ht="18" customHeight="1">
      <c r="B23" s="184" t="n">
        <v>6</v>
      </c>
      <c r="C23" s="208">
        <f>IFERROR('ISO · Alumnos'!C22&amp;IF('ISO · Alumnos'!D22&lt;&gt;"",", "&amp;'ISO · Alumnos'!D22,""),"")</f>
        <v/>
      </c>
      <c r="D23" s="218">
        <f>IFERROR(INDEX('ISO · Evaluación 1'!H:H,10+6),"")</f>
        <v/>
      </c>
      <c r="E23" s="219">
        <f>IFERROR(INDEX('ISO · Evaluación 2'!J:J,10+6),"")</f>
        <v/>
      </c>
      <c r="F23" s="228">
        <f>IFERROR(INDEX('ISO · Evaluación 3'!J:J,10+6),"")</f>
        <v/>
      </c>
      <c r="G23" s="249">
        <f>IFERROR(INDEX('ISO · 1ªORD'!L:L,10+6),"")</f>
        <v/>
      </c>
      <c r="H23" s="343">
        <f>IF(G23="","–",IF(G23&gt;=7,"🟢 NOTABLE",IF(G23&gt;=5,"🟡 APTO","🔴 NO APTO")))</f>
        <v/>
      </c>
      <c r="I23" s="64">
        <f>IFERROR(TEXT(COUNTIF(D23:F23,"&gt;0")/3,"0%"),"–")</f>
        <v/>
      </c>
    </row>
    <row r="24" ht="18" customHeight="1">
      <c r="B24" s="184" t="n">
        <v>7</v>
      </c>
      <c r="C24" s="208">
        <f>IFERROR('ISO · Alumnos'!C23&amp;IF('ISO · Alumnos'!D23&lt;&gt;"",", "&amp;'ISO · Alumnos'!D23,""),"")</f>
        <v/>
      </c>
      <c r="D24" s="218">
        <f>IFERROR(INDEX('ISO · Evaluación 1'!H:H,10+7),"")</f>
        <v/>
      </c>
      <c r="E24" s="219">
        <f>IFERROR(INDEX('ISO · Evaluación 2'!J:J,10+7),"")</f>
        <v/>
      </c>
      <c r="F24" s="228">
        <f>IFERROR(INDEX('ISO · Evaluación 3'!J:J,10+7),"")</f>
        <v/>
      </c>
      <c r="G24" s="297">
        <f>IFERROR(INDEX('ISO · 1ªORD'!L:L,10+7),"")</f>
        <v/>
      </c>
      <c r="H24" s="342">
        <f>IF(G24="","–",IF(G24&gt;=7,"🟢 NOTABLE",IF(G24&gt;=5,"🟡 APTO","🔴 NO APTO")))</f>
        <v/>
      </c>
      <c r="I24" s="58">
        <f>IFERROR(TEXT(COUNTIF(D24:F24,"&gt;0")/3,"0%"),"–")</f>
        <v/>
      </c>
    </row>
    <row r="25" ht="18" customHeight="1">
      <c r="B25" s="184" t="n">
        <v>8</v>
      </c>
      <c r="C25" s="208">
        <f>IFERROR('ISO · Alumnos'!C24&amp;IF('ISO · Alumnos'!D24&lt;&gt;"",", "&amp;'ISO · Alumnos'!D24,""),"")</f>
        <v/>
      </c>
      <c r="D25" s="218">
        <f>IFERROR(INDEX('ISO · Evaluación 1'!H:H,10+8),"")</f>
        <v/>
      </c>
      <c r="E25" s="219">
        <f>IFERROR(INDEX('ISO · Evaluación 2'!J:J,10+8),"")</f>
        <v/>
      </c>
      <c r="F25" s="228">
        <f>IFERROR(INDEX('ISO · Evaluación 3'!J:J,10+8),"")</f>
        <v/>
      </c>
      <c r="G25" s="249">
        <f>IFERROR(INDEX('ISO · 1ªORD'!L:L,10+8),"")</f>
        <v/>
      </c>
      <c r="H25" s="343">
        <f>IF(G25="","–",IF(G25&gt;=7,"🟢 NOTABLE",IF(G25&gt;=5,"🟡 APTO","🔴 NO APTO")))</f>
        <v/>
      </c>
      <c r="I25" s="64">
        <f>IFERROR(TEXT(COUNTIF(D25:F25,"&gt;0")/3,"0%"),"–")</f>
        <v/>
      </c>
    </row>
    <row r="26" ht="18" customHeight="1">
      <c r="B26" s="184" t="n">
        <v>9</v>
      </c>
      <c r="C26" s="208">
        <f>IFERROR('ISO · Alumnos'!C25&amp;IF('ISO · Alumnos'!D25&lt;&gt;"",", "&amp;'ISO · Alumnos'!D25,""),"")</f>
        <v/>
      </c>
      <c r="D26" s="218">
        <f>IFERROR(INDEX('ISO · Evaluación 1'!H:H,10+9),"")</f>
        <v/>
      </c>
      <c r="E26" s="219">
        <f>IFERROR(INDEX('ISO · Evaluación 2'!J:J,10+9),"")</f>
        <v/>
      </c>
      <c r="F26" s="228">
        <f>IFERROR(INDEX('ISO · Evaluación 3'!J:J,10+9),"")</f>
        <v/>
      </c>
      <c r="G26" s="297">
        <f>IFERROR(INDEX('ISO · 1ªORD'!L:L,10+9),"")</f>
        <v/>
      </c>
      <c r="H26" s="342">
        <f>IF(G26="","–",IF(G26&gt;=7,"🟢 NOTABLE",IF(G26&gt;=5,"🟡 APTO","🔴 NO APTO")))</f>
        <v/>
      </c>
      <c r="I26" s="58">
        <f>IFERROR(TEXT(COUNTIF(D26:F26,"&gt;0")/3,"0%"),"–")</f>
        <v/>
      </c>
    </row>
    <row r="27" ht="18" customHeight="1">
      <c r="B27" s="184" t="n">
        <v>10</v>
      </c>
      <c r="C27" s="208">
        <f>IFERROR('ISO · Alumnos'!C26&amp;IF('ISO · Alumnos'!D26&lt;&gt;"",", "&amp;'ISO · Alumnos'!D26,""),"")</f>
        <v/>
      </c>
      <c r="D27" s="218">
        <f>IFERROR(INDEX('ISO · Evaluación 1'!H:H,10+10),"")</f>
        <v/>
      </c>
      <c r="E27" s="219">
        <f>IFERROR(INDEX('ISO · Evaluación 2'!J:J,10+10),"")</f>
        <v/>
      </c>
      <c r="F27" s="228">
        <f>IFERROR(INDEX('ISO · Evaluación 3'!J:J,10+10),"")</f>
        <v/>
      </c>
      <c r="G27" s="249">
        <f>IFERROR(INDEX('ISO · 1ªORD'!L:L,10+10),"")</f>
        <v/>
      </c>
      <c r="H27" s="343">
        <f>IF(G27="","–",IF(G27&gt;=7,"🟢 NOTABLE",IF(G27&gt;=5,"🟡 APTO","🔴 NO APTO")))</f>
        <v/>
      </c>
      <c r="I27" s="64">
        <f>IFERROR(TEXT(COUNTIF(D27:F27,"&gt;0")/3,"0%"),"–")</f>
        <v/>
      </c>
    </row>
    <row r="28" ht="18" customHeight="1">
      <c r="B28" s="184" t="n">
        <v>11</v>
      </c>
      <c r="C28" s="208">
        <f>IFERROR('ISO · Alumnos'!C27&amp;IF('ISO · Alumnos'!D27&lt;&gt;"",", "&amp;'ISO · Alumnos'!D27,""),"")</f>
        <v/>
      </c>
      <c r="D28" s="218">
        <f>IFERROR(INDEX('ISO · Evaluación 1'!H:H,10+11),"")</f>
        <v/>
      </c>
      <c r="E28" s="219">
        <f>IFERROR(INDEX('ISO · Evaluación 2'!J:J,10+11),"")</f>
        <v/>
      </c>
      <c r="F28" s="228">
        <f>IFERROR(INDEX('ISO · Evaluación 3'!J:J,10+11),"")</f>
        <v/>
      </c>
      <c r="G28" s="297">
        <f>IFERROR(INDEX('ISO · 1ªORD'!L:L,10+11),"")</f>
        <v/>
      </c>
      <c r="H28" s="342">
        <f>IF(G28="","–",IF(G28&gt;=7,"🟢 NOTABLE",IF(G28&gt;=5,"🟡 APTO","🔴 NO APTO")))</f>
        <v/>
      </c>
      <c r="I28" s="58">
        <f>IFERROR(TEXT(COUNTIF(D28:F28,"&gt;0")/3,"0%"),"–")</f>
        <v/>
      </c>
    </row>
    <row r="29" ht="18" customHeight="1">
      <c r="B29" s="184" t="n">
        <v>12</v>
      </c>
      <c r="C29" s="208">
        <f>IFERROR('ISO · Alumnos'!C28&amp;IF('ISO · Alumnos'!D28&lt;&gt;"",", "&amp;'ISO · Alumnos'!D28,""),"")</f>
        <v/>
      </c>
      <c r="D29" s="218">
        <f>IFERROR(INDEX('ISO · Evaluación 1'!H:H,10+12),"")</f>
        <v/>
      </c>
      <c r="E29" s="219">
        <f>IFERROR(INDEX('ISO · Evaluación 2'!J:J,10+12),"")</f>
        <v/>
      </c>
      <c r="F29" s="228">
        <f>IFERROR(INDEX('ISO · Evaluación 3'!J:J,10+12),"")</f>
        <v/>
      </c>
      <c r="G29" s="249">
        <f>IFERROR(INDEX('ISO · 1ªORD'!L:L,10+12),"")</f>
        <v/>
      </c>
      <c r="H29" s="343">
        <f>IF(G29="","–",IF(G29&gt;=7,"🟢 NOTABLE",IF(G29&gt;=5,"🟡 APTO","🔴 NO APTO")))</f>
        <v/>
      </c>
      <c r="I29" s="64">
        <f>IFERROR(TEXT(COUNTIF(D29:F29,"&gt;0")/3,"0%"),"–")</f>
        <v/>
      </c>
    </row>
    <row r="30" ht="18" customHeight="1">
      <c r="B30" s="184" t="n">
        <v>13</v>
      </c>
      <c r="C30" s="208">
        <f>IFERROR('ISO · Alumnos'!C29&amp;IF('ISO · Alumnos'!D29&lt;&gt;"",", "&amp;'ISO · Alumnos'!D29,""),"")</f>
        <v/>
      </c>
      <c r="D30" s="218">
        <f>IFERROR(INDEX('ISO · Evaluación 1'!H:H,10+13),"")</f>
        <v/>
      </c>
      <c r="E30" s="219">
        <f>IFERROR(INDEX('ISO · Evaluación 2'!J:J,10+13),"")</f>
        <v/>
      </c>
      <c r="F30" s="228">
        <f>IFERROR(INDEX('ISO · Evaluación 3'!J:J,10+13),"")</f>
        <v/>
      </c>
      <c r="G30" s="297">
        <f>IFERROR(INDEX('ISO · 1ªORD'!L:L,10+13),"")</f>
        <v/>
      </c>
      <c r="H30" s="342">
        <f>IF(G30="","–",IF(G30&gt;=7,"🟢 NOTABLE",IF(G30&gt;=5,"🟡 APTO","🔴 NO APTO")))</f>
        <v/>
      </c>
      <c r="I30" s="58">
        <f>IFERROR(TEXT(COUNTIF(D30:F30,"&gt;0")/3,"0%"),"–")</f>
        <v/>
      </c>
    </row>
    <row r="31" ht="18" customHeight="1">
      <c r="B31" s="184" t="n">
        <v>14</v>
      </c>
      <c r="C31" s="208">
        <f>IFERROR('ISO · Alumnos'!C30&amp;IF('ISO · Alumnos'!D30&lt;&gt;"",", "&amp;'ISO · Alumnos'!D30,""),"")</f>
        <v/>
      </c>
      <c r="D31" s="218">
        <f>IFERROR(INDEX('ISO · Evaluación 1'!H:H,10+14),"")</f>
        <v/>
      </c>
      <c r="E31" s="219">
        <f>IFERROR(INDEX('ISO · Evaluación 2'!J:J,10+14),"")</f>
        <v/>
      </c>
      <c r="F31" s="228">
        <f>IFERROR(INDEX('ISO · Evaluación 3'!J:J,10+14),"")</f>
        <v/>
      </c>
      <c r="G31" s="249">
        <f>IFERROR(INDEX('ISO · 1ªORD'!L:L,10+14),"")</f>
        <v/>
      </c>
      <c r="H31" s="343">
        <f>IF(G31="","–",IF(G31&gt;=7,"🟢 NOTABLE",IF(G31&gt;=5,"🟡 APTO","🔴 NO APTO")))</f>
        <v/>
      </c>
      <c r="I31" s="64">
        <f>IFERROR(TEXT(COUNTIF(D31:F31,"&gt;0")/3,"0%"),"–")</f>
        <v/>
      </c>
    </row>
    <row r="32" ht="18" customHeight="1">
      <c r="B32" s="184" t="n">
        <v>15</v>
      </c>
      <c r="C32" s="208">
        <f>IFERROR('ISO · Alumnos'!C31&amp;IF('ISO · Alumnos'!D31&lt;&gt;"",", "&amp;'ISO · Alumnos'!D31,""),"")</f>
        <v/>
      </c>
      <c r="D32" s="218">
        <f>IFERROR(INDEX('ISO · Evaluación 1'!H:H,10+15),"")</f>
        <v/>
      </c>
      <c r="E32" s="219">
        <f>IFERROR(INDEX('ISO · Evaluación 2'!J:J,10+15),"")</f>
        <v/>
      </c>
      <c r="F32" s="228">
        <f>IFERROR(INDEX('ISO · Evaluación 3'!J:J,10+15),"")</f>
        <v/>
      </c>
      <c r="G32" s="297">
        <f>IFERROR(INDEX('ISO · 1ªORD'!L:L,10+15),"")</f>
        <v/>
      </c>
      <c r="H32" s="342">
        <f>IF(G32="","–",IF(G32&gt;=7,"🟢 NOTABLE",IF(G32&gt;=5,"🟡 APTO","🔴 NO APTO")))</f>
        <v/>
      </c>
      <c r="I32" s="58">
        <f>IFERROR(TEXT(COUNTIF(D32:F32,"&gt;0")/3,"0%"),"–")</f>
        <v/>
      </c>
    </row>
    <row r="33" ht="18" customHeight="1">
      <c r="B33" s="184" t="n">
        <v>16</v>
      </c>
      <c r="C33" s="208">
        <f>IFERROR('ISO · Alumnos'!C32&amp;IF('ISO · Alumnos'!D32&lt;&gt;"",", "&amp;'ISO · Alumnos'!D32,""),"")</f>
        <v/>
      </c>
      <c r="D33" s="218">
        <f>IFERROR(INDEX('ISO · Evaluación 1'!H:H,10+16),"")</f>
        <v/>
      </c>
      <c r="E33" s="219">
        <f>IFERROR(INDEX('ISO · Evaluación 2'!J:J,10+16),"")</f>
        <v/>
      </c>
      <c r="F33" s="228">
        <f>IFERROR(INDEX('ISO · Evaluación 3'!J:J,10+16),"")</f>
        <v/>
      </c>
      <c r="G33" s="249">
        <f>IFERROR(INDEX('ISO · 1ªORD'!L:L,10+16),"")</f>
        <v/>
      </c>
      <c r="H33" s="343">
        <f>IF(G33="","–",IF(G33&gt;=7,"🟢 NOTABLE",IF(G33&gt;=5,"🟡 APTO","🔴 NO APTO")))</f>
        <v/>
      </c>
      <c r="I33" s="64">
        <f>IFERROR(TEXT(COUNTIF(D33:F33,"&gt;0")/3,"0%"),"–")</f>
        <v/>
      </c>
    </row>
    <row r="34" ht="18" customHeight="1">
      <c r="B34" s="184" t="n">
        <v>17</v>
      </c>
      <c r="C34" s="208">
        <f>IFERROR('ISO · Alumnos'!C33&amp;IF('ISO · Alumnos'!D33&lt;&gt;"",", "&amp;'ISO · Alumnos'!D33,""),"")</f>
        <v/>
      </c>
      <c r="D34" s="218">
        <f>IFERROR(INDEX('ISO · Evaluación 1'!H:H,10+17),"")</f>
        <v/>
      </c>
      <c r="E34" s="219">
        <f>IFERROR(INDEX('ISO · Evaluación 2'!J:J,10+17),"")</f>
        <v/>
      </c>
      <c r="F34" s="228">
        <f>IFERROR(INDEX('ISO · Evaluación 3'!J:J,10+17),"")</f>
        <v/>
      </c>
      <c r="G34" s="297">
        <f>IFERROR(INDEX('ISO · 1ªORD'!L:L,10+17),"")</f>
        <v/>
      </c>
      <c r="H34" s="342">
        <f>IF(G34="","–",IF(G34&gt;=7,"🟢 NOTABLE",IF(G34&gt;=5,"🟡 APTO","🔴 NO APTO")))</f>
        <v/>
      </c>
      <c r="I34" s="58">
        <f>IFERROR(TEXT(COUNTIF(D34:F34,"&gt;0")/3,"0%"),"–")</f>
        <v/>
      </c>
    </row>
    <row r="35" ht="18" customHeight="1">
      <c r="B35" s="184" t="n">
        <v>18</v>
      </c>
      <c r="C35" s="208">
        <f>IFERROR('ISO · Alumnos'!C34&amp;IF('ISO · Alumnos'!D34&lt;&gt;"",", "&amp;'ISO · Alumnos'!D34,""),"")</f>
        <v/>
      </c>
      <c r="D35" s="218">
        <f>IFERROR(INDEX('ISO · Evaluación 1'!H:H,10+18),"")</f>
        <v/>
      </c>
      <c r="E35" s="219">
        <f>IFERROR(INDEX('ISO · Evaluación 2'!J:J,10+18),"")</f>
        <v/>
      </c>
      <c r="F35" s="228">
        <f>IFERROR(INDEX('ISO · Evaluación 3'!J:J,10+18),"")</f>
        <v/>
      </c>
      <c r="G35" s="249">
        <f>IFERROR(INDEX('ISO · 1ªORD'!L:L,10+18),"")</f>
        <v/>
      </c>
      <c r="H35" s="343">
        <f>IF(G35="","–",IF(G35&gt;=7,"🟢 NOTABLE",IF(G35&gt;=5,"🟡 APTO","🔴 NO APTO")))</f>
        <v/>
      </c>
      <c r="I35" s="64">
        <f>IFERROR(TEXT(COUNTIF(D35:F35,"&gt;0")/3,"0%"),"–")</f>
        <v/>
      </c>
    </row>
    <row r="36" ht="18" customHeight="1">
      <c r="B36" s="184" t="n">
        <v>19</v>
      </c>
      <c r="C36" s="208">
        <f>IFERROR('ISO · Alumnos'!C35&amp;IF('ISO · Alumnos'!D35&lt;&gt;"",", "&amp;'ISO · Alumnos'!D35,""),"")</f>
        <v/>
      </c>
      <c r="D36" s="218">
        <f>IFERROR(INDEX('ISO · Evaluación 1'!H:H,10+19),"")</f>
        <v/>
      </c>
      <c r="E36" s="219">
        <f>IFERROR(INDEX('ISO · Evaluación 2'!J:J,10+19),"")</f>
        <v/>
      </c>
      <c r="F36" s="228">
        <f>IFERROR(INDEX('ISO · Evaluación 3'!J:J,10+19),"")</f>
        <v/>
      </c>
      <c r="G36" s="297">
        <f>IFERROR(INDEX('ISO · 1ªORD'!L:L,10+19),"")</f>
        <v/>
      </c>
      <c r="H36" s="342">
        <f>IF(G36="","–",IF(G36&gt;=7,"🟢 NOTABLE",IF(G36&gt;=5,"🟡 APTO","🔴 NO APTO")))</f>
        <v/>
      </c>
      <c r="I36" s="58">
        <f>IFERROR(TEXT(COUNTIF(D36:F36,"&gt;0")/3,"0%"),"–")</f>
        <v/>
      </c>
    </row>
    <row r="37" ht="18" customHeight="1">
      <c r="B37" s="184" t="n">
        <v>20</v>
      </c>
      <c r="C37" s="208">
        <f>IFERROR('ISO · Alumnos'!C36&amp;IF('ISO · Alumnos'!D36&lt;&gt;"",", "&amp;'ISO · Alumnos'!D36,""),"")</f>
        <v/>
      </c>
      <c r="D37" s="218">
        <f>IFERROR(INDEX('ISO · Evaluación 1'!H:H,10+20),"")</f>
        <v/>
      </c>
      <c r="E37" s="219">
        <f>IFERROR(INDEX('ISO · Evaluación 2'!J:J,10+20),"")</f>
        <v/>
      </c>
      <c r="F37" s="228">
        <f>IFERROR(INDEX('ISO · Evaluación 3'!J:J,10+20),"")</f>
        <v/>
      </c>
      <c r="G37" s="249">
        <f>IFERROR(INDEX('ISO · 1ªORD'!L:L,10+20),"")</f>
        <v/>
      </c>
      <c r="H37" s="343">
        <f>IF(G37="","–",IF(G37&gt;=7,"🟢 NOTABLE",IF(G37&gt;=5,"🟡 APTO","🔴 NO APTO")))</f>
        <v/>
      </c>
      <c r="I37" s="64">
        <f>IFERROR(TEXT(COUNTIF(D37:F37,"&gt;0")/3,"0%"),"–")</f>
        <v/>
      </c>
    </row>
    <row r="38" ht="18" customHeight="1">
      <c r="B38" s="184" t="n">
        <v>21</v>
      </c>
      <c r="C38" s="208">
        <f>IFERROR('ISO · Alumnos'!C37&amp;IF('ISO · Alumnos'!D37&lt;&gt;"",", "&amp;'ISO · Alumnos'!D37,""),"")</f>
        <v/>
      </c>
      <c r="D38" s="218">
        <f>IFERROR(INDEX('ISO · Evaluación 1'!H:H,10+21),"")</f>
        <v/>
      </c>
      <c r="E38" s="219">
        <f>IFERROR(INDEX('ISO · Evaluación 2'!J:J,10+21),"")</f>
        <v/>
      </c>
      <c r="F38" s="228">
        <f>IFERROR(INDEX('ISO · Evaluación 3'!J:J,10+21),"")</f>
        <v/>
      </c>
      <c r="G38" s="297">
        <f>IFERROR(INDEX('ISO · 1ªORD'!L:L,10+21),"")</f>
        <v/>
      </c>
      <c r="H38" s="342">
        <f>IF(G38="","–",IF(G38&gt;=7,"🟢 NOTABLE",IF(G38&gt;=5,"🟡 APTO","🔴 NO APTO")))</f>
        <v/>
      </c>
      <c r="I38" s="58">
        <f>IFERROR(TEXT(COUNTIF(D38:F38,"&gt;0")/3,"0%"),"–")</f>
        <v/>
      </c>
    </row>
    <row r="39" ht="18" customHeight="1">
      <c r="B39" s="184" t="n">
        <v>22</v>
      </c>
      <c r="C39" s="208">
        <f>IFERROR('ISO · Alumnos'!C38&amp;IF('ISO · Alumnos'!D38&lt;&gt;"",", "&amp;'ISO · Alumnos'!D38,""),"")</f>
        <v/>
      </c>
      <c r="D39" s="218">
        <f>IFERROR(INDEX('ISO · Evaluación 1'!H:H,10+22),"")</f>
        <v/>
      </c>
      <c r="E39" s="219">
        <f>IFERROR(INDEX('ISO · Evaluación 2'!J:J,10+22),"")</f>
        <v/>
      </c>
      <c r="F39" s="228">
        <f>IFERROR(INDEX('ISO · Evaluación 3'!J:J,10+22),"")</f>
        <v/>
      </c>
      <c r="G39" s="249">
        <f>IFERROR(INDEX('ISO · 1ªORD'!L:L,10+22),"")</f>
        <v/>
      </c>
      <c r="H39" s="343">
        <f>IF(G39="","–",IF(G39&gt;=7,"🟢 NOTABLE",IF(G39&gt;=5,"🟡 APTO","🔴 NO APTO")))</f>
        <v/>
      </c>
      <c r="I39" s="64">
        <f>IFERROR(TEXT(COUNTIF(D39:F39,"&gt;0")/3,"0%"),"–")</f>
        <v/>
      </c>
    </row>
    <row r="40" ht="18" customHeight="1">
      <c r="B40" s="184" t="n">
        <v>23</v>
      </c>
      <c r="C40" s="208">
        <f>IFERROR('ISO · Alumnos'!C39&amp;IF('ISO · Alumnos'!D39&lt;&gt;"",", "&amp;'ISO · Alumnos'!D39,""),"")</f>
        <v/>
      </c>
      <c r="D40" s="218">
        <f>IFERROR(INDEX('ISO · Evaluación 1'!H:H,10+23),"")</f>
        <v/>
      </c>
      <c r="E40" s="219">
        <f>IFERROR(INDEX('ISO · Evaluación 2'!J:J,10+23),"")</f>
        <v/>
      </c>
      <c r="F40" s="228">
        <f>IFERROR(INDEX('ISO · Evaluación 3'!J:J,10+23),"")</f>
        <v/>
      </c>
      <c r="G40" s="297">
        <f>IFERROR(INDEX('ISO · 1ªORD'!L:L,10+23),"")</f>
        <v/>
      </c>
      <c r="H40" s="342">
        <f>IF(G40="","–",IF(G40&gt;=7,"🟢 NOTABLE",IF(G40&gt;=5,"🟡 APTO","🔴 NO APTO")))</f>
        <v/>
      </c>
      <c r="I40" s="58">
        <f>IFERROR(TEXT(COUNTIF(D40:F40,"&gt;0")/3,"0%"),"–")</f>
        <v/>
      </c>
    </row>
    <row r="41" ht="18" customHeight="1">
      <c r="B41" s="184" t="n">
        <v>24</v>
      </c>
      <c r="C41" s="208">
        <f>IFERROR('ISO · Alumnos'!C40&amp;IF('ISO · Alumnos'!D40&lt;&gt;"",", "&amp;'ISO · Alumnos'!D40,""),"")</f>
        <v/>
      </c>
      <c r="D41" s="218">
        <f>IFERROR(INDEX('ISO · Evaluación 1'!H:H,10+24),"")</f>
        <v/>
      </c>
      <c r="E41" s="219">
        <f>IFERROR(INDEX('ISO · Evaluación 2'!J:J,10+24),"")</f>
        <v/>
      </c>
      <c r="F41" s="228">
        <f>IFERROR(INDEX('ISO · Evaluación 3'!J:J,10+24),"")</f>
        <v/>
      </c>
      <c r="G41" s="249">
        <f>IFERROR(INDEX('ISO · 1ªORD'!L:L,10+24),"")</f>
        <v/>
      </c>
      <c r="H41" s="343">
        <f>IF(G41="","–",IF(G41&gt;=7,"🟢 NOTABLE",IF(G41&gt;=5,"🟡 APTO","🔴 NO APTO")))</f>
        <v/>
      </c>
      <c r="I41" s="64">
        <f>IFERROR(TEXT(COUNTIF(D41:F41,"&gt;0")/3,"0%"),"–")</f>
        <v/>
      </c>
    </row>
    <row r="42" ht="18" customHeight="1">
      <c r="B42" s="184" t="n">
        <v>25</v>
      </c>
      <c r="C42" s="208">
        <f>IFERROR('ISO · Alumnos'!C41&amp;IF('ISO · Alumnos'!D41&lt;&gt;"",", "&amp;'ISO · Alumnos'!D41,""),"")</f>
        <v/>
      </c>
      <c r="D42" s="218">
        <f>IFERROR(INDEX('ISO · Evaluación 1'!H:H,10+25),"")</f>
        <v/>
      </c>
      <c r="E42" s="219">
        <f>IFERROR(INDEX('ISO · Evaluación 2'!J:J,10+25),"")</f>
        <v/>
      </c>
      <c r="F42" s="228">
        <f>IFERROR(INDEX('ISO · Evaluación 3'!J:J,10+25),"")</f>
        <v/>
      </c>
      <c r="G42" s="297">
        <f>IFERROR(INDEX('ISO · 1ªORD'!L:L,10+25),"")</f>
        <v/>
      </c>
      <c r="H42" s="342">
        <f>IF(G42="","–",IF(G42&gt;=7,"🟢 NOTABLE",IF(G42&gt;=5,"🟡 APTO","🔴 NO APTO")))</f>
        <v/>
      </c>
      <c r="I42" s="58">
        <f>IFERROR(TEXT(COUNTIF(D42:F42,"&gt;0")/3,"0%"),"–")</f>
        <v/>
      </c>
    </row>
    <row r="43" ht="18" customHeight="1">
      <c r="B43" s="184" t="n">
        <v>26</v>
      </c>
      <c r="C43" s="208">
        <f>IFERROR('ISO · Alumnos'!C42&amp;IF('ISO · Alumnos'!D42&lt;&gt;"",", "&amp;'ISO · Alumnos'!D42,""),"")</f>
        <v/>
      </c>
      <c r="D43" s="218">
        <f>IFERROR(INDEX('ISO · Evaluación 1'!H:H,10+26),"")</f>
        <v/>
      </c>
      <c r="E43" s="219">
        <f>IFERROR(INDEX('ISO · Evaluación 2'!J:J,10+26),"")</f>
        <v/>
      </c>
      <c r="F43" s="228">
        <f>IFERROR(INDEX('ISO · Evaluación 3'!J:J,10+26),"")</f>
        <v/>
      </c>
      <c r="G43" s="249">
        <f>IFERROR(INDEX('ISO · 1ªORD'!L:L,10+26),"")</f>
        <v/>
      </c>
      <c r="H43" s="343">
        <f>IF(G43="","–",IF(G43&gt;=7,"🟢 NOTABLE",IF(G43&gt;=5,"🟡 APTO","🔴 NO APTO")))</f>
        <v/>
      </c>
      <c r="I43" s="64">
        <f>IFERROR(TEXT(COUNTIF(D43:F43,"&gt;0")/3,"0%"),"–")</f>
        <v/>
      </c>
    </row>
    <row r="44" ht="18" customHeight="1">
      <c r="B44" s="184" t="n">
        <v>27</v>
      </c>
      <c r="C44" s="208">
        <f>IFERROR('ISO · Alumnos'!C43&amp;IF('ISO · Alumnos'!D43&lt;&gt;"",", "&amp;'ISO · Alumnos'!D43,""),"")</f>
        <v/>
      </c>
      <c r="D44" s="218">
        <f>IFERROR(INDEX('ISO · Evaluación 1'!H:H,10+27),"")</f>
        <v/>
      </c>
      <c r="E44" s="219">
        <f>IFERROR(INDEX('ISO · Evaluación 2'!J:J,10+27),"")</f>
        <v/>
      </c>
      <c r="F44" s="228">
        <f>IFERROR(INDEX('ISO · Evaluación 3'!J:J,10+27),"")</f>
        <v/>
      </c>
      <c r="G44" s="297">
        <f>IFERROR(INDEX('ISO · 1ªORD'!L:L,10+27),"")</f>
        <v/>
      </c>
      <c r="H44" s="342">
        <f>IF(G44="","–",IF(G44&gt;=7,"🟢 NOTABLE",IF(G44&gt;=5,"🟡 APTO","🔴 NO APTO")))</f>
        <v/>
      </c>
      <c r="I44" s="58">
        <f>IFERROR(TEXT(COUNTIF(D44:F44,"&gt;0")/3,"0%"),"–")</f>
        <v/>
      </c>
    </row>
    <row r="45" ht="18" customHeight="1">
      <c r="B45" s="184" t="n">
        <v>28</v>
      </c>
      <c r="C45" s="208">
        <f>IFERROR('ISO · Alumnos'!C44&amp;IF('ISO · Alumnos'!D44&lt;&gt;"",", "&amp;'ISO · Alumnos'!D44,""),"")</f>
        <v/>
      </c>
      <c r="D45" s="218">
        <f>IFERROR(INDEX('ISO · Evaluación 1'!H:H,10+28),"")</f>
        <v/>
      </c>
      <c r="E45" s="219">
        <f>IFERROR(INDEX('ISO · Evaluación 2'!J:J,10+28),"")</f>
        <v/>
      </c>
      <c r="F45" s="228">
        <f>IFERROR(INDEX('ISO · Evaluación 3'!J:J,10+28),"")</f>
        <v/>
      </c>
      <c r="G45" s="249">
        <f>IFERROR(INDEX('ISO · 1ªORD'!L:L,10+28),"")</f>
        <v/>
      </c>
      <c r="H45" s="343">
        <f>IF(G45="","–",IF(G45&gt;=7,"🟢 NOTABLE",IF(G45&gt;=5,"🟡 APTO","🔴 NO APTO")))</f>
        <v/>
      </c>
      <c r="I45" s="64">
        <f>IFERROR(TEXT(COUNTIF(D45:F45,"&gt;0")/3,"0%"),"–")</f>
        <v/>
      </c>
    </row>
    <row r="46" ht="18" customHeight="1">
      <c r="B46" s="184" t="n">
        <v>29</v>
      </c>
      <c r="C46" s="208">
        <f>IFERROR('ISO · Alumnos'!C45&amp;IF('ISO · Alumnos'!D45&lt;&gt;"",", "&amp;'ISO · Alumnos'!D45,""),"")</f>
        <v/>
      </c>
      <c r="D46" s="218">
        <f>IFERROR(INDEX('ISO · Evaluación 1'!H:H,10+29),"")</f>
        <v/>
      </c>
      <c r="E46" s="219">
        <f>IFERROR(INDEX('ISO · Evaluación 2'!J:J,10+29),"")</f>
        <v/>
      </c>
      <c r="F46" s="228">
        <f>IFERROR(INDEX('ISO · Evaluación 3'!J:J,10+29),"")</f>
        <v/>
      </c>
      <c r="G46" s="297">
        <f>IFERROR(INDEX('ISO · 1ªORD'!L:L,10+29),"")</f>
        <v/>
      </c>
      <c r="H46" s="342">
        <f>IF(G46="","–",IF(G46&gt;=7,"🟢 NOTABLE",IF(G46&gt;=5,"🟡 APTO","🔴 NO APTO")))</f>
        <v/>
      </c>
      <c r="I46" s="58">
        <f>IFERROR(TEXT(COUNTIF(D46:F46,"&gt;0")/3,"0%"),"–")</f>
        <v/>
      </c>
    </row>
    <row r="47" ht="18" customHeight="1">
      <c r="B47" s="184" t="n">
        <v>30</v>
      </c>
      <c r="C47" s="208">
        <f>IFERROR('ISO · Alumnos'!C46&amp;IF('ISO · Alumnos'!D46&lt;&gt;"",", "&amp;'ISO · Alumnos'!D46,""),"")</f>
        <v/>
      </c>
      <c r="D47" s="218">
        <f>IFERROR(INDEX('ISO · Evaluación 1'!H:H,10+30),"")</f>
        <v/>
      </c>
      <c r="E47" s="219">
        <f>IFERROR(INDEX('ISO · Evaluación 2'!J:J,10+30),"")</f>
        <v/>
      </c>
      <c r="F47" s="228">
        <f>IFERROR(INDEX('ISO · Evaluación 3'!J:J,10+30),"")</f>
        <v/>
      </c>
      <c r="G47" s="249">
        <f>IFERROR(INDEX('ISO · 1ªORD'!L:L,10+30),"")</f>
        <v/>
      </c>
      <c r="H47" s="343">
        <f>IF(G47="","–",IF(G47&gt;=7,"🟢 NOTABLE",IF(G47&gt;=5,"🟡 APTO","🔴 NO APTO")))</f>
        <v/>
      </c>
      <c r="I47" s="64">
        <f>IFERROR(TEXT(COUNTIF(D47:F47,"&gt;0")/3,"0%"),"–")</f>
        <v/>
      </c>
    </row>
    <row r="48" ht="5" customHeight="1">
      <c r="B48" s="1"/>
      <c r="C48" s="1"/>
      <c r="D48" s="1"/>
      <c r="E48" s="1"/>
      <c r="F48" s="1"/>
      <c r="G48" s="1"/>
      <c r="H48" s="1"/>
      <c r="I48" s="1"/>
    </row>
    <row r="49" ht="14" customHeight="1">
      <c r="B49" s="35" t="inlineStr">
        <is>
          <t xml:space="preserve">  RENDIMIENTO POR RA — Media del grupo (desde Reg. Notas)</t>
        </is>
      </c>
    </row>
    <row r="50" ht="26" customHeight="1">
      <c r="B50" s="318" t="inlineStr">
        <is>
          <t>RA1
EV1 · 13%</t>
        </is>
      </c>
      <c r="C50" s="319" t="inlineStr">
        <is>
          <t>RA2
EV1 · 19%</t>
        </is>
      </c>
      <c r="D50" s="320" t="inlineStr">
        <is>
          <t>RA3
EV2 · 9%</t>
        </is>
      </c>
      <c r="E50" s="321" t="inlineStr">
        <is>
          <t>RA4
EV2 · 16%</t>
        </is>
      </c>
      <c r="F50" s="322" t="inlineStr">
        <is>
          <t>RA5
EV2 · 13%</t>
        </is>
      </c>
      <c r="G50" s="323" t="inlineStr">
        <is>
          <t>RA6
EV3 · 12%</t>
        </is>
      </c>
      <c r="H50" s="324" t="inlineStr">
        <is>
          <t>RA7
EV3 · 13%</t>
        </is>
      </c>
      <c r="I50" s="325" t="inlineStr">
        <is>
          <t>RA8
EV3 · 5%</t>
        </is>
      </c>
    </row>
    <row r="51" ht="24" customHeight="1">
      <c r="B51" s="344">
        <f>IFERROR(ROUND(AVERAGE('ISO · Reg. Notas'!P11:P40),2),"–")</f>
        <v/>
      </c>
      <c r="C51" s="345">
        <f>IFERROR(ROUND(AVERAGE('ISO · Reg. Notas'!Q11:Q40),2),"–")</f>
        <v/>
      </c>
      <c r="D51" s="346">
        <f>IFERROR(ROUND(AVERAGE('ISO · Reg. Notas'!R11:R40),2),"–")</f>
        <v/>
      </c>
      <c r="E51" s="347">
        <f>IFERROR(ROUND(AVERAGE('ISO · Reg. Notas'!S11:S40),2),"–")</f>
        <v/>
      </c>
      <c r="F51" s="348">
        <f>IFERROR(ROUND(AVERAGE('ISO · Reg. Notas'!T11:T40),2),"–")</f>
        <v/>
      </c>
      <c r="G51" s="349">
        <f>IFERROR(ROUND(AVERAGE('ISO · Reg. Notas'!U11:U40),2),"–")</f>
        <v/>
      </c>
      <c r="H51" s="346">
        <f>IFERROR(ROUND(AVERAGE('ISO · Reg. Notas'!V11:V40),2),"–")</f>
        <v/>
      </c>
      <c r="I51" s="350">
        <f>IFERROR(ROUND(AVERAGE('ISO · Reg. Notas'!W11:W40),2),"–")</f>
        <v/>
      </c>
    </row>
    <row r="53" ht="14" customHeight="1">
      <c r="B53" s="44" t="inlineStr">
        <is>
          <t>★  Los datos se actualizan automáticamente al introducir notas. Semáforo: 🟢 ≥7 · 🟡 5-6.9 · 🔴 &lt;5.  En riesgo = nota final &lt; 4.</t>
        </is>
      </c>
    </row>
  </sheetData>
  <mergeCells count="18"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  <mergeCell ref="B2:K2"/>
    <mergeCell ref="B9:C9"/>
    <mergeCell ref="D9:E9"/>
    <mergeCell ref="B8:I8"/>
    <mergeCell ref="B49:I49"/>
    <mergeCell ref="B3:K3"/>
    <mergeCell ref="D12:E12"/>
    <mergeCell ref="B12:C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</t>
        </is>
      </c>
      <c r="B1" s="351" t="inlineStr">
        <is>
          <t>nombre</t>
        </is>
      </c>
      <c r="C1" s="351" t="inlineStr">
        <is>
          <t>horas</t>
        </is>
      </c>
      <c r="D1" s="351" t="inlineStr">
        <is>
          <t>evaluacion</t>
        </is>
      </c>
      <c r="E1" s="351" t="inlineStr">
        <is>
          <t>pond_pct</t>
        </is>
      </c>
      <c r="F1" s="351" t="inlineStr">
        <is>
          <t>tags</t>
        </is>
      </c>
    </row>
    <row r="2">
      <c r="A2" t="inlineStr">
        <is>
          <t>UT1</t>
        </is>
      </c>
      <c r="B2" t="inlineStr">
        <is>
          <t>Instalación de software libre y propietario</t>
        </is>
      </c>
      <c r="C2" t="n">
        <v>30</v>
      </c>
      <c r="D2" t="n">
        <v>1</v>
      </c>
      <c r="E2" t="n">
        <v>16.13</v>
      </c>
      <c r="F2" t="inlineStr">
        <is>
          <t>Linux · Windows Server · Virtualización</t>
        </is>
      </c>
    </row>
    <row r="3">
      <c r="A3" t="inlineStr">
        <is>
          <t>UT2</t>
        </is>
      </c>
      <c r="B3" t="inlineStr">
        <is>
          <t>Administración de software base</t>
        </is>
      </c>
      <c r="C3" t="n">
        <v>25</v>
      </c>
      <c r="D3" t="n">
        <v>1</v>
      </c>
      <c r="E3" t="n">
        <v>13.44</v>
      </c>
      <c r="F3" t="inlineStr">
        <is>
          <t>Usuarios · Red TCP/IP · Registro Windows</t>
        </is>
      </c>
    </row>
    <row r="4">
      <c r="A4" t="inlineStr">
        <is>
          <t>UT3</t>
        </is>
      </c>
      <c r="B4" t="inlineStr">
        <is>
          <t>Administración y aseguramiento de la información</t>
        </is>
      </c>
      <c r="C4" t="n">
        <v>22</v>
      </c>
      <c r="D4" t="n">
        <v>2</v>
      </c>
      <c r="E4" t="n">
        <v>11.83</v>
      </c>
      <c r="F4" t="inlineStr">
        <is>
          <t>Permisos · Backups · RAID</t>
        </is>
      </c>
    </row>
    <row r="5">
      <c r="A5" t="inlineStr">
        <is>
          <t>UT4</t>
        </is>
      </c>
      <c r="B5" t="inlineStr">
        <is>
          <t>Gestión de dominios</t>
        </is>
      </c>
      <c r="C5" t="n">
        <v>30</v>
      </c>
      <c r="D5" t="n">
        <v>2</v>
      </c>
      <c r="E5" t="n">
        <v>16.13</v>
      </c>
      <c r="F5" t="inlineStr">
        <is>
          <t>Active Directory · GPO · Perfiles</t>
        </is>
      </c>
    </row>
    <row r="6">
      <c r="A6" t="inlineStr">
        <is>
          <t>UT5</t>
        </is>
      </c>
      <c r="B6" t="inlineStr">
        <is>
          <t>Administración de acceso al dominio</t>
        </is>
      </c>
      <c r="C6" t="n">
        <v>25</v>
      </c>
      <c r="D6" t="n">
        <v>2</v>
      </c>
      <c r="E6" t="n">
        <v>13.44</v>
      </c>
      <c r="F6" t="inlineStr">
        <is>
          <t>Samba · NFS · NTFS / ACLs POSIX</t>
        </is>
      </c>
    </row>
    <row r="7">
      <c r="A7" t="inlineStr">
        <is>
          <t>UT6</t>
        </is>
      </c>
      <c r="B7" t="inlineStr">
        <is>
          <t>Supervisión del rendimiento del sistema</t>
        </is>
      </c>
      <c r="C7" t="n">
        <v>22</v>
      </c>
      <c r="D7" t="n">
        <v>3</v>
      </c>
      <c r="E7" t="n">
        <v>11.83</v>
      </c>
      <c r="F7" t="inlineStr">
        <is>
          <t>top/htop · Perfmon · journalctl</t>
        </is>
      </c>
    </row>
    <row r="8">
      <c r="A8" t="inlineStr">
        <is>
          <t>UT7</t>
        </is>
      </c>
      <c r="B8" t="inlineStr">
        <is>
          <t>Directivas de seguridad y auditorías</t>
        </is>
      </c>
      <c r="C8" t="n">
        <v>22</v>
      </c>
      <c r="D8" t="n">
        <v>3</v>
      </c>
      <c r="E8" t="n">
        <v>11.83</v>
      </c>
      <c r="F8" t="inlineStr">
        <is>
          <t>secpol.msc · auditd · fail2ban</t>
        </is>
      </c>
    </row>
    <row r="9">
      <c r="A9" t="inlineStr">
        <is>
          <t>UT8</t>
        </is>
      </c>
      <c r="B9" t="inlineStr">
        <is>
          <t>Resolución de incidencias y asistencia técnica</t>
        </is>
      </c>
      <c r="C9" t="n">
        <v>10</v>
      </c>
      <c r="D9" t="n">
        <v>3</v>
      </c>
      <c r="E9" t="n">
        <v>5.38</v>
      </c>
      <c r="F9" t="inlineStr">
        <is>
          <t>WDS/MDT · VPN WireGuard · ITIL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</t>
        </is>
      </c>
      <c r="B1" s="351" t="inlineStr">
        <is>
          <t>nombre</t>
        </is>
      </c>
      <c r="C1" s="351" t="inlineStr">
        <is>
          <t>pond_pct</t>
        </is>
      </c>
      <c r="D1" s="351" t="inlineStr">
        <is>
          <t>total_ces</t>
        </is>
      </c>
      <c r="E1" s="351" t="inlineStr">
        <is>
          <t>horas_equiv</t>
        </is>
      </c>
    </row>
    <row r="2">
      <c r="A2" t="inlineStr">
        <is>
          <t>RA1</t>
        </is>
      </c>
      <c r="B2" t="inlineStr">
        <is>
          <t>Instala sistemas operativos, relacionando sus características con el hardware del equipo y el software de aplicación.</t>
        </is>
      </c>
      <c r="C2" t="n">
        <v>13</v>
      </c>
      <c r="D2" t="n">
        <v>8</v>
      </c>
      <c r="E2" t="n">
        <v>24</v>
      </c>
    </row>
    <row r="3">
      <c r="A3" t="inlineStr">
        <is>
          <t>RA2</t>
        </is>
      </c>
      <c r="B3" t="inlineStr">
        <is>
          <t>Gestiona el software de base, aplicando criterios de explotación del sistema.</t>
        </is>
      </c>
      <c r="C3" t="n">
        <v>19</v>
      </c>
      <c r="D3" t="n">
        <v>19</v>
      </c>
      <c r="E3" t="n">
        <v>35.33</v>
      </c>
    </row>
    <row r="4">
      <c r="A4" t="inlineStr">
        <is>
          <t>RA3</t>
        </is>
      </c>
      <c r="B4" t="inlineStr">
        <is>
          <t>Asegura y recupera el sistema, aplicando procedimientos de administración de la información.</t>
        </is>
      </c>
      <c r="C4" t="n">
        <v>9</v>
      </c>
      <c r="D4" t="n">
        <v>8</v>
      </c>
      <c r="E4" t="n">
        <v>16</v>
      </c>
    </row>
    <row r="5">
      <c r="A5" t="inlineStr">
        <is>
          <t>RA4</t>
        </is>
      </c>
      <c r="B5" t="inlineStr">
        <is>
          <t>Gestiona dominios, elaborando el modelo lógico de la red en un entorno de trabajo.</t>
        </is>
      </c>
      <c r="C5" t="n">
        <v>16</v>
      </c>
      <c r="D5" t="n">
        <v>8</v>
      </c>
      <c r="E5" t="n">
        <v>30</v>
      </c>
    </row>
    <row r="6">
      <c r="A6" t="inlineStr">
        <is>
          <t>RA5</t>
        </is>
      </c>
      <c r="B6" t="inlineStr">
        <is>
          <t>Administra el acceso al dominio, gestionando servidores de directorio y verificando el acceso de los usuarios.</t>
        </is>
      </c>
      <c r="C6" t="n">
        <v>13</v>
      </c>
      <c r="D6" t="n">
        <v>8</v>
      </c>
      <c r="E6" t="n">
        <v>24.07</v>
      </c>
    </row>
    <row r="7">
      <c r="A7" t="inlineStr">
        <is>
          <t>RA6</t>
        </is>
      </c>
      <c r="B7" t="inlineStr">
        <is>
          <t>Supervisa el rendimiento del sistema, diagnosticando las causas de pérdidas de rendimiento.</t>
        </is>
      </c>
      <c r="C7" t="n">
        <v>12</v>
      </c>
      <c r="D7" t="n">
        <v>10</v>
      </c>
      <c r="E7" t="n">
        <v>22</v>
      </c>
    </row>
    <row r="8">
      <c r="A8" t="inlineStr">
        <is>
          <t>RA7</t>
        </is>
      </c>
      <c r="B8" t="inlineStr">
        <is>
          <t>Aplica directivas de seguridad y gestiona auditorías, interpretando y aplicando la normativa vigente.</t>
        </is>
      </c>
      <c r="C8" t="n">
        <v>13</v>
      </c>
      <c r="D8" t="n">
        <v>9</v>
      </c>
      <c r="E8" t="n">
        <v>24.59</v>
      </c>
    </row>
    <row r="9">
      <c r="A9" t="inlineStr">
        <is>
          <t>RA8</t>
        </is>
      </c>
      <c r="B9" t="inlineStr">
        <is>
          <t>Establece la conexión en red de los sistemas informáticos, configurando dispositivos y protocolos.</t>
        </is>
      </c>
      <c r="C9" t="n">
        <v>5</v>
      </c>
      <c r="D9" t="n">
        <v>9</v>
      </c>
      <c r="E9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id_ra</t>
        </is>
      </c>
      <c r="B1" s="351" t="inlineStr">
        <is>
          <t>id_ce</t>
        </is>
      </c>
      <c r="C1" s="351" t="inlineStr">
        <is>
          <t>ce_numero</t>
        </is>
      </c>
    </row>
    <row r="2">
      <c r="A2" t="inlineStr">
        <is>
          <t>RA1</t>
        </is>
      </c>
      <c r="B2" t="inlineStr">
        <is>
          <t>CR1</t>
        </is>
      </c>
      <c r="C2" t="n">
        <v>1</v>
      </c>
    </row>
    <row r="3">
      <c r="A3" t="inlineStr">
        <is>
          <t>RA1</t>
        </is>
      </c>
      <c r="B3" t="inlineStr">
        <is>
          <t>CR2</t>
        </is>
      </c>
      <c r="C3" t="n">
        <v>2</v>
      </c>
    </row>
    <row r="4">
      <c r="A4" t="inlineStr">
        <is>
          <t>RA1</t>
        </is>
      </c>
      <c r="B4" t="inlineStr">
        <is>
          <t>CR3</t>
        </is>
      </c>
      <c r="C4" t="n">
        <v>3</v>
      </c>
    </row>
    <row r="5">
      <c r="A5" t="inlineStr">
        <is>
          <t>RA1</t>
        </is>
      </c>
      <c r="B5" t="inlineStr">
        <is>
          <t>CR4</t>
        </is>
      </c>
      <c r="C5" t="n">
        <v>4</v>
      </c>
    </row>
    <row r="6">
      <c r="A6" t="inlineStr">
        <is>
          <t>RA1</t>
        </is>
      </c>
      <c r="B6" t="inlineStr">
        <is>
          <t>CR5</t>
        </is>
      </c>
      <c r="C6" t="n">
        <v>5</v>
      </c>
    </row>
    <row r="7">
      <c r="A7" t="inlineStr">
        <is>
          <t>RA1</t>
        </is>
      </c>
      <c r="B7" t="inlineStr">
        <is>
          <t>CR6</t>
        </is>
      </c>
      <c r="C7" t="n">
        <v>6</v>
      </c>
    </row>
    <row r="8">
      <c r="A8" t="inlineStr">
        <is>
          <t>RA1</t>
        </is>
      </c>
      <c r="B8" t="inlineStr">
        <is>
          <t>CR7</t>
        </is>
      </c>
      <c r="C8" t="n">
        <v>7</v>
      </c>
    </row>
    <row r="9">
      <c r="A9" t="inlineStr">
        <is>
          <t>RA1</t>
        </is>
      </c>
      <c r="B9" t="inlineStr">
        <is>
          <t>CR8</t>
        </is>
      </c>
      <c r="C9" t="n">
        <v>8</v>
      </c>
    </row>
    <row r="10">
      <c r="A10" t="inlineStr">
        <is>
          <t>RA2</t>
        </is>
      </c>
      <c r="B10" t="inlineStr">
        <is>
          <t>CR1</t>
        </is>
      </c>
      <c r="C10" t="n">
        <v>1</v>
      </c>
    </row>
    <row r="11">
      <c r="A11" t="inlineStr">
        <is>
          <t>RA2</t>
        </is>
      </c>
      <c r="B11" t="inlineStr">
        <is>
          <t>CR2</t>
        </is>
      </c>
      <c r="C11" t="n">
        <v>2</v>
      </c>
    </row>
    <row r="12">
      <c r="A12" t="inlineStr">
        <is>
          <t>RA2</t>
        </is>
      </c>
      <c r="B12" t="inlineStr">
        <is>
          <t>CR3</t>
        </is>
      </c>
      <c r="C12" t="n">
        <v>3</v>
      </c>
    </row>
    <row r="13">
      <c r="A13" t="inlineStr">
        <is>
          <t>RA2</t>
        </is>
      </c>
      <c r="B13" t="inlineStr">
        <is>
          <t>CR4</t>
        </is>
      </c>
      <c r="C13" t="n">
        <v>4</v>
      </c>
    </row>
    <row r="14">
      <c r="A14" t="inlineStr">
        <is>
          <t>RA2</t>
        </is>
      </c>
      <c r="B14" t="inlineStr">
        <is>
          <t>CR5</t>
        </is>
      </c>
      <c r="C14" t="n">
        <v>5</v>
      </c>
    </row>
    <row r="15">
      <c r="A15" t="inlineStr">
        <is>
          <t>RA2</t>
        </is>
      </c>
      <c r="B15" t="inlineStr">
        <is>
          <t>CR6</t>
        </is>
      </c>
      <c r="C15" t="n">
        <v>6</v>
      </c>
    </row>
    <row r="16">
      <c r="A16" t="inlineStr">
        <is>
          <t>RA2</t>
        </is>
      </c>
      <c r="B16" t="inlineStr">
        <is>
          <t>CR7</t>
        </is>
      </c>
      <c r="C16" t="n">
        <v>7</v>
      </c>
    </row>
    <row r="17">
      <c r="A17" t="inlineStr">
        <is>
          <t>RA2</t>
        </is>
      </c>
      <c r="B17" t="inlineStr">
        <is>
          <t>CR8</t>
        </is>
      </c>
      <c r="C17" t="n">
        <v>8</v>
      </c>
    </row>
    <row r="18">
      <c r="A18" t="inlineStr">
        <is>
          <t>RA2</t>
        </is>
      </c>
      <c r="B18" t="inlineStr">
        <is>
          <t>CR9</t>
        </is>
      </c>
      <c r="C18" t="n">
        <v>9</v>
      </c>
    </row>
    <row r="19">
      <c r="A19" t="inlineStr">
        <is>
          <t>RA2</t>
        </is>
      </c>
      <c r="B19" t="inlineStr">
        <is>
          <t>CR10</t>
        </is>
      </c>
      <c r="C19" t="n">
        <v>10</v>
      </c>
    </row>
    <row r="20">
      <c r="A20" t="inlineStr">
        <is>
          <t>RA2</t>
        </is>
      </c>
      <c r="B20" t="inlineStr">
        <is>
          <t>CR11</t>
        </is>
      </c>
      <c r="C20" t="n">
        <v>11</v>
      </c>
    </row>
    <row r="21">
      <c r="A21" t="inlineStr">
        <is>
          <t>RA2</t>
        </is>
      </c>
      <c r="B21" t="inlineStr">
        <is>
          <t>CR12</t>
        </is>
      </c>
      <c r="C21" t="n">
        <v>12</v>
      </c>
    </row>
    <row r="22">
      <c r="A22" t="inlineStr">
        <is>
          <t>RA2</t>
        </is>
      </c>
      <c r="B22" t="inlineStr">
        <is>
          <t>CR13</t>
        </is>
      </c>
      <c r="C22" t="n">
        <v>13</v>
      </c>
    </row>
    <row r="23">
      <c r="A23" t="inlineStr">
        <is>
          <t>RA2</t>
        </is>
      </c>
      <c r="B23" t="inlineStr">
        <is>
          <t>CR14</t>
        </is>
      </c>
      <c r="C23" t="n">
        <v>14</v>
      </c>
    </row>
    <row r="24">
      <c r="A24" t="inlineStr">
        <is>
          <t>RA2</t>
        </is>
      </c>
      <c r="B24" t="inlineStr">
        <is>
          <t>CR15</t>
        </is>
      </c>
      <c r="C24" t="n">
        <v>15</v>
      </c>
    </row>
    <row r="25">
      <c r="A25" t="inlineStr">
        <is>
          <t>RA2</t>
        </is>
      </c>
      <c r="B25" t="inlineStr">
        <is>
          <t>CR16</t>
        </is>
      </c>
      <c r="C25" t="n">
        <v>16</v>
      </c>
    </row>
    <row r="26">
      <c r="A26" t="inlineStr">
        <is>
          <t>RA2</t>
        </is>
      </c>
      <c r="B26" t="inlineStr">
        <is>
          <t>CR17</t>
        </is>
      </c>
      <c r="C26" t="n">
        <v>17</v>
      </c>
    </row>
    <row r="27">
      <c r="A27" t="inlineStr">
        <is>
          <t>RA2</t>
        </is>
      </c>
      <c r="B27" t="inlineStr">
        <is>
          <t>CR18</t>
        </is>
      </c>
      <c r="C27" t="n">
        <v>18</v>
      </c>
    </row>
    <row r="28">
      <c r="A28" t="inlineStr">
        <is>
          <t>RA2</t>
        </is>
      </c>
      <c r="B28" t="inlineStr">
        <is>
          <t>CR19</t>
        </is>
      </c>
      <c r="C28" t="n">
        <v>19</v>
      </c>
    </row>
    <row r="29">
      <c r="A29" t="inlineStr">
        <is>
          <t>RA3</t>
        </is>
      </c>
      <c r="B29" t="inlineStr">
        <is>
          <t>CR1</t>
        </is>
      </c>
      <c r="C29" t="n">
        <v>1</v>
      </c>
    </row>
    <row r="30">
      <c r="A30" t="inlineStr">
        <is>
          <t>RA3</t>
        </is>
      </c>
      <c r="B30" t="inlineStr">
        <is>
          <t>CR2</t>
        </is>
      </c>
      <c r="C30" t="n">
        <v>2</v>
      </c>
    </row>
    <row r="31">
      <c r="A31" t="inlineStr">
        <is>
          <t>RA3</t>
        </is>
      </c>
      <c r="B31" t="inlineStr">
        <is>
          <t>CR3</t>
        </is>
      </c>
      <c r="C31" t="n">
        <v>3</v>
      </c>
    </row>
    <row r="32">
      <c r="A32" t="inlineStr">
        <is>
          <t>RA3</t>
        </is>
      </c>
      <c r="B32" t="inlineStr">
        <is>
          <t>CR4</t>
        </is>
      </c>
      <c r="C32" t="n">
        <v>4</v>
      </c>
    </row>
    <row r="33">
      <c r="A33" t="inlineStr">
        <is>
          <t>RA3</t>
        </is>
      </c>
      <c r="B33" t="inlineStr">
        <is>
          <t>CR5</t>
        </is>
      </c>
      <c r="C33" t="n">
        <v>5</v>
      </c>
    </row>
    <row r="34">
      <c r="A34" t="inlineStr">
        <is>
          <t>RA3</t>
        </is>
      </c>
      <c r="B34" t="inlineStr">
        <is>
          <t>CR6</t>
        </is>
      </c>
      <c r="C34" t="n">
        <v>6</v>
      </c>
    </row>
    <row r="35">
      <c r="A35" t="inlineStr">
        <is>
          <t>RA3</t>
        </is>
      </c>
      <c r="B35" t="inlineStr">
        <is>
          <t>CR7</t>
        </is>
      </c>
      <c r="C35" t="n">
        <v>7</v>
      </c>
    </row>
    <row r="36">
      <c r="A36" t="inlineStr">
        <is>
          <t>RA3</t>
        </is>
      </c>
      <c r="B36" t="inlineStr">
        <is>
          <t>CR8</t>
        </is>
      </c>
      <c r="C36" t="n">
        <v>8</v>
      </c>
    </row>
    <row r="37">
      <c r="A37" t="inlineStr">
        <is>
          <t>RA4</t>
        </is>
      </c>
      <c r="B37" t="inlineStr">
        <is>
          <t>CR1</t>
        </is>
      </c>
      <c r="C37" t="n">
        <v>1</v>
      </c>
    </row>
    <row r="38">
      <c r="A38" t="inlineStr">
        <is>
          <t>RA4</t>
        </is>
      </c>
      <c r="B38" t="inlineStr">
        <is>
          <t>CR2</t>
        </is>
      </c>
      <c r="C38" t="n">
        <v>2</v>
      </c>
    </row>
    <row r="39">
      <c r="A39" t="inlineStr">
        <is>
          <t>RA4</t>
        </is>
      </c>
      <c r="B39" t="inlineStr">
        <is>
          <t>CR3</t>
        </is>
      </c>
      <c r="C39" t="n">
        <v>3</v>
      </c>
    </row>
    <row r="40">
      <c r="A40" t="inlineStr">
        <is>
          <t>RA4</t>
        </is>
      </c>
      <c r="B40" t="inlineStr">
        <is>
          <t>CR4</t>
        </is>
      </c>
      <c r="C40" t="n">
        <v>4</v>
      </c>
    </row>
    <row r="41">
      <c r="A41" t="inlineStr">
        <is>
          <t>RA4</t>
        </is>
      </c>
      <c r="B41" t="inlineStr">
        <is>
          <t>CR5</t>
        </is>
      </c>
      <c r="C41" t="n">
        <v>5</v>
      </c>
    </row>
    <row r="42">
      <c r="A42" t="inlineStr">
        <is>
          <t>RA4</t>
        </is>
      </c>
      <c r="B42" t="inlineStr">
        <is>
          <t>CR6</t>
        </is>
      </c>
      <c r="C42" t="n">
        <v>6</v>
      </c>
    </row>
    <row r="43">
      <c r="A43" t="inlineStr">
        <is>
          <t>RA4</t>
        </is>
      </c>
      <c r="B43" t="inlineStr">
        <is>
          <t>CR7</t>
        </is>
      </c>
      <c r="C43" t="n">
        <v>7</v>
      </c>
    </row>
    <row r="44">
      <c r="A44" t="inlineStr">
        <is>
          <t>RA4</t>
        </is>
      </c>
      <c r="B44" t="inlineStr">
        <is>
          <t>CR8</t>
        </is>
      </c>
      <c r="C44" t="n">
        <v>8</v>
      </c>
    </row>
    <row r="45">
      <c r="A45" t="inlineStr">
        <is>
          <t>RA5</t>
        </is>
      </c>
      <c r="B45" t="inlineStr">
        <is>
          <t>CR1</t>
        </is>
      </c>
      <c r="C45" t="n">
        <v>1</v>
      </c>
    </row>
    <row r="46">
      <c r="A46" t="inlineStr">
        <is>
          <t>RA5</t>
        </is>
      </c>
      <c r="B46" t="inlineStr">
        <is>
          <t>CR2</t>
        </is>
      </c>
      <c r="C46" t="n">
        <v>2</v>
      </c>
    </row>
    <row r="47">
      <c r="A47" t="inlineStr">
        <is>
          <t>RA5</t>
        </is>
      </c>
      <c r="B47" t="inlineStr">
        <is>
          <t>CR3</t>
        </is>
      </c>
      <c r="C47" t="n">
        <v>3</v>
      </c>
    </row>
    <row r="48">
      <c r="A48" t="inlineStr">
        <is>
          <t>RA5</t>
        </is>
      </c>
      <c r="B48" t="inlineStr">
        <is>
          <t>CR4</t>
        </is>
      </c>
      <c r="C48" t="n">
        <v>4</v>
      </c>
    </row>
    <row r="49">
      <c r="A49" t="inlineStr">
        <is>
          <t>RA5</t>
        </is>
      </c>
      <c r="B49" t="inlineStr">
        <is>
          <t>CR5</t>
        </is>
      </c>
      <c r="C49" t="n">
        <v>5</v>
      </c>
    </row>
    <row r="50">
      <c r="A50" t="inlineStr">
        <is>
          <t>RA5</t>
        </is>
      </c>
      <c r="B50" t="inlineStr">
        <is>
          <t>CR6</t>
        </is>
      </c>
      <c r="C50" t="n">
        <v>6</v>
      </c>
    </row>
    <row r="51">
      <c r="A51" t="inlineStr">
        <is>
          <t>RA5</t>
        </is>
      </c>
      <c r="B51" t="inlineStr">
        <is>
          <t>CR7</t>
        </is>
      </c>
      <c r="C51" t="n">
        <v>7</v>
      </c>
    </row>
    <row r="52">
      <c r="A52" t="inlineStr">
        <is>
          <t>RA5</t>
        </is>
      </c>
      <c r="B52" t="inlineStr">
        <is>
          <t>CR8</t>
        </is>
      </c>
      <c r="C52" t="n">
        <v>8</v>
      </c>
    </row>
    <row r="53">
      <c r="A53" t="inlineStr">
        <is>
          <t>RA6</t>
        </is>
      </c>
      <c r="B53" t="inlineStr">
        <is>
          <t>CR1</t>
        </is>
      </c>
      <c r="C53" t="n">
        <v>1</v>
      </c>
    </row>
    <row r="54">
      <c r="A54" t="inlineStr">
        <is>
          <t>RA6</t>
        </is>
      </c>
      <c r="B54" t="inlineStr">
        <is>
          <t>CR2</t>
        </is>
      </c>
      <c r="C54" t="n">
        <v>2</v>
      </c>
    </row>
    <row r="55">
      <c r="A55" t="inlineStr">
        <is>
          <t>RA6</t>
        </is>
      </c>
      <c r="B55" t="inlineStr">
        <is>
          <t>CR3</t>
        </is>
      </c>
      <c r="C55" t="n">
        <v>3</v>
      </c>
    </row>
    <row r="56">
      <c r="A56" t="inlineStr">
        <is>
          <t>RA6</t>
        </is>
      </c>
      <c r="B56" t="inlineStr">
        <is>
          <t>CR4</t>
        </is>
      </c>
      <c r="C56" t="n">
        <v>4</v>
      </c>
    </row>
    <row r="57">
      <c r="A57" t="inlineStr">
        <is>
          <t>RA6</t>
        </is>
      </c>
      <c r="B57" t="inlineStr">
        <is>
          <t>CR5</t>
        </is>
      </c>
      <c r="C57" t="n">
        <v>5</v>
      </c>
    </row>
    <row r="58">
      <c r="A58" t="inlineStr">
        <is>
          <t>RA6</t>
        </is>
      </c>
      <c r="B58" t="inlineStr">
        <is>
          <t>CR6</t>
        </is>
      </c>
      <c r="C58" t="n">
        <v>6</v>
      </c>
    </row>
    <row r="59">
      <c r="A59" t="inlineStr">
        <is>
          <t>RA6</t>
        </is>
      </c>
      <c r="B59" t="inlineStr">
        <is>
          <t>CR7</t>
        </is>
      </c>
      <c r="C59" t="n">
        <v>7</v>
      </c>
    </row>
    <row r="60">
      <c r="A60" t="inlineStr">
        <is>
          <t>RA6</t>
        </is>
      </c>
      <c r="B60" t="inlineStr">
        <is>
          <t>CR8</t>
        </is>
      </c>
      <c r="C60" t="n">
        <v>8</v>
      </c>
    </row>
    <row r="61">
      <c r="A61" t="inlineStr">
        <is>
          <t>RA6</t>
        </is>
      </c>
      <c r="B61" t="inlineStr">
        <is>
          <t>CR9</t>
        </is>
      </c>
      <c r="C61" t="n">
        <v>9</v>
      </c>
    </row>
    <row r="62">
      <c r="A62" t="inlineStr">
        <is>
          <t>RA6</t>
        </is>
      </c>
      <c r="B62" t="inlineStr">
        <is>
          <t>CR10</t>
        </is>
      </c>
      <c r="C62" t="n">
        <v>10</v>
      </c>
    </row>
    <row r="63">
      <c r="A63" t="inlineStr">
        <is>
          <t>RA7</t>
        </is>
      </c>
      <c r="B63" t="inlineStr">
        <is>
          <t>CR1</t>
        </is>
      </c>
      <c r="C63" t="n">
        <v>1</v>
      </c>
    </row>
    <row r="64">
      <c r="A64" t="inlineStr">
        <is>
          <t>RA7</t>
        </is>
      </c>
      <c r="B64" t="inlineStr">
        <is>
          <t>CR2</t>
        </is>
      </c>
      <c r="C64" t="n">
        <v>2</v>
      </c>
    </row>
    <row r="65">
      <c r="A65" t="inlineStr">
        <is>
          <t>RA7</t>
        </is>
      </c>
      <c r="B65" t="inlineStr">
        <is>
          <t>CR3</t>
        </is>
      </c>
      <c r="C65" t="n">
        <v>3</v>
      </c>
    </row>
    <row r="66">
      <c r="A66" t="inlineStr">
        <is>
          <t>RA7</t>
        </is>
      </c>
      <c r="B66" t="inlineStr">
        <is>
          <t>CR4</t>
        </is>
      </c>
      <c r="C66" t="n">
        <v>4</v>
      </c>
    </row>
    <row r="67">
      <c r="A67" t="inlineStr">
        <is>
          <t>RA7</t>
        </is>
      </c>
      <c r="B67" t="inlineStr">
        <is>
          <t>CR5</t>
        </is>
      </c>
      <c r="C67" t="n">
        <v>5</v>
      </c>
    </row>
    <row r="68">
      <c r="A68" t="inlineStr">
        <is>
          <t>RA7</t>
        </is>
      </c>
      <c r="B68" t="inlineStr">
        <is>
          <t>CR6</t>
        </is>
      </c>
      <c r="C68" t="n">
        <v>6</v>
      </c>
    </row>
    <row r="69">
      <c r="A69" t="inlineStr">
        <is>
          <t>RA7</t>
        </is>
      </c>
      <c r="B69" t="inlineStr">
        <is>
          <t>CR7</t>
        </is>
      </c>
      <c r="C69" t="n">
        <v>7</v>
      </c>
    </row>
    <row r="70">
      <c r="A70" t="inlineStr">
        <is>
          <t>RA7</t>
        </is>
      </c>
      <c r="B70" t="inlineStr">
        <is>
          <t>CR8</t>
        </is>
      </c>
      <c r="C70" t="n">
        <v>8</v>
      </c>
    </row>
    <row r="71">
      <c r="A71" t="inlineStr">
        <is>
          <t>RA7</t>
        </is>
      </c>
      <c r="B71" t="inlineStr">
        <is>
          <t>CR9</t>
        </is>
      </c>
      <c r="C71" t="n">
        <v>9</v>
      </c>
    </row>
    <row r="72">
      <c r="A72" t="inlineStr">
        <is>
          <t>RA8</t>
        </is>
      </c>
      <c r="B72" t="inlineStr">
        <is>
          <t>CR1</t>
        </is>
      </c>
      <c r="C72" t="n">
        <v>1</v>
      </c>
    </row>
    <row r="73">
      <c r="A73" t="inlineStr">
        <is>
          <t>RA8</t>
        </is>
      </c>
      <c r="B73" t="inlineStr">
        <is>
          <t>CR2</t>
        </is>
      </c>
      <c r="C73" t="n">
        <v>2</v>
      </c>
    </row>
    <row r="74">
      <c r="A74" t="inlineStr">
        <is>
          <t>RA8</t>
        </is>
      </c>
      <c r="B74" t="inlineStr">
        <is>
          <t>CR3</t>
        </is>
      </c>
      <c r="C74" t="n">
        <v>3</v>
      </c>
    </row>
    <row r="75">
      <c r="A75" t="inlineStr">
        <is>
          <t>RA8</t>
        </is>
      </c>
      <c r="B75" t="inlineStr">
        <is>
          <t>CR4</t>
        </is>
      </c>
      <c r="C75" t="n">
        <v>4</v>
      </c>
    </row>
    <row r="76">
      <c r="A76" t="inlineStr">
        <is>
          <t>RA8</t>
        </is>
      </c>
      <c r="B76" t="inlineStr">
        <is>
          <t>CR5</t>
        </is>
      </c>
      <c r="C76" t="n">
        <v>5</v>
      </c>
    </row>
    <row r="77">
      <c r="A77" t="inlineStr">
        <is>
          <t>RA8</t>
        </is>
      </c>
      <c r="B77" t="inlineStr">
        <is>
          <t>CR6</t>
        </is>
      </c>
      <c r="C77" t="n">
        <v>6</v>
      </c>
    </row>
    <row r="78">
      <c r="A78" t="inlineStr">
        <is>
          <t>RA8</t>
        </is>
      </c>
      <c r="B78" t="inlineStr">
        <is>
          <t>CR7</t>
        </is>
      </c>
      <c r="C78" t="n">
        <v>7</v>
      </c>
    </row>
    <row r="79">
      <c r="A79" t="inlineStr">
        <is>
          <t>RA8</t>
        </is>
      </c>
      <c r="B79" t="inlineStr">
        <is>
          <t>CR8</t>
        </is>
      </c>
      <c r="C79" t="n">
        <v>8</v>
      </c>
    </row>
    <row r="80">
      <c r="A80" t="inlineStr">
        <is>
          <t>RA8</t>
        </is>
      </c>
      <c r="B80" t="inlineStr">
        <is>
          <t>CR9</t>
        </is>
      </c>
      <c r="C80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id_ut</t>
        </is>
      </c>
      <c r="B1" s="351" t="inlineStr">
        <is>
          <t>id_ra</t>
        </is>
      </c>
      <c r="C1" s="351" t="inlineStr">
        <is>
          <t>ces</t>
        </is>
      </c>
      <c r="D1" s="351" t="inlineStr">
        <is>
          <t>n_ces</t>
        </is>
      </c>
      <c r="E1" s="351" t="inlineStr">
        <is>
          <t>horas_ut</t>
        </is>
      </c>
      <c r="F1" s="351" t="inlineStr">
        <is>
          <t>pond_ut_pct</t>
        </is>
      </c>
      <c r="G1" s="351" t="inlineStr">
        <is>
          <t>h_ra_en_ut</t>
        </is>
      </c>
    </row>
    <row r="2">
      <c r="A2" t="inlineStr">
        <is>
          <t>UT1</t>
        </is>
      </c>
      <c r="B2" t="inlineStr">
        <is>
          <t>RA1</t>
        </is>
      </c>
      <c r="C2" t="inlineStr">
        <is>
          <t>CR1, CR2, CR3, CR4, CR5, CR6, CR7, CR8</t>
        </is>
      </c>
      <c r="D2" t="n">
        <v>8</v>
      </c>
      <c r="E2" t="n">
        <v>30</v>
      </c>
      <c r="F2" t="n">
        <v>16.13</v>
      </c>
      <c r="G2" t="n">
        <v>24</v>
      </c>
    </row>
    <row r="3">
      <c r="A3" t="inlineStr">
        <is>
          <t>UT1</t>
        </is>
      </c>
      <c r="B3" t="inlineStr">
        <is>
          <t>RA2</t>
        </is>
      </c>
      <c r="C3" t="inlineStr">
        <is>
          <t>CR7, CR8</t>
        </is>
      </c>
      <c r="D3" t="n">
        <v>2</v>
      </c>
      <c r="E3" t="n">
        <v>30</v>
      </c>
      <c r="F3" t="n">
        <v>16.13</v>
      </c>
      <c r="G3" t="n">
        <v>6</v>
      </c>
    </row>
    <row r="4">
      <c r="A4" t="inlineStr">
        <is>
          <t>UT2</t>
        </is>
      </c>
      <c r="B4" t="inlineStr">
        <is>
          <t>RA2</t>
        </is>
      </c>
      <c r="C4" t="inlineStr">
        <is>
          <t>CR1, CR2, CR3, CR4, CR5, CR6, CR10, CR11, CR12, CR13, CR14, CR16, CR17, CR19</t>
        </is>
      </c>
      <c r="D4" t="n">
        <v>14</v>
      </c>
      <c r="E4" t="n">
        <v>25</v>
      </c>
      <c r="F4" t="n">
        <v>13.44</v>
      </c>
      <c r="G4" t="n">
        <v>23.33</v>
      </c>
    </row>
    <row r="5">
      <c r="A5" t="inlineStr">
        <is>
          <t>UT2</t>
        </is>
      </c>
      <c r="B5" t="inlineStr">
        <is>
          <t>RA7</t>
        </is>
      </c>
      <c r="C5" t="inlineStr">
        <is>
          <t>CR1</t>
        </is>
      </c>
      <c r="D5" t="n">
        <v>1</v>
      </c>
      <c r="E5" t="n">
        <v>25</v>
      </c>
      <c r="F5" t="n">
        <v>13.44</v>
      </c>
      <c r="G5" t="n">
        <v>1.67</v>
      </c>
    </row>
    <row r="6">
      <c r="A6" t="inlineStr">
        <is>
          <t>UT3</t>
        </is>
      </c>
      <c r="B6" t="inlineStr">
        <is>
          <t>RA3</t>
        </is>
      </c>
      <c r="C6" t="inlineStr">
        <is>
          <t>CR1, CR2, CR3, CR4, CR5, CR6, CR7, CR8</t>
        </is>
      </c>
      <c r="D6" t="n">
        <v>8</v>
      </c>
      <c r="E6" t="n">
        <v>22</v>
      </c>
      <c r="F6" t="n">
        <v>11.83</v>
      </c>
      <c r="G6" t="n">
        <v>16</v>
      </c>
    </row>
    <row r="7">
      <c r="A7" t="inlineStr">
        <is>
          <t>UT3</t>
        </is>
      </c>
      <c r="B7" t="inlineStr">
        <is>
          <t>RA2</t>
        </is>
      </c>
      <c r="C7" t="inlineStr">
        <is>
          <t>CR9, CR15, CR18</t>
        </is>
      </c>
      <c r="D7" t="n">
        <v>3</v>
      </c>
      <c r="E7" t="n">
        <v>22</v>
      </c>
      <c r="F7" t="n">
        <v>11.83</v>
      </c>
      <c r="G7" t="n">
        <v>6</v>
      </c>
    </row>
    <row r="8">
      <c r="A8" t="inlineStr">
        <is>
          <t>UT4</t>
        </is>
      </c>
      <c r="B8" t="inlineStr">
        <is>
          <t>RA4</t>
        </is>
      </c>
      <c r="C8" t="inlineStr">
        <is>
          <t>CR1, CR2, CR3, CR4, CR5, CR6, CR7, CR8</t>
        </is>
      </c>
      <c r="D8" t="n">
        <v>8</v>
      </c>
      <c r="E8" t="n">
        <v>30</v>
      </c>
      <c r="F8" t="n">
        <v>16.13</v>
      </c>
      <c r="G8" t="n">
        <v>30</v>
      </c>
    </row>
    <row r="9">
      <c r="A9" t="inlineStr">
        <is>
          <t>UT5</t>
        </is>
      </c>
      <c r="B9" t="inlineStr">
        <is>
          <t>RA5</t>
        </is>
      </c>
      <c r="C9" t="inlineStr">
        <is>
          <t>CR1, CR2, CR3, CR4, CR5, CR6, CR7</t>
        </is>
      </c>
      <c r="D9" t="n">
        <v>7</v>
      </c>
      <c r="E9" t="n">
        <v>25</v>
      </c>
      <c r="F9" t="n">
        <v>13.44</v>
      </c>
      <c r="G9" t="n">
        <v>21.88</v>
      </c>
    </row>
    <row r="10">
      <c r="A10" t="inlineStr">
        <is>
          <t>UT5</t>
        </is>
      </c>
      <c r="B10" t="inlineStr">
        <is>
          <t>RA7</t>
        </is>
      </c>
      <c r="C10" t="inlineStr">
        <is>
          <t>CR1</t>
        </is>
      </c>
      <c r="D10" t="n">
        <v>1</v>
      </c>
      <c r="E10" t="n">
        <v>25</v>
      </c>
      <c r="F10" t="n">
        <v>13.44</v>
      </c>
      <c r="G10" t="n">
        <v>3.12</v>
      </c>
    </row>
    <row r="11">
      <c r="A11" t="inlineStr">
        <is>
          <t>UT6</t>
        </is>
      </c>
      <c r="B11" t="inlineStr">
        <is>
          <t>RA6</t>
        </is>
      </c>
      <c r="C11" t="inlineStr">
        <is>
          <t>CR1, CR2, CR3, CR4, CR5, CR6, CR7, CR8, CR9, CR10</t>
        </is>
      </c>
      <c r="D11" t="n">
        <v>10</v>
      </c>
      <c r="E11" t="n">
        <v>22</v>
      </c>
      <c r="F11" t="n">
        <v>11.83</v>
      </c>
      <c r="G11" t="n">
        <v>22</v>
      </c>
    </row>
    <row r="12">
      <c r="A12" t="inlineStr">
        <is>
          <t>UT7</t>
        </is>
      </c>
      <c r="B12" t="inlineStr">
        <is>
          <t>RA7</t>
        </is>
      </c>
      <c r="C12" t="inlineStr">
        <is>
          <t>CR1, CR2, CR3, CR4, CR5, CR6, CR7, CR8, CR9</t>
        </is>
      </c>
      <c r="D12" t="n">
        <v>9</v>
      </c>
      <c r="E12" t="n">
        <v>22</v>
      </c>
      <c r="F12" t="n">
        <v>11.83</v>
      </c>
      <c r="G12" t="n">
        <v>19.8</v>
      </c>
    </row>
    <row r="13">
      <c r="A13" t="inlineStr">
        <is>
          <t>UT7</t>
        </is>
      </c>
      <c r="B13" t="inlineStr">
        <is>
          <t>RA5</t>
        </is>
      </c>
      <c r="C13" t="inlineStr">
        <is>
          <t>CR8</t>
        </is>
      </c>
      <c r="D13" t="n">
        <v>1</v>
      </c>
      <c r="E13" t="n">
        <v>22</v>
      </c>
      <c r="F13" t="n">
        <v>11.83</v>
      </c>
      <c r="G13" t="n">
        <v>2.2</v>
      </c>
    </row>
    <row r="14">
      <c r="A14" t="inlineStr">
        <is>
          <t>UT8</t>
        </is>
      </c>
      <c r="B14" t="inlineStr">
        <is>
          <t>RA8</t>
        </is>
      </c>
      <c r="C14" t="inlineStr">
        <is>
          <t>CR1, CR2, CR3, CR4, CR5, CR6, CR7, CR8, CR9</t>
        </is>
      </c>
      <c r="D14" t="n">
        <v>9</v>
      </c>
      <c r="E14" t="n">
        <v>10</v>
      </c>
      <c r="F14" t="n">
        <v>5.38</v>
      </c>
      <c r="G14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id_actividad</t>
        </is>
      </c>
      <c r="B1" s="351" t="inlineStr">
        <is>
          <t>id_ut</t>
        </is>
      </c>
      <c r="C1" s="351" t="inlineStr">
        <is>
          <t>id_ra</t>
        </is>
      </c>
      <c r="D1" s="351" t="inlineStr">
        <is>
          <t>evaluacion</t>
        </is>
      </c>
      <c r="E1" s="351" t="inlineStr">
        <is>
          <t>n_ces</t>
        </is>
      </c>
      <c r="F1" s="351" t="inlineStr">
        <is>
          <t>ces</t>
        </is>
      </c>
      <c r="G1" s="351" t="inlineStr">
        <is>
          <t>descripcion</t>
        </is>
      </c>
      <c r="H1" s="351" t="inlineStr">
        <is>
          <t>tipo</t>
        </is>
      </c>
    </row>
    <row r="2">
      <c r="A2" t="inlineStr">
        <is>
          <t>A001</t>
        </is>
      </c>
      <c r="B2" t="inlineStr">
        <is>
          <t>UT1</t>
        </is>
      </c>
      <c r="C2" t="inlineStr">
        <is>
          <t>RA1</t>
        </is>
      </c>
      <c r="D2" t="n">
        <v>1</v>
      </c>
      <c r="E2" t="n">
        <v>8</v>
      </c>
      <c r="F2" t="inlineStr">
        <is>
          <t>CR1, CR2, CR3, CR4, CR5, CR6, CR7, CR8</t>
        </is>
      </c>
      <c r="G2" t="inlineStr">
        <is>
          <t>Instalación de software libre y propietario — práctica RA1</t>
        </is>
      </c>
      <c r="H2" t="inlineStr">
        <is>
          <t>Práctica</t>
        </is>
      </c>
    </row>
    <row r="3">
      <c r="A3" t="inlineStr">
        <is>
          <t>A002</t>
        </is>
      </c>
      <c r="B3" t="inlineStr">
        <is>
          <t>UT1</t>
        </is>
      </c>
      <c r="C3" t="inlineStr">
        <is>
          <t>RA2</t>
        </is>
      </c>
      <c r="D3" t="n">
        <v>1</v>
      </c>
      <c r="E3" t="n">
        <v>2</v>
      </c>
      <c r="F3" t="inlineStr">
        <is>
          <t>CR7, CR8</t>
        </is>
      </c>
      <c r="G3" t="inlineStr">
        <is>
          <t>Instalación de software libre y propietario — práctica RA2</t>
        </is>
      </c>
      <c r="H3" t="inlineStr">
        <is>
          <t>Práctica</t>
        </is>
      </c>
    </row>
    <row r="4">
      <c r="A4" t="inlineStr">
        <is>
          <t>A003</t>
        </is>
      </c>
      <c r="B4" t="inlineStr">
        <is>
          <t>UT2</t>
        </is>
      </c>
      <c r="C4" t="inlineStr">
        <is>
          <t>RA2</t>
        </is>
      </c>
      <c r="D4" t="n">
        <v>1</v>
      </c>
      <c r="E4" t="n">
        <v>14</v>
      </c>
      <c r="F4" t="inlineStr">
        <is>
          <t>CR1, CR2, CR3, CR4, CR5, CR6, CR10, CR11, CR12, CR13, CR14, CR16, CR17, CR19</t>
        </is>
      </c>
      <c r="G4" t="inlineStr">
        <is>
          <t>Administración de software base — práctica RA2</t>
        </is>
      </c>
      <c r="H4" t="inlineStr">
        <is>
          <t>Práctica</t>
        </is>
      </c>
    </row>
    <row r="5">
      <c r="A5" t="inlineStr">
        <is>
          <t>A004</t>
        </is>
      </c>
      <c r="B5" t="inlineStr">
        <is>
          <t>UT3</t>
        </is>
      </c>
      <c r="C5" t="inlineStr">
        <is>
          <t>RA3</t>
        </is>
      </c>
      <c r="D5" t="n">
        <v>2</v>
      </c>
      <c r="E5" t="n">
        <v>8</v>
      </c>
      <c r="F5" t="inlineStr">
        <is>
          <t>CR1, CR2, CR3, CR4, CR5, CR6, CR7, CR8</t>
        </is>
      </c>
      <c r="G5" t="inlineStr">
        <is>
          <t>Administración y aseguramiento de la información — práctica RA3</t>
        </is>
      </c>
      <c r="H5" t="inlineStr">
        <is>
          <t>Práctica</t>
        </is>
      </c>
    </row>
    <row r="6">
      <c r="A6" t="inlineStr">
        <is>
          <t>A005</t>
        </is>
      </c>
      <c r="B6" t="inlineStr">
        <is>
          <t>UT4</t>
        </is>
      </c>
      <c r="C6" t="inlineStr">
        <is>
          <t>RA4</t>
        </is>
      </c>
      <c r="D6" t="n">
        <v>2</v>
      </c>
      <c r="E6" t="n">
        <v>8</v>
      </c>
      <c r="F6" t="inlineStr">
        <is>
          <t>CR1, CR2, CR3, CR4, CR5, CR6, CR7, CR8</t>
        </is>
      </c>
      <c r="G6" t="inlineStr">
        <is>
          <t>Gestión de dominios — práctica RA4</t>
        </is>
      </c>
      <c r="H6" t="inlineStr">
        <is>
          <t>Práctica</t>
        </is>
      </c>
    </row>
    <row r="7">
      <c r="A7" t="inlineStr">
        <is>
          <t>A006</t>
        </is>
      </c>
      <c r="B7" t="inlineStr">
        <is>
          <t>UT5</t>
        </is>
      </c>
      <c r="C7" t="inlineStr">
        <is>
          <t>RA5</t>
        </is>
      </c>
      <c r="D7" t="n">
        <v>2</v>
      </c>
      <c r="E7" t="n">
        <v>7</v>
      </c>
      <c r="F7" t="inlineStr">
        <is>
          <t>CR1, CR2, CR3, CR4, CR5, CR6, CR7</t>
        </is>
      </c>
      <c r="G7" t="inlineStr">
        <is>
          <t>Administración de acceso al dominio — práctica RA5</t>
        </is>
      </c>
      <c r="H7" t="inlineStr">
        <is>
          <t>Práctica</t>
        </is>
      </c>
    </row>
    <row r="8">
      <c r="A8" t="inlineStr">
        <is>
          <t>A007</t>
        </is>
      </c>
      <c r="B8" t="inlineStr">
        <is>
          <t>UT6</t>
        </is>
      </c>
      <c r="C8" t="inlineStr">
        <is>
          <t>RA6</t>
        </is>
      </c>
      <c r="D8" t="n">
        <v>3</v>
      </c>
      <c r="E8" t="n">
        <v>10</v>
      </c>
      <c r="F8" t="inlineStr">
        <is>
          <t>CR1, CR2, CR3, CR4, CR5, CR6, CR7, CR8, CR9, CR10</t>
        </is>
      </c>
      <c r="G8" t="inlineStr">
        <is>
          <t>Supervisión del rendimiento del sistema — práctica RA6</t>
        </is>
      </c>
      <c r="H8" t="inlineStr">
        <is>
          <t>Práctica</t>
        </is>
      </c>
    </row>
    <row r="9">
      <c r="A9" t="inlineStr">
        <is>
          <t>A008</t>
        </is>
      </c>
      <c r="B9" t="inlineStr">
        <is>
          <t>UT7</t>
        </is>
      </c>
      <c r="C9" t="inlineStr">
        <is>
          <t>RA7</t>
        </is>
      </c>
      <c r="D9" t="n">
        <v>3</v>
      </c>
      <c r="E9" t="n">
        <v>9</v>
      </c>
      <c r="F9" t="inlineStr">
        <is>
          <t>CR1, CR2, CR3, CR4, CR5, CR6, CR7, CR8, CR9</t>
        </is>
      </c>
      <c r="G9" t="inlineStr">
        <is>
          <t>Directivas de seguridad y auditorías — práctica RA7</t>
        </is>
      </c>
      <c r="H9" t="inlineStr">
        <is>
          <t>Práctica</t>
        </is>
      </c>
    </row>
    <row r="10">
      <c r="A10" t="inlineStr">
        <is>
          <t>A009</t>
        </is>
      </c>
      <c r="B10" t="inlineStr">
        <is>
          <t>UT8</t>
        </is>
      </c>
      <c r="C10" t="inlineStr">
        <is>
          <t>RA8</t>
        </is>
      </c>
      <c r="D10" t="n">
        <v>3</v>
      </c>
      <c r="E10" t="n">
        <v>9</v>
      </c>
      <c r="F10" t="inlineStr">
        <is>
          <t>CR1, CR2, CR3, CR4, CR5, CR6, CR7, CR8, CR9</t>
        </is>
      </c>
      <c r="G10" t="inlineStr">
        <is>
          <t>Resolución de incidencias y asistencia técnica — práctica RA8</t>
        </is>
      </c>
      <c r="H10" t="inlineStr">
        <is>
          <t>Práctica</t>
        </is>
      </c>
    </row>
    <row r="11">
      <c r="A11" t="inlineStr">
        <is>
          <t>EX1</t>
        </is>
      </c>
      <c r="D11" t="n">
        <v>1</v>
      </c>
      <c r="E11" t="n">
        <v>0</v>
      </c>
      <c r="G11" t="inlineStr">
        <is>
          <t>Examen Evaluación 1</t>
        </is>
      </c>
      <c r="H11" t="inlineStr">
        <is>
          <t>Examen</t>
        </is>
      </c>
    </row>
    <row r="12">
      <c r="A12" t="inlineStr">
        <is>
          <t>EX2</t>
        </is>
      </c>
      <c r="D12" t="n">
        <v>2</v>
      </c>
      <c r="E12" t="n">
        <v>0</v>
      </c>
      <c r="G12" t="inlineStr">
        <is>
          <t>Examen Evaluación 2</t>
        </is>
      </c>
      <c r="H12" t="inlineStr">
        <is>
          <t>Examen</t>
        </is>
      </c>
    </row>
    <row r="13">
      <c r="A13" t="inlineStr">
        <is>
          <t>EX3</t>
        </is>
      </c>
      <c r="D13" t="n">
        <v>3</v>
      </c>
      <c r="E13" t="n">
        <v>0</v>
      </c>
      <c r="G13" t="inlineStr">
        <is>
          <t>Examen Evaluación 3</t>
        </is>
      </c>
      <c r="H13" t="inlineStr">
        <is>
          <t>Examen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id_alumno</t>
        </is>
      </c>
      <c r="B1" s="351" t="inlineStr">
        <is>
          <t>apellidos</t>
        </is>
      </c>
      <c r="C1" s="351" t="inlineStr">
        <is>
          <t>nombre</t>
        </is>
      </c>
      <c r="D1" s="351" t="inlineStr">
        <is>
          <t>nia_expediente</t>
        </is>
      </c>
      <c r="E1" s="351" t="inlineStr">
        <is>
          <t>fecha_nacimiento</t>
        </is>
      </c>
      <c r="F1" s="351" t="inlineStr">
        <is>
          <t>email</t>
        </is>
      </c>
      <c r="G1" s="351" t="inlineStr">
        <is>
          <t>telefono</t>
        </is>
      </c>
      <c r="H1" s="351" t="inlineStr">
        <is>
          <t>observaciones</t>
        </is>
      </c>
      <c r="I1" s="351" t="inlineStr">
        <is>
          <t>estado</t>
        </is>
      </c>
    </row>
    <row r="2">
      <c r="A2" t="n">
        <v>1</v>
      </c>
      <c r="B2">
        <f>IFERROR('ISO · Alumnos'!C10,"")</f>
        <v/>
      </c>
      <c r="C2">
        <f>IFERROR('ISO · Alumnos'!D10,"")</f>
        <v/>
      </c>
      <c r="D2">
        <f>IFERROR('ISO · Alumnos'!E10,"")</f>
        <v/>
      </c>
      <c r="E2">
        <f>IFERROR('ISO · Alumnos'!F10,"")</f>
        <v/>
      </c>
      <c r="F2">
        <f>IFERROR('ISO · Alumnos'!G10,"")</f>
        <v/>
      </c>
      <c r="G2">
        <f>IFERROR('ISO · Alumnos'!H10,"")</f>
        <v/>
      </c>
      <c r="H2">
        <f>IFERROR('ISO · Alumnos'!I10,"")</f>
        <v/>
      </c>
      <c r="I2">
        <f>IFERROR('ISO · Alumnos'!J10,"")</f>
        <v/>
      </c>
    </row>
    <row r="3">
      <c r="A3" t="n">
        <v>2</v>
      </c>
      <c r="B3">
        <f>IFERROR('ISO · Alumnos'!C11,"")</f>
        <v/>
      </c>
      <c r="C3">
        <f>IFERROR('ISO · Alumnos'!D11,"")</f>
        <v/>
      </c>
      <c r="D3">
        <f>IFERROR('ISO · Alumnos'!E11,"")</f>
        <v/>
      </c>
      <c r="E3">
        <f>IFERROR('ISO · Alumnos'!F11,"")</f>
        <v/>
      </c>
      <c r="F3">
        <f>IFERROR('ISO · Alumnos'!G11,"")</f>
        <v/>
      </c>
      <c r="G3">
        <f>IFERROR('ISO · Alumnos'!H11,"")</f>
        <v/>
      </c>
      <c r="H3">
        <f>IFERROR('ISO · Alumnos'!I11,"")</f>
        <v/>
      </c>
      <c r="I3">
        <f>IFERROR('ISO · Alumnos'!J11,"")</f>
        <v/>
      </c>
    </row>
    <row r="4">
      <c r="A4" t="n">
        <v>3</v>
      </c>
      <c r="B4">
        <f>IFERROR('ISO · Alumnos'!C12,"")</f>
        <v/>
      </c>
      <c r="C4">
        <f>IFERROR('ISO · Alumnos'!D12,"")</f>
        <v/>
      </c>
      <c r="D4">
        <f>IFERROR('ISO · Alumnos'!E12,"")</f>
        <v/>
      </c>
      <c r="E4">
        <f>IFERROR('ISO · Alumnos'!F12,"")</f>
        <v/>
      </c>
      <c r="F4">
        <f>IFERROR('ISO · Alumnos'!G12,"")</f>
        <v/>
      </c>
      <c r="G4">
        <f>IFERROR('ISO · Alumnos'!H12,"")</f>
        <v/>
      </c>
      <c r="H4">
        <f>IFERROR('ISO · Alumnos'!I12,"")</f>
        <v/>
      </c>
      <c r="I4">
        <f>IFERROR('ISO · Alumnos'!J12,"")</f>
        <v/>
      </c>
    </row>
    <row r="5">
      <c r="A5" t="n">
        <v>4</v>
      </c>
      <c r="B5">
        <f>IFERROR('ISO · Alumnos'!C13,"")</f>
        <v/>
      </c>
      <c r="C5">
        <f>IFERROR('ISO · Alumnos'!D13,"")</f>
        <v/>
      </c>
      <c r="D5">
        <f>IFERROR('ISO · Alumnos'!E13,"")</f>
        <v/>
      </c>
      <c r="E5">
        <f>IFERROR('ISO · Alumnos'!F13,"")</f>
        <v/>
      </c>
      <c r="F5">
        <f>IFERROR('ISO · Alumnos'!G13,"")</f>
        <v/>
      </c>
      <c r="G5">
        <f>IFERROR('ISO · Alumnos'!H13,"")</f>
        <v/>
      </c>
      <c r="H5">
        <f>IFERROR('ISO · Alumnos'!I13,"")</f>
        <v/>
      </c>
      <c r="I5">
        <f>IFERROR('ISO · Alumnos'!J13,"")</f>
        <v/>
      </c>
    </row>
    <row r="6">
      <c r="A6" t="n">
        <v>5</v>
      </c>
      <c r="B6">
        <f>IFERROR('ISO · Alumnos'!C14,"")</f>
        <v/>
      </c>
      <c r="C6">
        <f>IFERROR('ISO · Alumnos'!D14,"")</f>
        <v/>
      </c>
      <c r="D6">
        <f>IFERROR('ISO · Alumnos'!E14,"")</f>
        <v/>
      </c>
      <c r="E6">
        <f>IFERROR('ISO · Alumnos'!F14,"")</f>
        <v/>
      </c>
      <c r="F6">
        <f>IFERROR('ISO · Alumnos'!G14,"")</f>
        <v/>
      </c>
      <c r="G6">
        <f>IFERROR('ISO · Alumnos'!H14,"")</f>
        <v/>
      </c>
      <c r="H6">
        <f>IFERROR('ISO · Alumnos'!I14,"")</f>
        <v/>
      </c>
      <c r="I6">
        <f>IFERROR('ISO · Alumnos'!J14,"")</f>
        <v/>
      </c>
    </row>
    <row r="7">
      <c r="A7" t="n">
        <v>6</v>
      </c>
      <c r="B7">
        <f>IFERROR('ISO · Alumnos'!C15,"")</f>
        <v/>
      </c>
      <c r="C7">
        <f>IFERROR('ISO · Alumnos'!D15,"")</f>
        <v/>
      </c>
      <c r="D7">
        <f>IFERROR('ISO · Alumnos'!E15,"")</f>
        <v/>
      </c>
      <c r="E7">
        <f>IFERROR('ISO · Alumnos'!F15,"")</f>
        <v/>
      </c>
      <c r="F7">
        <f>IFERROR('ISO · Alumnos'!G15,"")</f>
        <v/>
      </c>
      <c r="G7">
        <f>IFERROR('ISO · Alumnos'!H15,"")</f>
        <v/>
      </c>
      <c r="H7">
        <f>IFERROR('ISO · Alumnos'!I15,"")</f>
        <v/>
      </c>
      <c r="I7">
        <f>IFERROR('ISO · Alumnos'!J15,"")</f>
        <v/>
      </c>
    </row>
    <row r="8">
      <c r="A8" t="n">
        <v>7</v>
      </c>
      <c r="B8">
        <f>IFERROR('ISO · Alumnos'!C16,"")</f>
        <v/>
      </c>
      <c r="C8">
        <f>IFERROR('ISO · Alumnos'!D16,"")</f>
        <v/>
      </c>
      <c r="D8">
        <f>IFERROR('ISO · Alumnos'!E16,"")</f>
        <v/>
      </c>
      <c r="E8">
        <f>IFERROR('ISO · Alumnos'!F16,"")</f>
        <v/>
      </c>
      <c r="F8">
        <f>IFERROR('ISO · Alumnos'!G16,"")</f>
        <v/>
      </c>
      <c r="G8">
        <f>IFERROR('ISO · Alumnos'!H16,"")</f>
        <v/>
      </c>
      <c r="H8">
        <f>IFERROR('ISO · Alumnos'!I16,"")</f>
        <v/>
      </c>
      <c r="I8">
        <f>IFERROR('ISO · Alumnos'!J16,"")</f>
        <v/>
      </c>
    </row>
    <row r="9">
      <c r="A9" t="n">
        <v>8</v>
      </c>
      <c r="B9">
        <f>IFERROR('ISO · Alumnos'!C17,"")</f>
        <v/>
      </c>
      <c r="C9">
        <f>IFERROR('ISO · Alumnos'!D17,"")</f>
        <v/>
      </c>
      <c r="D9">
        <f>IFERROR('ISO · Alumnos'!E17,"")</f>
        <v/>
      </c>
      <c r="E9">
        <f>IFERROR('ISO · Alumnos'!F17,"")</f>
        <v/>
      </c>
      <c r="F9">
        <f>IFERROR('ISO · Alumnos'!G17,"")</f>
        <v/>
      </c>
      <c r="G9">
        <f>IFERROR('ISO · Alumnos'!H17,"")</f>
        <v/>
      </c>
      <c r="H9">
        <f>IFERROR('ISO · Alumnos'!I17,"")</f>
        <v/>
      </c>
      <c r="I9">
        <f>IFERROR('ISO · Alumnos'!J17,"")</f>
        <v/>
      </c>
    </row>
    <row r="10">
      <c r="A10" t="n">
        <v>9</v>
      </c>
      <c r="B10">
        <f>IFERROR('ISO · Alumnos'!C18,"")</f>
        <v/>
      </c>
      <c r="C10">
        <f>IFERROR('ISO · Alumnos'!D18,"")</f>
        <v/>
      </c>
      <c r="D10">
        <f>IFERROR('ISO · Alumnos'!E18,"")</f>
        <v/>
      </c>
      <c r="E10">
        <f>IFERROR('ISO · Alumnos'!F18,"")</f>
        <v/>
      </c>
      <c r="F10">
        <f>IFERROR('ISO · Alumnos'!G18,"")</f>
        <v/>
      </c>
      <c r="G10">
        <f>IFERROR('ISO · Alumnos'!H18,"")</f>
        <v/>
      </c>
      <c r="H10">
        <f>IFERROR('ISO · Alumnos'!I18,"")</f>
        <v/>
      </c>
      <c r="I10">
        <f>IFERROR('ISO · Alumnos'!J18,"")</f>
        <v/>
      </c>
    </row>
    <row r="11">
      <c r="A11" t="n">
        <v>10</v>
      </c>
      <c r="B11">
        <f>IFERROR('ISO · Alumnos'!C19,"")</f>
        <v/>
      </c>
      <c r="C11">
        <f>IFERROR('ISO · Alumnos'!D19,"")</f>
        <v/>
      </c>
      <c r="D11">
        <f>IFERROR('ISO · Alumnos'!E19,"")</f>
        <v/>
      </c>
      <c r="E11">
        <f>IFERROR('ISO · Alumnos'!F19,"")</f>
        <v/>
      </c>
      <c r="F11">
        <f>IFERROR('ISO · Alumnos'!G19,"")</f>
        <v/>
      </c>
      <c r="G11">
        <f>IFERROR('ISO · Alumnos'!H19,"")</f>
        <v/>
      </c>
      <c r="H11">
        <f>IFERROR('ISO · Alumnos'!I19,"")</f>
        <v/>
      </c>
      <c r="I11">
        <f>IFERROR('ISO · Alumnos'!J19,"")</f>
        <v/>
      </c>
    </row>
    <row r="12">
      <c r="A12" t="n">
        <v>11</v>
      </c>
      <c r="B12">
        <f>IFERROR('ISO · Alumnos'!C20,"")</f>
        <v/>
      </c>
      <c r="C12">
        <f>IFERROR('ISO · Alumnos'!D20,"")</f>
        <v/>
      </c>
      <c r="D12">
        <f>IFERROR('ISO · Alumnos'!E20,"")</f>
        <v/>
      </c>
      <c r="E12">
        <f>IFERROR('ISO · Alumnos'!F20,"")</f>
        <v/>
      </c>
      <c r="F12">
        <f>IFERROR('ISO · Alumnos'!G20,"")</f>
        <v/>
      </c>
      <c r="G12">
        <f>IFERROR('ISO · Alumnos'!H20,"")</f>
        <v/>
      </c>
      <c r="H12">
        <f>IFERROR('ISO · Alumnos'!I20,"")</f>
        <v/>
      </c>
      <c r="I12">
        <f>IFERROR('ISO · Alumnos'!J20,"")</f>
        <v/>
      </c>
    </row>
    <row r="13">
      <c r="A13" t="n">
        <v>12</v>
      </c>
      <c r="B13">
        <f>IFERROR('ISO · Alumnos'!C21,"")</f>
        <v/>
      </c>
      <c r="C13">
        <f>IFERROR('ISO · Alumnos'!D21,"")</f>
        <v/>
      </c>
      <c r="D13">
        <f>IFERROR('ISO · Alumnos'!E21,"")</f>
        <v/>
      </c>
      <c r="E13">
        <f>IFERROR('ISO · Alumnos'!F21,"")</f>
        <v/>
      </c>
      <c r="F13">
        <f>IFERROR('ISO · Alumnos'!G21,"")</f>
        <v/>
      </c>
      <c r="G13">
        <f>IFERROR('ISO · Alumnos'!H21,"")</f>
        <v/>
      </c>
      <c r="H13">
        <f>IFERROR('ISO · Alumnos'!I21,"")</f>
        <v/>
      </c>
      <c r="I13">
        <f>IFERROR('ISO · Alumnos'!J21,"")</f>
        <v/>
      </c>
    </row>
    <row r="14">
      <c r="A14" t="n">
        <v>13</v>
      </c>
      <c r="B14">
        <f>IFERROR('ISO · Alumnos'!C22,"")</f>
        <v/>
      </c>
      <c r="C14">
        <f>IFERROR('ISO · Alumnos'!D22,"")</f>
        <v/>
      </c>
      <c r="D14">
        <f>IFERROR('ISO · Alumnos'!E22,"")</f>
        <v/>
      </c>
      <c r="E14">
        <f>IFERROR('ISO · Alumnos'!F22,"")</f>
        <v/>
      </c>
      <c r="F14">
        <f>IFERROR('ISO · Alumnos'!G22,"")</f>
        <v/>
      </c>
      <c r="G14">
        <f>IFERROR('ISO · Alumnos'!H22,"")</f>
        <v/>
      </c>
      <c r="H14">
        <f>IFERROR('ISO · Alumnos'!I22,"")</f>
        <v/>
      </c>
      <c r="I14">
        <f>IFERROR('ISO · Alumnos'!J22,"")</f>
        <v/>
      </c>
    </row>
    <row r="15">
      <c r="A15" t="n">
        <v>14</v>
      </c>
      <c r="B15">
        <f>IFERROR('ISO · Alumnos'!C23,"")</f>
        <v/>
      </c>
      <c r="C15">
        <f>IFERROR('ISO · Alumnos'!D23,"")</f>
        <v/>
      </c>
      <c r="D15">
        <f>IFERROR('ISO · Alumnos'!E23,"")</f>
        <v/>
      </c>
      <c r="E15">
        <f>IFERROR('ISO · Alumnos'!F23,"")</f>
        <v/>
      </c>
      <c r="F15">
        <f>IFERROR('ISO · Alumnos'!G23,"")</f>
        <v/>
      </c>
      <c r="G15">
        <f>IFERROR('ISO · Alumnos'!H23,"")</f>
        <v/>
      </c>
      <c r="H15">
        <f>IFERROR('ISO · Alumnos'!I23,"")</f>
        <v/>
      </c>
      <c r="I15">
        <f>IFERROR('ISO · Alumnos'!J23,"")</f>
        <v/>
      </c>
    </row>
    <row r="16">
      <c r="A16" t="n">
        <v>15</v>
      </c>
      <c r="B16">
        <f>IFERROR('ISO · Alumnos'!C24,"")</f>
        <v/>
      </c>
      <c r="C16">
        <f>IFERROR('ISO · Alumnos'!D24,"")</f>
        <v/>
      </c>
      <c r="D16">
        <f>IFERROR('ISO · Alumnos'!E24,"")</f>
        <v/>
      </c>
      <c r="E16">
        <f>IFERROR('ISO · Alumnos'!F24,"")</f>
        <v/>
      </c>
      <c r="F16">
        <f>IFERROR('ISO · Alumnos'!G24,"")</f>
        <v/>
      </c>
      <c r="G16">
        <f>IFERROR('ISO · Alumnos'!H24,"")</f>
        <v/>
      </c>
      <c r="H16">
        <f>IFERROR('ISO · Alumnos'!I24,"")</f>
        <v/>
      </c>
      <c r="I16">
        <f>IFERROR('ISO · Alumnos'!J24,"")</f>
        <v/>
      </c>
    </row>
    <row r="17">
      <c r="A17" t="n">
        <v>16</v>
      </c>
      <c r="B17">
        <f>IFERROR('ISO · Alumnos'!C25,"")</f>
        <v/>
      </c>
      <c r="C17">
        <f>IFERROR('ISO · Alumnos'!D25,"")</f>
        <v/>
      </c>
      <c r="D17">
        <f>IFERROR('ISO · Alumnos'!E25,"")</f>
        <v/>
      </c>
      <c r="E17">
        <f>IFERROR('ISO · Alumnos'!F25,"")</f>
        <v/>
      </c>
      <c r="F17">
        <f>IFERROR('ISO · Alumnos'!G25,"")</f>
        <v/>
      </c>
      <c r="G17">
        <f>IFERROR('ISO · Alumnos'!H25,"")</f>
        <v/>
      </c>
      <c r="H17">
        <f>IFERROR('ISO · Alumnos'!I25,"")</f>
        <v/>
      </c>
      <c r="I17">
        <f>IFERROR('ISO · Alumnos'!J25,"")</f>
        <v/>
      </c>
    </row>
    <row r="18">
      <c r="A18" t="n">
        <v>17</v>
      </c>
      <c r="B18">
        <f>IFERROR('ISO · Alumnos'!C26,"")</f>
        <v/>
      </c>
      <c r="C18">
        <f>IFERROR('ISO · Alumnos'!D26,"")</f>
        <v/>
      </c>
      <c r="D18">
        <f>IFERROR('ISO · Alumnos'!E26,"")</f>
        <v/>
      </c>
      <c r="E18">
        <f>IFERROR('ISO · Alumnos'!F26,"")</f>
        <v/>
      </c>
      <c r="F18">
        <f>IFERROR('ISO · Alumnos'!G26,"")</f>
        <v/>
      </c>
      <c r="G18">
        <f>IFERROR('ISO · Alumnos'!H26,"")</f>
        <v/>
      </c>
      <c r="H18">
        <f>IFERROR('ISO · Alumnos'!I26,"")</f>
        <v/>
      </c>
      <c r="I18">
        <f>IFERROR('ISO · Alumnos'!J26,"")</f>
        <v/>
      </c>
    </row>
    <row r="19">
      <c r="A19" t="n">
        <v>18</v>
      </c>
      <c r="B19">
        <f>IFERROR('ISO · Alumnos'!C27,"")</f>
        <v/>
      </c>
      <c r="C19">
        <f>IFERROR('ISO · Alumnos'!D27,"")</f>
        <v/>
      </c>
      <c r="D19">
        <f>IFERROR('ISO · Alumnos'!E27,"")</f>
        <v/>
      </c>
      <c r="E19">
        <f>IFERROR('ISO · Alumnos'!F27,"")</f>
        <v/>
      </c>
      <c r="F19">
        <f>IFERROR('ISO · Alumnos'!G27,"")</f>
        <v/>
      </c>
      <c r="G19">
        <f>IFERROR('ISO · Alumnos'!H27,"")</f>
        <v/>
      </c>
      <c r="H19">
        <f>IFERROR('ISO · Alumnos'!I27,"")</f>
        <v/>
      </c>
      <c r="I19">
        <f>IFERROR('ISO · Alumnos'!J27,"")</f>
        <v/>
      </c>
    </row>
    <row r="20">
      <c r="A20" t="n">
        <v>19</v>
      </c>
      <c r="B20">
        <f>IFERROR('ISO · Alumnos'!C28,"")</f>
        <v/>
      </c>
      <c r="C20">
        <f>IFERROR('ISO · Alumnos'!D28,"")</f>
        <v/>
      </c>
      <c r="D20">
        <f>IFERROR('ISO · Alumnos'!E28,"")</f>
        <v/>
      </c>
      <c r="E20">
        <f>IFERROR('ISO · Alumnos'!F28,"")</f>
        <v/>
      </c>
      <c r="F20">
        <f>IFERROR('ISO · Alumnos'!G28,"")</f>
        <v/>
      </c>
      <c r="G20">
        <f>IFERROR('ISO · Alumnos'!H28,"")</f>
        <v/>
      </c>
      <c r="H20">
        <f>IFERROR('ISO · Alumnos'!I28,"")</f>
        <v/>
      </c>
      <c r="I20">
        <f>IFERROR('ISO · Alumnos'!J28,"")</f>
        <v/>
      </c>
    </row>
    <row r="21">
      <c r="A21" t="n">
        <v>20</v>
      </c>
      <c r="B21">
        <f>IFERROR('ISO · Alumnos'!C29,"")</f>
        <v/>
      </c>
      <c r="C21">
        <f>IFERROR('ISO · Alumnos'!D29,"")</f>
        <v/>
      </c>
      <c r="D21">
        <f>IFERROR('ISO · Alumnos'!E29,"")</f>
        <v/>
      </c>
      <c r="E21">
        <f>IFERROR('ISO · Alumnos'!F29,"")</f>
        <v/>
      </c>
      <c r="F21">
        <f>IFERROR('ISO · Alumnos'!G29,"")</f>
        <v/>
      </c>
      <c r="G21">
        <f>IFERROR('ISO · Alumnos'!H29,"")</f>
        <v/>
      </c>
      <c r="H21">
        <f>IFERROR('ISO · Alumnos'!I29,"")</f>
        <v/>
      </c>
      <c r="I21">
        <f>IFERROR('ISO · Alumnos'!J29,"")</f>
        <v/>
      </c>
    </row>
    <row r="22">
      <c r="A22" t="n">
        <v>21</v>
      </c>
      <c r="B22">
        <f>IFERROR('ISO · Alumnos'!C30,"")</f>
        <v/>
      </c>
      <c r="C22">
        <f>IFERROR('ISO · Alumnos'!D30,"")</f>
        <v/>
      </c>
      <c r="D22">
        <f>IFERROR('ISO · Alumnos'!E30,"")</f>
        <v/>
      </c>
      <c r="E22">
        <f>IFERROR('ISO · Alumnos'!F30,"")</f>
        <v/>
      </c>
      <c r="F22">
        <f>IFERROR('ISO · Alumnos'!G30,"")</f>
        <v/>
      </c>
      <c r="G22">
        <f>IFERROR('ISO · Alumnos'!H30,"")</f>
        <v/>
      </c>
      <c r="H22">
        <f>IFERROR('ISO · Alumnos'!I30,"")</f>
        <v/>
      </c>
      <c r="I22">
        <f>IFERROR('ISO · Alumnos'!J30,"")</f>
        <v/>
      </c>
    </row>
    <row r="23">
      <c r="A23" t="n">
        <v>22</v>
      </c>
      <c r="B23">
        <f>IFERROR('ISO · Alumnos'!C31,"")</f>
        <v/>
      </c>
      <c r="C23">
        <f>IFERROR('ISO · Alumnos'!D31,"")</f>
        <v/>
      </c>
      <c r="D23">
        <f>IFERROR('ISO · Alumnos'!E31,"")</f>
        <v/>
      </c>
      <c r="E23">
        <f>IFERROR('ISO · Alumnos'!F31,"")</f>
        <v/>
      </c>
      <c r="F23">
        <f>IFERROR('ISO · Alumnos'!G31,"")</f>
        <v/>
      </c>
      <c r="G23">
        <f>IFERROR('ISO · Alumnos'!H31,"")</f>
        <v/>
      </c>
      <c r="H23">
        <f>IFERROR('ISO · Alumnos'!I31,"")</f>
        <v/>
      </c>
      <c r="I23">
        <f>IFERROR('ISO · Alumnos'!J31,"")</f>
        <v/>
      </c>
    </row>
    <row r="24">
      <c r="A24" t="n">
        <v>23</v>
      </c>
      <c r="B24">
        <f>IFERROR('ISO · Alumnos'!C32,"")</f>
        <v/>
      </c>
      <c r="C24">
        <f>IFERROR('ISO · Alumnos'!D32,"")</f>
        <v/>
      </c>
      <c r="D24">
        <f>IFERROR('ISO · Alumnos'!E32,"")</f>
        <v/>
      </c>
      <c r="E24">
        <f>IFERROR('ISO · Alumnos'!F32,"")</f>
        <v/>
      </c>
      <c r="F24">
        <f>IFERROR('ISO · Alumnos'!G32,"")</f>
        <v/>
      </c>
      <c r="G24">
        <f>IFERROR('ISO · Alumnos'!H32,"")</f>
        <v/>
      </c>
      <c r="H24">
        <f>IFERROR('ISO · Alumnos'!I32,"")</f>
        <v/>
      </c>
      <c r="I24">
        <f>IFERROR('ISO · Alumnos'!J32,"")</f>
        <v/>
      </c>
    </row>
    <row r="25">
      <c r="A25" t="n">
        <v>24</v>
      </c>
      <c r="B25">
        <f>IFERROR('ISO · Alumnos'!C33,"")</f>
        <v/>
      </c>
      <c r="C25">
        <f>IFERROR('ISO · Alumnos'!D33,"")</f>
        <v/>
      </c>
      <c r="D25">
        <f>IFERROR('ISO · Alumnos'!E33,"")</f>
        <v/>
      </c>
      <c r="E25">
        <f>IFERROR('ISO · Alumnos'!F33,"")</f>
        <v/>
      </c>
      <c r="F25">
        <f>IFERROR('ISO · Alumnos'!G33,"")</f>
        <v/>
      </c>
      <c r="G25">
        <f>IFERROR('ISO · Alumnos'!H33,"")</f>
        <v/>
      </c>
      <c r="H25">
        <f>IFERROR('ISO · Alumnos'!I33,"")</f>
        <v/>
      </c>
      <c r="I25">
        <f>IFERROR('ISO · Alumnos'!J33,"")</f>
        <v/>
      </c>
    </row>
    <row r="26">
      <c r="A26" t="n">
        <v>25</v>
      </c>
      <c r="B26">
        <f>IFERROR('ISO · Alumnos'!C34,"")</f>
        <v/>
      </c>
      <c r="C26">
        <f>IFERROR('ISO · Alumnos'!D34,"")</f>
        <v/>
      </c>
      <c r="D26">
        <f>IFERROR('ISO · Alumnos'!E34,"")</f>
        <v/>
      </c>
      <c r="E26">
        <f>IFERROR('ISO · Alumnos'!F34,"")</f>
        <v/>
      </c>
      <c r="F26">
        <f>IFERROR('ISO · Alumnos'!G34,"")</f>
        <v/>
      </c>
      <c r="G26">
        <f>IFERROR('ISO · Alumnos'!H34,"")</f>
        <v/>
      </c>
      <c r="H26">
        <f>IFERROR('ISO · Alumnos'!I34,"")</f>
        <v/>
      </c>
      <c r="I26">
        <f>IFERROR('ISO · Alumnos'!J34,"")</f>
        <v/>
      </c>
    </row>
    <row r="27">
      <c r="A27" t="n">
        <v>26</v>
      </c>
      <c r="B27">
        <f>IFERROR('ISO · Alumnos'!C35,"")</f>
        <v/>
      </c>
      <c r="C27">
        <f>IFERROR('ISO · Alumnos'!D35,"")</f>
        <v/>
      </c>
      <c r="D27">
        <f>IFERROR('ISO · Alumnos'!E35,"")</f>
        <v/>
      </c>
      <c r="E27">
        <f>IFERROR('ISO · Alumnos'!F35,"")</f>
        <v/>
      </c>
      <c r="F27">
        <f>IFERROR('ISO · Alumnos'!G35,"")</f>
        <v/>
      </c>
      <c r="G27">
        <f>IFERROR('ISO · Alumnos'!H35,"")</f>
        <v/>
      </c>
      <c r="H27">
        <f>IFERROR('ISO · Alumnos'!I35,"")</f>
        <v/>
      </c>
      <c r="I27">
        <f>IFERROR('ISO · Alumnos'!J35,"")</f>
        <v/>
      </c>
    </row>
    <row r="28">
      <c r="A28" t="n">
        <v>27</v>
      </c>
      <c r="B28">
        <f>IFERROR('ISO · Alumnos'!C36,"")</f>
        <v/>
      </c>
      <c r="C28">
        <f>IFERROR('ISO · Alumnos'!D36,"")</f>
        <v/>
      </c>
      <c r="D28">
        <f>IFERROR('ISO · Alumnos'!E36,"")</f>
        <v/>
      </c>
      <c r="E28">
        <f>IFERROR('ISO · Alumnos'!F36,"")</f>
        <v/>
      </c>
      <c r="F28">
        <f>IFERROR('ISO · Alumnos'!G36,"")</f>
        <v/>
      </c>
      <c r="G28">
        <f>IFERROR('ISO · Alumnos'!H36,"")</f>
        <v/>
      </c>
      <c r="H28">
        <f>IFERROR('ISO · Alumnos'!I36,"")</f>
        <v/>
      </c>
      <c r="I28">
        <f>IFERROR('ISO · Alumnos'!J36,"")</f>
        <v/>
      </c>
    </row>
    <row r="29">
      <c r="A29" t="n">
        <v>28</v>
      </c>
      <c r="B29">
        <f>IFERROR('ISO · Alumnos'!C37,"")</f>
        <v/>
      </c>
      <c r="C29">
        <f>IFERROR('ISO · Alumnos'!D37,"")</f>
        <v/>
      </c>
      <c r="D29">
        <f>IFERROR('ISO · Alumnos'!E37,"")</f>
        <v/>
      </c>
      <c r="E29">
        <f>IFERROR('ISO · Alumnos'!F37,"")</f>
        <v/>
      </c>
      <c r="F29">
        <f>IFERROR('ISO · Alumnos'!G37,"")</f>
        <v/>
      </c>
      <c r="G29">
        <f>IFERROR('ISO · Alumnos'!H37,"")</f>
        <v/>
      </c>
      <c r="H29">
        <f>IFERROR('ISO · Alumnos'!I37,"")</f>
        <v/>
      </c>
      <c r="I29">
        <f>IFERROR('ISO · Alumnos'!J37,"")</f>
        <v/>
      </c>
    </row>
    <row r="30">
      <c r="A30" t="n">
        <v>29</v>
      </c>
      <c r="B30">
        <f>IFERROR('ISO · Alumnos'!C38,"")</f>
        <v/>
      </c>
      <c r="C30">
        <f>IFERROR('ISO · Alumnos'!D38,"")</f>
        <v/>
      </c>
      <c r="D30">
        <f>IFERROR('ISO · Alumnos'!E38,"")</f>
        <v/>
      </c>
      <c r="E30">
        <f>IFERROR('ISO · Alumnos'!F38,"")</f>
        <v/>
      </c>
      <c r="F30">
        <f>IFERROR('ISO · Alumnos'!G38,"")</f>
        <v/>
      </c>
      <c r="G30">
        <f>IFERROR('ISO · Alumnos'!H38,"")</f>
        <v/>
      </c>
      <c r="H30">
        <f>IFERROR('ISO · Alumnos'!I38,"")</f>
        <v/>
      </c>
      <c r="I30">
        <f>IFERROR('ISO · Alumnos'!J38,"")</f>
        <v/>
      </c>
    </row>
    <row r="31">
      <c r="A31" t="n">
        <v>30</v>
      </c>
      <c r="B31">
        <f>IFERROR('ISO · Alumnos'!C39,"")</f>
        <v/>
      </c>
      <c r="C31">
        <f>IFERROR('ISO · Alumnos'!D39,"")</f>
        <v/>
      </c>
      <c r="D31">
        <f>IFERROR('ISO · Alumnos'!E39,"")</f>
        <v/>
      </c>
      <c r="E31">
        <f>IFERROR('ISO · Alumnos'!F39,"")</f>
        <v/>
      </c>
      <c r="F31">
        <f>IFERROR('ISO · Alumnos'!G39,"")</f>
        <v/>
      </c>
      <c r="G31">
        <f>IFERROR('ISO · Alumnos'!H39,"")</f>
        <v/>
      </c>
      <c r="H31">
        <f>IFERROR('ISO · Alumnos'!I39,"")</f>
        <v/>
      </c>
      <c r="I31">
        <f>IFERROR('ISO · Alumnos'!J39,"")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id_grupo</t>
        </is>
      </c>
      <c r="B1" s="351" t="inlineStr">
        <is>
          <t>nombre_grupo</t>
        </is>
      </c>
      <c r="C1" s="351" t="inlineStr">
        <is>
          <t>modulo_codigo</t>
        </is>
      </c>
      <c r="D1" s="351" t="inlineStr">
        <is>
          <t>modulo_nombre</t>
        </is>
      </c>
      <c r="E1" s="351" t="inlineStr">
        <is>
          <t>curso_academico</t>
        </is>
      </c>
      <c r="F1" s="351" t="inlineStr">
        <is>
          <t>horas_semanales</t>
        </is>
      </c>
      <c r="G1" s="351" t="inlineStr">
        <is>
          <t>horas_totales</t>
        </is>
      </c>
      <c r="H1" s="351" t="inlineStr">
        <is>
          <t>profesor</t>
        </is>
      </c>
      <c r="I1" s="351" t="inlineStr">
        <is>
          <t>aula</t>
        </is>
      </c>
    </row>
    <row r="2">
      <c r="A2" t="inlineStr">
        <is>
          <t>GR01</t>
        </is>
      </c>
      <c r="B2" t="inlineStr">
        <is>
          <t>1º ASIR — ISO</t>
        </is>
      </c>
      <c r="C2" t="inlineStr">
        <is>
          <t>0369</t>
        </is>
      </c>
      <c r="D2" t="inlineStr">
        <is>
          <t>Implantación de Sistemas Operativos</t>
        </is>
      </c>
      <c r="E2" t="inlineStr">
        <is>
          <t>2026-2027</t>
        </is>
      </c>
      <c r="F2" t="n">
        <v>6</v>
      </c>
      <c r="G2" t="n">
        <v>186</v>
      </c>
      <c r="H2">
        <f>IFERROR(Configuración!C11,"")</f>
        <v/>
      </c>
      <c r="I2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id_alumno</t>
        </is>
      </c>
      <c r="B1" s="351" t="inlineStr">
        <is>
          <t>id_actividad</t>
        </is>
      </c>
      <c r="C1" s="351" t="inlineStr">
        <is>
          <t>id_ut</t>
        </is>
      </c>
      <c r="D1" s="351" t="inlineStr">
        <is>
          <t>id_ra</t>
        </is>
      </c>
      <c r="E1" s="351" t="inlineStr">
        <is>
          <t>nota</t>
        </is>
      </c>
      <c r="F1" s="351" t="inlineStr">
        <is>
          <t>fecha_calificacion</t>
        </is>
      </c>
      <c r="G1" s="351" t="inlineStr">
        <is>
          <t>convocatoria</t>
        </is>
      </c>
      <c r="H1" s="351" t="inlineStr">
        <is>
          <t>observaciones</t>
        </is>
      </c>
    </row>
    <row r="2">
      <c r="A2" t="inlineStr">
        <is>
          <t>← Esta tabla se poblará automáticamente en Sprint 9 (Dashboard)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id_alumno</t>
        </is>
      </c>
      <c r="B1" s="351" t="inlineStr">
        <is>
          <t>evaluacion</t>
        </is>
      </c>
      <c r="C1" s="351" t="inlineStr">
        <is>
          <t>nota_eval</t>
        </is>
      </c>
      <c r="D1" s="351" t="inlineStr">
        <is>
          <t>resultado</t>
        </is>
      </c>
      <c r="E1" s="351" t="inlineStr">
        <is>
          <t>fecha_cierre</t>
        </is>
      </c>
      <c r="F1" s="351" t="inlineStr">
        <is>
          <t>observaciones</t>
        </is>
      </c>
    </row>
    <row r="2">
      <c r="A2" t="n">
        <v>1</v>
      </c>
      <c r="B2" t="n">
        <v>1</v>
      </c>
      <c r="C2">
        <f>IFERROR('ISO · Evaluación 1'!H11,"")</f>
        <v/>
      </c>
      <c r="D2">
        <f>IFERROR('ISO · Evaluación 1'!I11,"")</f>
        <v/>
      </c>
      <c r="E2"/>
      <c r="F2"/>
    </row>
    <row r="3">
      <c r="A3" t="n">
        <v>1</v>
      </c>
      <c r="B3" t="n">
        <v>2</v>
      </c>
      <c r="C3">
        <f>IFERROR('ISO · Evaluación 2'!J11,"")</f>
        <v/>
      </c>
      <c r="D3">
        <f>IFERROR('ISO · Evaluación 2'!K11,"")</f>
        <v/>
      </c>
      <c r="E3"/>
      <c r="F3"/>
    </row>
    <row r="4">
      <c r="A4" t="n">
        <v>1</v>
      </c>
      <c r="B4" t="n">
        <v>3</v>
      </c>
      <c r="C4">
        <f>IFERROR('ISO · Evaluación 3'!J11,"")</f>
        <v/>
      </c>
      <c r="D4">
        <f>IFERROR('ISO · Evaluación 3'!K11,"")</f>
        <v/>
      </c>
      <c r="E4"/>
      <c r="F4"/>
    </row>
    <row r="5">
      <c r="A5" t="n">
        <v>2</v>
      </c>
      <c r="B5" t="n">
        <v>1</v>
      </c>
      <c r="C5">
        <f>IFERROR('ISO · Evaluación 1'!H12,"")</f>
        <v/>
      </c>
      <c r="D5">
        <f>IFERROR('ISO · Evaluación 1'!I12,"")</f>
        <v/>
      </c>
      <c r="E5"/>
      <c r="F5"/>
    </row>
    <row r="6">
      <c r="A6" t="n">
        <v>2</v>
      </c>
      <c r="B6" t="n">
        <v>2</v>
      </c>
      <c r="C6">
        <f>IFERROR('ISO · Evaluación 2'!J12,"")</f>
        <v/>
      </c>
      <c r="D6">
        <f>IFERROR('ISO · Evaluación 2'!K12,"")</f>
        <v/>
      </c>
      <c r="E6"/>
      <c r="F6"/>
    </row>
    <row r="7">
      <c r="A7" t="n">
        <v>2</v>
      </c>
      <c r="B7" t="n">
        <v>3</v>
      </c>
      <c r="C7">
        <f>IFERROR('ISO · Evaluación 3'!J12,"")</f>
        <v/>
      </c>
      <c r="D7">
        <f>IFERROR('ISO · Evaluación 3'!K12,"")</f>
        <v/>
      </c>
      <c r="E7"/>
      <c r="F7"/>
    </row>
    <row r="8">
      <c r="A8" t="n">
        <v>3</v>
      </c>
      <c r="B8" t="n">
        <v>1</v>
      </c>
      <c r="C8">
        <f>IFERROR('ISO · Evaluación 1'!H13,"")</f>
        <v/>
      </c>
      <c r="D8">
        <f>IFERROR('ISO · Evaluación 1'!I13,"")</f>
        <v/>
      </c>
      <c r="E8"/>
      <c r="F8"/>
    </row>
    <row r="9">
      <c r="A9" t="n">
        <v>3</v>
      </c>
      <c r="B9" t="n">
        <v>2</v>
      </c>
      <c r="C9">
        <f>IFERROR('ISO · Evaluación 2'!J13,"")</f>
        <v/>
      </c>
      <c r="D9">
        <f>IFERROR('ISO · Evaluación 2'!K13,"")</f>
        <v/>
      </c>
      <c r="E9"/>
      <c r="F9"/>
    </row>
    <row r="10">
      <c r="A10" t="n">
        <v>3</v>
      </c>
      <c r="B10" t="n">
        <v>3</v>
      </c>
      <c r="C10">
        <f>IFERROR('ISO · Evaluación 3'!J13,"")</f>
        <v/>
      </c>
      <c r="D10">
        <f>IFERROR('ISO · Evaluación 3'!K13,"")</f>
        <v/>
      </c>
      <c r="E10"/>
      <c r="F10"/>
    </row>
    <row r="11">
      <c r="A11" t="n">
        <v>4</v>
      </c>
      <c r="B11" t="n">
        <v>1</v>
      </c>
      <c r="C11">
        <f>IFERROR('ISO · Evaluación 1'!H14,"")</f>
        <v/>
      </c>
      <c r="D11">
        <f>IFERROR('ISO · Evaluación 1'!I14,"")</f>
        <v/>
      </c>
      <c r="E11"/>
      <c r="F11"/>
    </row>
    <row r="12">
      <c r="A12" t="n">
        <v>4</v>
      </c>
      <c r="B12" t="n">
        <v>2</v>
      </c>
      <c r="C12">
        <f>IFERROR('ISO · Evaluación 2'!J14,"")</f>
        <v/>
      </c>
      <c r="D12">
        <f>IFERROR('ISO · Evaluación 2'!K14,"")</f>
        <v/>
      </c>
      <c r="E12"/>
      <c r="F12"/>
    </row>
    <row r="13">
      <c r="A13" t="n">
        <v>4</v>
      </c>
      <c r="B13" t="n">
        <v>3</v>
      </c>
      <c r="C13">
        <f>IFERROR('ISO · Evaluación 3'!J14,"")</f>
        <v/>
      </c>
      <c r="D13">
        <f>IFERROR('ISO · Evaluación 3'!K14,"")</f>
        <v/>
      </c>
      <c r="E13"/>
      <c r="F13"/>
    </row>
    <row r="14">
      <c r="A14" t="n">
        <v>5</v>
      </c>
      <c r="B14" t="n">
        <v>1</v>
      </c>
      <c r="C14">
        <f>IFERROR('ISO · Evaluación 1'!H15,"")</f>
        <v/>
      </c>
      <c r="D14">
        <f>IFERROR('ISO · Evaluación 1'!I15,"")</f>
        <v/>
      </c>
      <c r="E14"/>
      <c r="F14"/>
    </row>
    <row r="15">
      <c r="A15" t="n">
        <v>5</v>
      </c>
      <c r="B15" t="n">
        <v>2</v>
      </c>
      <c r="C15">
        <f>IFERROR('ISO · Evaluación 2'!J15,"")</f>
        <v/>
      </c>
      <c r="D15">
        <f>IFERROR('ISO · Evaluación 2'!K15,"")</f>
        <v/>
      </c>
      <c r="E15"/>
      <c r="F15"/>
    </row>
    <row r="16">
      <c r="A16" t="n">
        <v>5</v>
      </c>
      <c r="B16" t="n">
        <v>3</v>
      </c>
      <c r="C16">
        <f>IFERROR('ISO · Evaluación 3'!J15,"")</f>
        <v/>
      </c>
      <c r="D16">
        <f>IFERROR('ISO · Evaluación 3'!K15,"")</f>
        <v/>
      </c>
      <c r="E16"/>
      <c r="F16"/>
    </row>
    <row r="17">
      <c r="A17" t="n">
        <v>6</v>
      </c>
      <c r="B17" t="n">
        <v>1</v>
      </c>
      <c r="C17">
        <f>IFERROR('ISO · Evaluación 1'!H16,"")</f>
        <v/>
      </c>
      <c r="D17">
        <f>IFERROR('ISO · Evaluación 1'!I16,"")</f>
        <v/>
      </c>
      <c r="E17"/>
      <c r="F17"/>
    </row>
    <row r="18">
      <c r="A18" t="n">
        <v>6</v>
      </c>
      <c r="B18" t="n">
        <v>2</v>
      </c>
      <c r="C18">
        <f>IFERROR('ISO · Evaluación 2'!J16,"")</f>
        <v/>
      </c>
      <c r="D18">
        <f>IFERROR('ISO · Evaluación 2'!K16,"")</f>
        <v/>
      </c>
      <c r="E18"/>
      <c r="F18"/>
    </row>
    <row r="19">
      <c r="A19" t="n">
        <v>6</v>
      </c>
      <c r="B19" t="n">
        <v>3</v>
      </c>
      <c r="C19">
        <f>IFERROR('ISO · Evaluación 3'!J16,"")</f>
        <v/>
      </c>
      <c r="D19">
        <f>IFERROR('ISO · Evaluación 3'!K16,"")</f>
        <v/>
      </c>
      <c r="E19"/>
      <c r="F19"/>
    </row>
    <row r="20">
      <c r="A20" t="n">
        <v>7</v>
      </c>
      <c r="B20" t="n">
        <v>1</v>
      </c>
      <c r="C20">
        <f>IFERROR('ISO · Evaluación 1'!H17,"")</f>
        <v/>
      </c>
      <c r="D20">
        <f>IFERROR('ISO · Evaluación 1'!I17,"")</f>
        <v/>
      </c>
      <c r="E20"/>
      <c r="F20"/>
    </row>
    <row r="21">
      <c r="A21" t="n">
        <v>7</v>
      </c>
      <c r="B21" t="n">
        <v>2</v>
      </c>
      <c r="C21">
        <f>IFERROR('ISO · Evaluación 2'!J17,"")</f>
        <v/>
      </c>
      <c r="D21">
        <f>IFERROR('ISO · Evaluación 2'!K17,"")</f>
        <v/>
      </c>
      <c r="E21"/>
      <c r="F21"/>
    </row>
    <row r="22">
      <c r="A22" t="n">
        <v>7</v>
      </c>
      <c r="B22" t="n">
        <v>3</v>
      </c>
      <c r="C22">
        <f>IFERROR('ISO · Evaluación 3'!J17,"")</f>
        <v/>
      </c>
      <c r="D22">
        <f>IFERROR('ISO · Evaluación 3'!K17,"")</f>
        <v/>
      </c>
      <c r="E22"/>
      <c r="F22"/>
    </row>
    <row r="23">
      <c r="A23" t="n">
        <v>8</v>
      </c>
      <c r="B23" t="n">
        <v>1</v>
      </c>
      <c r="C23">
        <f>IFERROR('ISO · Evaluación 1'!H18,"")</f>
        <v/>
      </c>
      <c r="D23">
        <f>IFERROR('ISO · Evaluación 1'!I18,"")</f>
        <v/>
      </c>
      <c r="E23"/>
      <c r="F23"/>
    </row>
    <row r="24">
      <c r="A24" t="n">
        <v>8</v>
      </c>
      <c r="B24" t="n">
        <v>2</v>
      </c>
      <c r="C24">
        <f>IFERROR('ISO · Evaluación 2'!J18,"")</f>
        <v/>
      </c>
      <c r="D24">
        <f>IFERROR('ISO · Evaluación 2'!K18,"")</f>
        <v/>
      </c>
      <c r="E24"/>
      <c r="F24"/>
    </row>
    <row r="25">
      <c r="A25" t="n">
        <v>8</v>
      </c>
      <c r="B25" t="n">
        <v>3</v>
      </c>
      <c r="C25">
        <f>IFERROR('ISO · Evaluación 3'!J18,"")</f>
        <v/>
      </c>
      <c r="D25">
        <f>IFERROR('ISO · Evaluación 3'!K18,"")</f>
        <v/>
      </c>
      <c r="E25"/>
      <c r="F25"/>
    </row>
    <row r="26">
      <c r="A26" t="n">
        <v>9</v>
      </c>
      <c r="B26" t="n">
        <v>1</v>
      </c>
      <c r="C26">
        <f>IFERROR('ISO · Evaluación 1'!H19,"")</f>
        <v/>
      </c>
      <c r="D26">
        <f>IFERROR('ISO · Evaluación 1'!I19,"")</f>
        <v/>
      </c>
      <c r="E26"/>
      <c r="F26"/>
    </row>
    <row r="27">
      <c r="A27" t="n">
        <v>9</v>
      </c>
      <c r="B27" t="n">
        <v>2</v>
      </c>
      <c r="C27">
        <f>IFERROR('ISO · Evaluación 2'!J19,"")</f>
        <v/>
      </c>
      <c r="D27">
        <f>IFERROR('ISO · Evaluación 2'!K19,"")</f>
        <v/>
      </c>
      <c r="E27"/>
      <c r="F27"/>
    </row>
    <row r="28">
      <c r="A28" t="n">
        <v>9</v>
      </c>
      <c r="B28" t="n">
        <v>3</v>
      </c>
      <c r="C28">
        <f>IFERROR('ISO · Evaluación 3'!J19,"")</f>
        <v/>
      </c>
      <c r="D28">
        <f>IFERROR('ISO · Evaluación 3'!K19,"")</f>
        <v/>
      </c>
      <c r="E28"/>
      <c r="F28"/>
    </row>
    <row r="29">
      <c r="A29" t="n">
        <v>10</v>
      </c>
      <c r="B29" t="n">
        <v>1</v>
      </c>
      <c r="C29">
        <f>IFERROR('ISO · Evaluación 1'!H20,"")</f>
        <v/>
      </c>
      <c r="D29">
        <f>IFERROR('ISO · Evaluación 1'!I20,"")</f>
        <v/>
      </c>
      <c r="E29"/>
      <c r="F29"/>
    </row>
    <row r="30">
      <c r="A30" t="n">
        <v>10</v>
      </c>
      <c r="B30" t="n">
        <v>2</v>
      </c>
      <c r="C30">
        <f>IFERROR('ISO · Evaluación 2'!J20,"")</f>
        <v/>
      </c>
      <c r="D30">
        <f>IFERROR('ISO · Evaluación 2'!K20,"")</f>
        <v/>
      </c>
      <c r="E30"/>
      <c r="F30"/>
    </row>
    <row r="31">
      <c r="A31" t="n">
        <v>10</v>
      </c>
      <c r="B31" t="n">
        <v>3</v>
      </c>
      <c r="C31">
        <f>IFERROR('ISO · Evaluación 3'!J20,"")</f>
        <v/>
      </c>
      <c r="D31">
        <f>IFERROR('ISO · Evaluación 3'!K20,"")</f>
        <v/>
      </c>
      <c r="E31"/>
      <c r="F31"/>
    </row>
    <row r="32">
      <c r="A32" t="n">
        <v>11</v>
      </c>
      <c r="B32" t="n">
        <v>1</v>
      </c>
      <c r="C32">
        <f>IFERROR('ISO · Evaluación 1'!H21,"")</f>
        <v/>
      </c>
      <c r="D32">
        <f>IFERROR('ISO · Evaluación 1'!I21,"")</f>
        <v/>
      </c>
      <c r="E32"/>
      <c r="F32"/>
    </row>
    <row r="33">
      <c r="A33" t="n">
        <v>11</v>
      </c>
      <c r="B33" t="n">
        <v>2</v>
      </c>
      <c r="C33">
        <f>IFERROR('ISO · Evaluación 2'!J21,"")</f>
        <v/>
      </c>
      <c r="D33">
        <f>IFERROR('ISO · Evaluación 2'!K21,"")</f>
        <v/>
      </c>
      <c r="E33"/>
      <c r="F33"/>
    </row>
    <row r="34">
      <c r="A34" t="n">
        <v>11</v>
      </c>
      <c r="B34" t="n">
        <v>3</v>
      </c>
      <c r="C34">
        <f>IFERROR('ISO · Evaluación 3'!J21,"")</f>
        <v/>
      </c>
      <c r="D34">
        <f>IFERROR('ISO · Evaluación 3'!K21,"")</f>
        <v/>
      </c>
      <c r="E34"/>
      <c r="F34"/>
    </row>
    <row r="35">
      <c r="A35" t="n">
        <v>12</v>
      </c>
      <c r="B35" t="n">
        <v>1</v>
      </c>
      <c r="C35">
        <f>IFERROR('ISO · Evaluación 1'!H22,"")</f>
        <v/>
      </c>
      <c r="D35">
        <f>IFERROR('ISO · Evaluación 1'!I22,"")</f>
        <v/>
      </c>
      <c r="E35"/>
      <c r="F35"/>
    </row>
    <row r="36">
      <c r="A36" t="n">
        <v>12</v>
      </c>
      <c r="B36" t="n">
        <v>2</v>
      </c>
      <c r="C36">
        <f>IFERROR('ISO · Evaluación 2'!J22,"")</f>
        <v/>
      </c>
      <c r="D36">
        <f>IFERROR('ISO · Evaluación 2'!K22,"")</f>
        <v/>
      </c>
      <c r="E36"/>
      <c r="F36"/>
    </row>
    <row r="37">
      <c r="A37" t="n">
        <v>12</v>
      </c>
      <c r="B37" t="n">
        <v>3</v>
      </c>
      <c r="C37">
        <f>IFERROR('ISO · Evaluación 3'!J22,"")</f>
        <v/>
      </c>
      <c r="D37">
        <f>IFERROR('ISO · Evaluación 3'!K22,"")</f>
        <v/>
      </c>
      <c r="E37"/>
      <c r="F37"/>
    </row>
    <row r="38">
      <c r="A38" t="n">
        <v>13</v>
      </c>
      <c r="B38" t="n">
        <v>1</v>
      </c>
      <c r="C38">
        <f>IFERROR('ISO · Evaluación 1'!H23,"")</f>
        <v/>
      </c>
      <c r="D38">
        <f>IFERROR('ISO · Evaluación 1'!I23,"")</f>
        <v/>
      </c>
      <c r="E38"/>
      <c r="F38"/>
    </row>
    <row r="39">
      <c r="A39" t="n">
        <v>13</v>
      </c>
      <c r="B39" t="n">
        <v>2</v>
      </c>
      <c r="C39">
        <f>IFERROR('ISO · Evaluación 2'!J23,"")</f>
        <v/>
      </c>
      <c r="D39">
        <f>IFERROR('ISO · Evaluación 2'!K23,"")</f>
        <v/>
      </c>
      <c r="E39"/>
      <c r="F39"/>
    </row>
    <row r="40">
      <c r="A40" t="n">
        <v>13</v>
      </c>
      <c r="B40" t="n">
        <v>3</v>
      </c>
      <c r="C40">
        <f>IFERROR('ISO · Evaluación 3'!J23,"")</f>
        <v/>
      </c>
      <c r="D40">
        <f>IFERROR('ISO · Evaluación 3'!K23,"")</f>
        <v/>
      </c>
      <c r="E40"/>
      <c r="F40"/>
    </row>
    <row r="41">
      <c r="A41" t="n">
        <v>14</v>
      </c>
      <c r="B41" t="n">
        <v>1</v>
      </c>
      <c r="C41">
        <f>IFERROR('ISO · Evaluación 1'!H24,"")</f>
        <v/>
      </c>
      <c r="D41">
        <f>IFERROR('ISO · Evaluación 1'!I24,"")</f>
        <v/>
      </c>
      <c r="E41"/>
      <c r="F41"/>
    </row>
    <row r="42">
      <c r="A42" t="n">
        <v>14</v>
      </c>
      <c r="B42" t="n">
        <v>2</v>
      </c>
      <c r="C42">
        <f>IFERROR('ISO · Evaluación 2'!J24,"")</f>
        <v/>
      </c>
      <c r="D42">
        <f>IFERROR('ISO · Evaluación 2'!K24,"")</f>
        <v/>
      </c>
      <c r="E42"/>
      <c r="F42"/>
    </row>
    <row r="43">
      <c r="A43" t="n">
        <v>14</v>
      </c>
      <c r="B43" t="n">
        <v>3</v>
      </c>
      <c r="C43">
        <f>IFERROR('ISO · Evaluación 3'!J24,"")</f>
        <v/>
      </c>
      <c r="D43">
        <f>IFERROR('ISO · Evaluación 3'!K24,"")</f>
        <v/>
      </c>
      <c r="E43"/>
      <c r="F43"/>
    </row>
    <row r="44">
      <c r="A44" t="n">
        <v>15</v>
      </c>
      <c r="B44" t="n">
        <v>1</v>
      </c>
      <c r="C44">
        <f>IFERROR('ISO · Evaluación 1'!H25,"")</f>
        <v/>
      </c>
      <c r="D44">
        <f>IFERROR('ISO · Evaluación 1'!I25,"")</f>
        <v/>
      </c>
      <c r="E44"/>
      <c r="F44"/>
    </row>
    <row r="45">
      <c r="A45" t="n">
        <v>15</v>
      </c>
      <c r="B45" t="n">
        <v>2</v>
      </c>
      <c r="C45">
        <f>IFERROR('ISO · Evaluación 2'!J25,"")</f>
        <v/>
      </c>
      <c r="D45">
        <f>IFERROR('ISO · Evaluación 2'!K25,"")</f>
        <v/>
      </c>
      <c r="E45"/>
      <c r="F45"/>
    </row>
    <row r="46">
      <c r="A46" t="n">
        <v>15</v>
      </c>
      <c r="B46" t="n">
        <v>3</v>
      </c>
      <c r="C46">
        <f>IFERROR('ISO · Evaluación 3'!J25,"")</f>
        <v/>
      </c>
      <c r="D46">
        <f>IFERROR('ISO · Evaluación 3'!K25,"")</f>
        <v/>
      </c>
      <c r="E46"/>
      <c r="F46"/>
    </row>
    <row r="47">
      <c r="A47" t="n">
        <v>16</v>
      </c>
      <c r="B47" t="n">
        <v>1</v>
      </c>
      <c r="C47">
        <f>IFERROR('ISO · Evaluación 1'!H26,"")</f>
        <v/>
      </c>
      <c r="D47">
        <f>IFERROR('ISO · Evaluación 1'!I26,"")</f>
        <v/>
      </c>
      <c r="E47"/>
      <c r="F47"/>
    </row>
    <row r="48">
      <c r="A48" t="n">
        <v>16</v>
      </c>
      <c r="B48" t="n">
        <v>2</v>
      </c>
      <c r="C48">
        <f>IFERROR('ISO · Evaluación 2'!J26,"")</f>
        <v/>
      </c>
      <c r="D48">
        <f>IFERROR('ISO · Evaluación 2'!K26,"")</f>
        <v/>
      </c>
      <c r="E48"/>
      <c r="F48"/>
    </row>
    <row r="49">
      <c r="A49" t="n">
        <v>16</v>
      </c>
      <c r="B49" t="n">
        <v>3</v>
      </c>
      <c r="C49">
        <f>IFERROR('ISO · Evaluación 3'!J26,"")</f>
        <v/>
      </c>
      <c r="D49">
        <f>IFERROR('ISO · Evaluación 3'!K26,"")</f>
        <v/>
      </c>
      <c r="E49"/>
      <c r="F49"/>
    </row>
    <row r="50">
      <c r="A50" t="n">
        <v>17</v>
      </c>
      <c r="B50" t="n">
        <v>1</v>
      </c>
      <c r="C50">
        <f>IFERROR('ISO · Evaluación 1'!H27,"")</f>
        <v/>
      </c>
      <c r="D50">
        <f>IFERROR('ISO · Evaluación 1'!I27,"")</f>
        <v/>
      </c>
      <c r="E50"/>
      <c r="F50"/>
    </row>
    <row r="51">
      <c r="A51" t="n">
        <v>17</v>
      </c>
      <c r="B51" t="n">
        <v>2</v>
      </c>
      <c r="C51">
        <f>IFERROR('ISO · Evaluación 2'!J27,"")</f>
        <v/>
      </c>
      <c r="D51">
        <f>IFERROR('ISO · Evaluación 2'!K27,"")</f>
        <v/>
      </c>
      <c r="E51"/>
      <c r="F51"/>
    </row>
    <row r="52">
      <c r="A52" t="n">
        <v>17</v>
      </c>
      <c r="B52" t="n">
        <v>3</v>
      </c>
      <c r="C52">
        <f>IFERROR('ISO · Evaluación 3'!J27,"")</f>
        <v/>
      </c>
      <c r="D52">
        <f>IFERROR('ISO · Evaluación 3'!K27,"")</f>
        <v/>
      </c>
      <c r="E52"/>
      <c r="F52"/>
    </row>
    <row r="53">
      <c r="A53" t="n">
        <v>18</v>
      </c>
      <c r="B53" t="n">
        <v>1</v>
      </c>
      <c r="C53">
        <f>IFERROR('ISO · Evaluación 1'!H28,"")</f>
        <v/>
      </c>
      <c r="D53">
        <f>IFERROR('ISO · Evaluación 1'!I28,"")</f>
        <v/>
      </c>
      <c r="E53"/>
      <c r="F53"/>
    </row>
    <row r="54">
      <c r="A54" t="n">
        <v>18</v>
      </c>
      <c r="B54" t="n">
        <v>2</v>
      </c>
      <c r="C54">
        <f>IFERROR('ISO · Evaluación 2'!J28,"")</f>
        <v/>
      </c>
      <c r="D54">
        <f>IFERROR('ISO · Evaluación 2'!K28,"")</f>
        <v/>
      </c>
      <c r="E54"/>
      <c r="F54"/>
    </row>
    <row r="55">
      <c r="A55" t="n">
        <v>18</v>
      </c>
      <c r="B55" t="n">
        <v>3</v>
      </c>
      <c r="C55">
        <f>IFERROR('ISO · Evaluación 3'!J28,"")</f>
        <v/>
      </c>
      <c r="D55">
        <f>IFERROR('ISO · Evaluación 3'!K28,"")</f>
        <v/>
      </c>
      <c r="E55"/>
      <c r="F55"/>
    </row>
    <row r="56">
      <c r="A56" t="n">
        <v>19</v>
      </c>
      <c r="B56" t="n">
        <v>1</v>
      </c>
      <c r="C56">
        <f>IFERROR('ISO · Evaluación 1'!H29,"")</f>
        <v/>
      </c>
      <c r="D56">
        <f>IFERROR('ISO · Evaluación 1'!I29,"")</f>
        <v/>
      </c>
      <c r="E56"/>
      <c r="F56"/>
    </row>
    <row r="57">
      <c r="A57" t="n">
        <v>19</v>
      </c>
      <c r="B57" t="n">
        <v>2</v>
      </c>
      <c r="C57">
        <f>IFERROR('ISO · Evaluación 2'!J29,"")</f>
        <v/>
      </c>
      <c r="D57">
        <f>IFERROR('ISO · Evaluación 2'!K29,"")</f>
        <v/>
      </c>
      <c r="E57"/>
      <c r="F57"/>
    </row>
    <row r="58">
      <c r="A58" t="n">
        <v>19</v>
      </c>
      <c r="B58" t="n">
        <v>3</v>
      </c>
      <c r="C58">
        <f>IFERROR('ISO · Evaluación 3'!J29,"")</f>
        <v/>
      </c>
      <c r="D58">
        <f>IFERROR('ISO · Evaluación 3'!K29,"")</f>
        <v/>
      </c>
      <c r="E58"/>
      <c r="F58"/>
    </row>
    <row r="59">
      <c r="A59" t="n">
        <v>20</v>
      </c>
      <c r="B59" t="n">
        <v>1</v>
      </c>
      <c r="C59">
        <f>IFERROR('ISO · Evaluación 1'!H30,"")</f>
        <v/>
      </c>
      <c r="D59">
        <f>IFERROR('ISO · Evaluación 1'!I30,"")</f>
        <v/>
      </c>
      <c r="E59"/>
      <c r="F59"/>
    </row>
    <row r="60">
      <c r="A60" t="n">
        <v>20</v>
      </c>
      <c r="B60" t="n">
        <v>2</v>
      </c>
      <c r="C60">
        <f>IFERROR('ISO · Evaluación 2'!J30,"")</f>
        <v/>
      </c>
      <c r="D60">
        <f>IFERROR('ISO · Evaluación 2'!K30,"")</f>
        <v/>
      </c>
      <c r="E60"/>
      <c r="F60"/>
    </row>
    <row r="61">
      <c r="A61" t="n">
        <v>20</v>
      </c>
      <c r="B61" t="n">
        <v>3</v>
      </c>
      <c r="C61">
        <f>IFERROR('ISO · Evaluación 3'!J30,"")</f>
        <v/>
      </c>
      <c r="D61">
        <f>IFERROR('ISO · Evaluación 3'!K30,"")</f>
        <v/>
      </c>
      <c r="E61"/>
      <c r="F61"/>
    </row>
    <row r="62">
      <c r="A62" t="n">
        <v>21</v>
      </c>
      <c r="B62" t="n">
        <v>1</v>
      </c>
      <c r="C62">
        <f>IFERROR('ISO · Evaluación 1'!H31,"")</f>
        <v/>
      </c>
      <c r="D62">
        <f>IFERROR('ISO · Evaluación 1'!I31,"")</f>
        <v/>
      </c>
      <c r="E62"/>
      <c r="F62"/>
    </row>
    <row r="63">
      <c r="A63" t="n">
        <v>21</v>
      </c>
      <c r="B63" t="n">
        <v>2</v>
      </c>
      <c r="C63">
        <f>IFERROR('ISO · Evaluación 2'!J31,"")</f>
        <v/>
      </c>
      <c r="D63">
        <f>IFERROR('ISO · Evaluación 2'!K31,"")</f>
        <v/>
      </c>
      <c r="E63"/>
      <c r="F63"/>
    </row>
    <row r="64">
      <c r="A64" t="n">
        <v>21</v>
      </c>
      <c r="B64" t="n">
        <v>3</v>
      </c>
      <c r="C64">
        <f>IFERROR('ISO · Evaluación 3'!J31,"")</f>
        <v/>
      </c>
      <c r="D64">
        <f>IFERROR('ISO · Evaluación 3'!K31,"")</f>
        <v/>
      </c>
      <c r="E64"/>
      <c r="F64"/>
    </row>
    <row r="65">
      <c r="A65" t="n">
        <v>22</v>
      </c>
      <c r="B65" t="n">
        <v>1</v>
      </c>
      <c r="C65">
        <f>IFERROR('ISO · Evaluación 1'!H32,"")</f>
        <v/>
      </c>
      <c r="D65">
        <f>IFERROR('ISO · Evaluación 1'!I32,"")</f>
        <v/>
      </c>
      <c r="E65"/>
      <c r="F65"/>
    </row>
    <row r="66">
      <c r="A66" t="n">
        <v>22</v>
      </c>
      <c r="B66" t="n">
        <v>2</v>
      </c>
      <c r="C66">
        <f>IFERROR('ISO · Evaluación 2'!J32,"")</f>
        <v/>
      </c>
      <c r="D66">
        <f>IFERROR('ISO · Evaluación 2'!K32,"")</f>
        <v/>
      </c>
      <c r="E66"/>
      <c r="F66"/>
    </row>
    <row r="67">
      <c r="A67" t="n">
        <v>22</v>
      </c>
      <c r="B67" t="n">
        <v>3</v>
      </c>
      <c r="C67">
        <f>IFERROR('ISO · Evaluación 3'!J32,"")</f>
        <v/>
      </c>
      <c r="D67">
        <f>IFERROR('ISO · Evaluación 3'!K32,"")</f>
        <v/>
      </c>
      <c r="E67"/>
      <c r="F67"/>
    </row>
    <row r="68">
      <c r="A68" t="n">
        <v>23</v>
      </c>
      <c r="B68" t="n">
        <v>1</v>
      </c>
      <c r="C68">
        <f>IFERROR('ISO · Evaluación 1'!H33,"")</f>
        <v/>
      </c>
      <c r="D68">
        <f>IFERROR('ISO · Evaluación 1'!I33,"")</f>
        <v/>
      </c>
      <c r="E68"/>
      <c r="F68"/>
    </row>
    <row r="69">
      <c r="A69" t="n">
        <v>23</v>
      </c>
      <c r="B69" t="n">
        <v>2</v>
      </c>
      <c r="C69">
        <f>IFERROR('ISO · Evaluación 2'!J33,"")</f>
        <v/>
      </c>
      <c r="D69">
        <f>IFERROR('ISO · Evaluación 2'!K33,"")</f>
        <v/>
      </c>
      <c r="E69"/>
      <c r="F69"/>
    </row>
    <row r="70">
      <c r="A70" t="n">
        <v>23</v>
      </c>
      <c r="B70" t="n">
        <v>3</v>
      </c>
      <c r="C70">
        <f>IFERROR('ISO · Evaluación 3'!J33,"")</f>
        <v/>
      </c>
      <c r="D70">
        <f>IFERROR('ISO · Evaluación 3'!K33,"")</f>
        <v/>
      </c>
      <c r="E70"/>
      <c r="F70"/>
    </row>
    <row r="71">
      <c r="A71" t="n">
        <v>24</v>
      </c>
      <c r="B71" t="n">
        <v>1</v>
      </c>
      <c r="C71">
        <f>IFERROR('ISO · Evaluación 1'!H34,"")</f>
        <v/>
      </c>
      <c r="D71">
        <f>IFERROR('ISO · Evaluación 1'!I34,"")</f>
        <v/>
      </c>
      <c r="E71"/>
      <c r="F71"/>
    </row>
    <row r="72">
      <c r="A72" t="n">
        <v>24</v>
      </c>
      <c r="B72" t="n">
        <v>2</v>
      </c>
      <c r="C72">
        <f>IFERROR('ISO · Evaluación 2'!J34,"")</f>
        <v/>
      </c>
      <c r="D72">
        <f>IFERROR('ISO · Evaluación 2'!K34,"")</f>
        <v/>
      </c>
      <c r="E72"/>
      <c r="F72"/>
    </row>
    <row r="73">
      <c r="A73" t="n">
        <v>24</v>
      </c>
      <c r="B73" t="n">
        <v>3</v>
      </c>
      <c r="C73">
        <f>IFERROR('ISO · Evaluación 3'!J34,"")</f>
        <v/>
      </c>
      <c r="D73">
        <f>IFERROR('ISO · Evaluación 3'!K34,"")</f>
        <v/>
      </c>
      <c r="E73"/>
      <c r="F73"/>
    </row>
    <row r="74">
      <c r="A74" t="n">
        <v>25</v>
      </c>
      <c r="B74" t="n">
        <v>1</v>
      </c>
      <c r="C74">
        <f>IFERROR('ISO · Evaluación 1'!H35,"")</f>
        <v/>
      </c>
      <c r="D74">
        <f>IFERROR('ISO · Evaluación 1'!I35,"")</f>
        <v/>
      </c>
      <c r="E74"/>
      <c r="F74"/>
    </row>
    <row r="75">
      <c r="A75" t="n">
        <v>25</v>
      </c>
      <c r="B75" t="n">
        <v>2</v>
      </c>
      <c r="C75">
        <f>IFERROR('ISO · Evaluación 2'!J35,"")</f>
        <v/>
      </c>
      <c r="D75">
        <f>IFERROR('ISO · Evaluación 2'!K35,"")</f>
        <v/>
      </c>
      <c r="E75"/>
      <c r="F75"/>
    </row>
    <row r="76">
      <c r="A76" t="n">
        <v>25</v>
      </c>
      <c r="B76" t="n">
        <v>3</v>
      </c>
      <c r="C76">
        <f>IFERROR('ISO · Evaluación 3'!J35,"")</f>
        <v/>
      </c>
      <c r="D76">
        <f>IFERROR('ISO · Evaluación 3'!K35,"")</f>
        <v/>
      </c>
      <c r="E76"/>
      <c r="F76"/>
    </row>
    <row r="77">
      <c r="A77" t="n">
        <v>26</v>
      </c>
      <c r="B77" t="n">
        <v>1</v>
      </c>
      <c r="C77">
        <f>IFERROR('ISO · Evaluación 1'!H36,"")</f>
        <v/>
      </c>
      <c r="D77">
        <f>IFERROR('ISO · Evaluación 1'!I36,"")</f>
        <v/>
      </c>
      <c r="E77"/>
      <c r="F77"/>
    </row>
    <row r="78">
      <c r="A78" t="n">
        <v>26</v>
      </c>
      <c r="B78" t="n">
        <v>2</v>
      </c>
      <c r="C78">
        <f>IFERROR('ISO · Evaluación 2'!J36,"")</f>
        <v/>
      </c>
      <c r="D78">
        <f>IFERROR('ISO · Evaluación 2'!K36,"")</f>
        <v/>
      </c>
      <c r="E78"/>
      <c r="F78"/>
    </row>
    <row r="79">
      <c r="A79" t="n">
        <v>26</v>
      </c>
      <c r="B79" t="n">
        <v>3</v>
      </c>
      <c r="C79">
        <f>IFERROR('ISO · Evaluación 3'!J36,"")</f>
        <v/>
      </c>
      <c r="D79">
        <f>IFERROR('ISO · Evaluación 3'!K36,"")</f>
        <v/>
      </c>
      <c r="E79"/>
      <c r="F79"/>
    </row>
    <row r="80">
      <c r="A80" t="n">
        <v>27</v>
      </c>
      <c r="B80" t="n">
        <v>1</v>
      </c>
      <c r="C80">
        <f>IFERROR('ISO · Evaluación 1'!H37,"")</f>
        <v/>
      </c>
      <c r="D80">
        <f>IFERROR('ISO · Evaluación 1'!I37,"")</f>
        <v/>
      </c>
      <c r="E80"/>
      <c r="F80"/>
    </row>
    <row r="81">
      <c r="A81" t="n">
        <v>27</v>
      </c>
      <c r="B81" t="n">
        <v>2</v>
      </c>
      <c r="C81">
        <f>IFERROR('ISO · Evaluación 2'!J37,"")</f>
        <v/>
      </c>
      <c r="D81">
        <f>IFERROR('ISO · Evaluación 2'!K37,"")</f>
        <v/>
      </c>
      <c r="E81"/>
      <c r="F81"/>
    </row>
    <row r="82">
      <c r="A82" t="n">
        <v>27</v>
      </c>
      <c r="B82" t="n">
        <v>3</v>
      </c>
      <c r="C82">
        <f>IFERROR('ISO · Evaluación 3'!J37,"")</f>
        <v/>
      </c>
      <c r="D82">
        <f>IFERROR('ISO · Evaluación 3'!K37,"")</f>
        <v/>
      </c>
      <c r="E82"/>
      <c r="F82"/>
    </row>
    <row r="83">
      <c r="A83" t="n">
        <v>28</v>
      </c>
      <c r="B83" t="n">
        <v>1</v>
      </c>
      <c r="C83">
        <f>IFERROR('ISO · Evaluación 1'!H38,"")</f>
        <v/>
      </c>
      <c r="D83">
        <f>IFERROR('ISO · Evaluación 1'!I38,"")</f>
        <v/>
      </c>
      <c r="E83"/>
      <c r="F83"/>
    </row>
    <row r="84">
      <c r="A84" t="n">
        <v>28</v>
      </c>
      <c r="B84" t="n">
        <v>2</v>
      </c>
      <c r="C84">
        <f>IFERROR('ISO · Evaluación 2'!J38,"")</f>
        <v/>
      </c>
      <c r="D84">
        <f>IFERROR('ISO · Evaluación 2'!K38,"")</f>
        <v/>
      </c>
      <c r="E84"/>
      <c r="F84"/>
    </row>
    <row r="85">
      <c r="A85" t="n">
        <v>28</v>
      </c>
      <c r="B85" t="n">
        <v>3</v>
      </c>
      <c r="C85">
        <f>IFERROR('ISO · Evaluación 3'!J38,"")</f>
        <v/>
      </c>
      <c r="D85">
        <f>IFERROR('ISO · Evaluación 3'!K38,"")</f>
        <v/>
      </c>
      <c r="E85"/>
      <c r="F85"/>
    </row>
    <row r="86">
      <c r="A86" t="n">
        <v>29</v>
      </c>
      <c r="B86" t="n">
        <v>1</v>
      </c>
      <c r="C86">
        <f>IFERROR('ISO · Evaluación 1'!H39,"")</f>
        <v/>
      </c>
      <c r="D86">
        <f>IFERROR('ISO · Evaluación 1'!I39,"")</f>
        <v/>
      </c>
      <c r="E86"/>
      <c r="F86"/>
    </row>
    <row r="87">
      <c r="A87" t="n">
        <v>29</v>
      </c>
      <c r="B87" t="n">
        <v>2</v>
      </c>
      <c r="C87">
        <f>IFERROR('ISO · Evaluación 2'!J39,"")</f>
        <v/>
      </c>
      <c r="D87">
        <f>IFERROR('ISO · Evaluación 2'!K39,"")</f>
        <v/>
      </c>
      <c r="E87"/>
      <c r="F87"/>
    </row>
    <row r="88">
      <c r="A88" t="n">
        <v>29</v>
      </c>
      <c r="B88" t="n">
        <v>3</v>
      </c>
      <c r="C88">
        <f>IFERROR('ISO · Evaluación 3'!J39,"")</f>
        <v/>
      </c>
      <c r="D88">
        <f>IFERROR('ISO · Evaluación 3'!K39,"")</f>
        <v/>
      </c>
      <c r="E88"/>
      <c r="F88"/>
    </row>
    <row r="89">
      <c r="A89" t="n">
        <v>30</v>
      </c>
      <c r="B89" t="n">
        <v>1</v>
      </c>
      <c r="C89">
        <f>IFERROR('ISO · Evaluación 1'!H40,"")</f>
        <v/>
      </c>
      <c r="D89">
        <f>IFERROR('ISO · Evaluación 1'!I40,"")</f>
        <v/>
      </c>
      <c r="E89"/>
      <c r="F89"/>
    </row>
    <row r="90">
      <c r="A90" t="n">
        <v>30</v>
      </c>
      <c r="B90" t="n">
        <v>2</v>
      </c>
      <c r="C90">
        <f>IFERROR('ISO · Evaluación 2'!J40,"")</f>
        <v/>
      </c>
      <c r="D90">
        <f>IFERROR('ISO · Evaluación 2'!K40,"")</f>
        <v/>
      </c>
      <c r="E90"/>
      <c r="F90"/>
    </row>
    <row r="91">
      <c r="A91" t="n">
        <v>30</v>
      </c>
      <c r="B91" t="n">
        <v>3</v>
      </c>
      <c r="C91">
        <f>IFERROR('ISO · Evaluación 3'!J40,"")</f>
        <v/>
      </c>
      <c r="D91">
        <f>IFERROR('ISO · Evaluación 3'!K40,"")</f>
        <v/>
      </c>
      <c r="E91"/>
      <c r="F91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pane xSplit="3" ySplit="9" topLeftCell="D10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8" customWidth="1" min="3" max="3"/>
    <col width="35" customWidth="1" min="4" max="4"/>
    <col width="7" customWidth="1" min="5" max="5"/>
    <col width="7" customWidth="1" min="6" max="6"/>
    <col width="8" customWidth="1" min="7" max="7"/>
    <col width="24" customWidth="1" min="8" max="8"/>
    <col width="7" customWidth="1" min="9" max="9"/>
    <col width="9" customWidth="1" min="10" max="10"/>
    <col width="9" customWidth="1" min="11" max="11"/>
    <col width="10" customWidth="1" min="12" max="12"/>
    <col width="22" customWidth="1" min="13" max="13"/>
    <col width="16" customWidth="1" min="14" max="14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📋 Programación Didáctica — PAR 1º ASIR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Distribución de RAs y CEs por Unidad de Trabajo · Planificación y Administración de Redes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5" t="inlineStr">
        <is>
          <t>📋 Programa</t>
        </is>
      </c>
      <c r="D5" s="6">
        <f>HYPERLINK("#PAR · Alumnos!A1","👥 Alumnos")</f>
        <v/>
      </c>
      <c r="E5" s="6">
        <f>HYPERLINK("#PAR · Actividades!A1","📝 Actividades")</f>
        <v/>
      </c>
      <c r="F5" s="6">
        <f>HYPERLINK("#PAR · Reg. Notas!A1","📊 Reg. Notas")</f>
        <v/>
      </c>
      <c r="G5" s="6">
        <f>HYPERLINK("#PAR · Resumen!A1","📈 Resumen")</f>
        <v/>
      </c>
      <c r="H5" s="6">
        <f>HYPERLINK("#PAR · Evaluación 1!A1","Eval 1")</f>
        <v/>
      </c>
      <c r="I5" s="6">
        <f>HYPERLINK("#PAR · Evaluación 2!A1","Eval 2")</f>
        <v/>
      </c>
      <c r="J5" s="6">
        <f>HYPERLINK("#PAR · Evaluación 3!A1","Eval 3")</f>
        <v/>
      </c>
      <c r="K5" s="6">
        <f>HYPERLINK("#PAR · 1ªORD!A1","1ª ORD")</f>
        <v/>
      </c>
      <c r="L5" s="6">
        <f>HYPERLINK("#PAR · 2ªORD!A1","2ª ORD")</f>
        <v/>
      </c>
      <c r="M5" s="6">
        <f>HYPERLINK("#PAR · Rúbricas!A1","🎯 Rúbricas")</f>
        <v/>
      </c>
      <c r="N5" s="6">
        <f>HYPERLINK("#PAR · Informe Grupo!A1","📊 Inf.Grupo")</f>
        <v/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22" customHeight="1">
      <c r="B8" s="125" t="inlineStr">
        <is>
          <t>MAPA DE UNIDADES DE TRABAJO · RESULTADOS DE APRENDIZAJE · CRITERIOS DE EVALUACIÓN</t>
        </is>
      </c>
    </row>
    <row r="9" ht="36" customHeight="1">
      <c r="B9" s="126" t="inlineStr">
        <is>
          <t>Eval.</t>
        </is>
      </c>
      <c r="C9" s="126" t="inlineStr">
        <is>
          <t>UT</t>
        </is>
      </c>
      <c r="D9" s="126" t="inlineStr">
        <is>
          <t>Unidad de Trabajo</t>
        </is>
      </c>
      <c r="E9" s="126" t="inlineStr">
        <is>
          <t>Horas</t>
        </is>
      </c>
      <c r="F9" s="126" t="inlineStr">
        <is>
          <t>% Total</t>
        </is>
      </c>
      <c r="G9" s="126" t="inlineStr">
        <is>
          <t>RA</t>
        </is>
      </c>
      <c r="H9" s="126" t="inlineStr">
        <is>
          <t>Criterios de Evaluación (CEs)</t>
        </is>
      </c>
      <c r="I9" s="126" t="inlineStr">
        <is>
          <t>N.º CEs</t>
        </is>
      </c>
      <c r="J9" s="126" t="inlineStr">
        <is>
          <t>% RA en UT</t>
        </is>
      </c>
      <c r="K9" s="126" t="inlineStr">
        <is>
          <t>Horas RA en UT</t>
        </is>
      </c>
      <c r="L9" s="126" t="inlineStr">
        <is>
          <t>% Pond. Global RA</t>
        </is>
      </c>
      <c r="M9" s="126" t="inlineStr">
        <is>
          <t>Instrumento(s)</t>
        </is>
      </c>
      <c r="N9" s="126" t="inlineStr">
        <is>
          <t>📖 Apuntes</t>
        </is>
      </c>
    </row>
    <row r="10" ht="22" customHeight="1">
      <c r="B10" s="127" t="inlineStr">
        <is>
          <t>EV1</t>
        </is>
      </c>
      <c r="C10" s="14" t="inlineStr">
        <is>
          <t>UT1</t>
        </is>
      </c>
      <c r="D10" s="128" t="inlineStr">
        <is>
          <t>Introducción a las redes locales</t>
        </is>
      </c>
      <c r="E10" s="129" t="n">
        <v>20</v>
      </c>
      <c r="F10" s="17" t="inlineStr">
        <is>
          <t>12.9%</t>
        </is>
      </c>
      <c r="G10" s="130" t="inlineStr">
        <is>
          <t>RA1</t>
        </is>
      </c>
      <c r="H10" s="131" t="inlineStr">
        <is>
          <t>CR1  CR2  CR3  CR4  CR5  CR6</t>
        </is>
      </c>
      <c r="I10" s="17" t="n">
        <v>6</v>
      </c>
      <c r="J10" s="17" t="inlineStr">
        <is>
          <t>100.0%</t>
        </is>
      </c>
      <c r="K10" s="17" t="n">
        <v>20</v>
      </c>
      <c r="L10" s="132" t="inlineStr">
        <is>
          <t>15%</t>
        </is>
      </c>
      <c r="M10" s="133" t="inlineStr">
        <is>
          <t>📝 Examen  ·  🔧 Práctica</t>
        </is>
      </c>
      <c r="N10" s="59">
        <f>HYPERLINK("../apuntes/04-FP/PAR/1-asir/introduccion-a-las-redes-locales/index.html","📖 Ver apunte")</f>
        <v/>
      </c>
    </row>
    <row r="11" ht="4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22" customHeight="1">
      <c r="B12" s="127" t="inlineStr">
        <is>
          <t>EV1</t>
        </is>
      </c>
      <c r="C12" s="14" t="inlineStr">
        <is>
          <t>UT2</t>
        </is>
      </c>
      <c r="D12" s="140" t="inlineStr">
        <is>
          <t>Dispositivos de red y medios de transmisión</t>
        </is>
      </c>
      <c r="E12" s="95" t="n">
        <v>22</v>
      </c>
      <c r="F12" s="20" t="inlineStr">
        <is>
          <t>14.2%</t>
        </is>
      </c>
      <c r="G12" s="136" t="inlineStr">
        <is>
          <t>RA2</t>
        </is>
      </c>
      <c r="H12" s="137" t="inlineStr">
        <is>
          <t>CR1  CR2  CR3  CR4  CR5  CR6  CR7</t>
        </is>
      </c>
      <c r="I12" s="20" t="n">
        <v>7</v>
      </c>
      <c r="J12" s="20" t="inlineStr">
        <is>
          <t>77.8%</t>
        </is>
      </c>
      <c r="K12" s="20" t="n">
        <v>17.1</v>
      </c>
      <c r="L12" s="138" t="inlineStr">
        <is>
          <t>20%</t>
        </is>
      </c>
      <c r="M12" s="139" t="inlineStr">
        <is>
          <t>📝 Examen  ·  🔧 Práctica</t>
        </is>
      </c>
      <c r="N12" s="59">
        <f>HYPERLINK("../apuntes/04-FP/PAR/1-asir/dispositivos-de-red-y-medios-de-transmision/index.html","📖 Ver apunte")</f>
        <v/>
      </c>
    </row>
    <row r="13" ht="22" customHeight="1">
      <c r="B13" s="134"/>
      <c r="C13" s="14"/>
      <c r="D13" s="141"/>
      <c r="E13" s="20"/>
      <c r="F13" s="20"/>
      <c r="G13" s="130" t="inlineStr">
        <is>
          <t>RA1</t>
        </is>
      </c>
      <c r="H13" s="131" t="inlineStr">
        <is>
          <t>CR7  CR8</t>
        </is>
      </c>
      <c r="I13" s="20" t="n">
        <v>2</v>
      </c>
      <c r="J13" s="20" t="inlineStr">
        <is>
          <t>22.2%</t>
        </is>
      </c>
      <c r="K13" s="20" t="n">
        <v>4.9</v>
      </c>
      <c r="L13" s="132" t="inlineStr">
        <is>
          <t>15%</t>
        </is>
      </c>
      <c r="M13" s="133" t="inlineStr">
        <is>
          <t>📝 Examen  ·  🔧 Práctica</t>
        </is>
      </c>
      <c r="N13" s="79"/>
    </row>
    <row r="14" ht="4" customHeight="1"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</row>
    <row r="15" ht="22" customHeight="1">
      <c r="B15" s="147" t="inlineStr">
        <is>
          <t>EV2</t>
        </is>
      </c>
      <c r="C15" s="14" t="inlineStr">
        <is>
          <t>UT3</t>
        </is>
      </c>
      <c r="D15" s="128" t="inlineStr">
        <is>
          <t>Configuración y administración de conmutadores</t>
        </is>
      </c>
      <c r="E15" s="129" t="n">
        <v>22</v>
      </c>
      <c r="F15" s="17" t="inlineStr">
        <is>
          <t>14.2%</t>
        </is>
      </c>
      <c r="G15" s="148" t="inlineStr">
        <is>
          <t>RA3</t>
        </is>
      </c>
      <c r="H15" s="143" t="inlineStr">
        <is>
          <t>CR1  CR2  CR3  CR4  CR5  CR6  CR7  CR8</t>
        </is>
      </c>
      <c r="I15" s="17" t="n">
        <v>8</v>
      </c>
      <c r="J15" s="17" t="inlineStr">
        <is>
          <t>100.0%</t>
        </is>
      </c>
      <c r="K15" s="17" t="n">
        <v>22</v>
      </c>
      <c r="L15" s="144" t="inlineStr">
        <is>
          <t>20%</t>
        </is>
      </c>
      <c r="M15" s="145" t="inlineStr">
        <is>
          <t>📝 Examen  ·  🔧 Práctica</t>
        </is>
      </c>
      <c r="N15" s="59">
        <f>HYPERLINK("../apuntes/04-FP/PAR/1-asir/configuracion-y-administracion-de-conmutadores/index.html","📖 Ver apunte")</f>
        <v/>
      </c>
    </row>
    <row r="16" ht="4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22" customHeight="1">
      <c r="B17" s="147" t="inlineStr">
        <is>
          <t>EV2</t>
        </is>
      </c>
      <c r="C17" s="14" t="inlineStr">
        <is>
          <t>UT4</t>
        </is>
      </c>
      <c r="D17" s="140" t="inlineStr">
        <is>
          <t>Configuración y administración de routers</t>
        </is>
      </c>
      <c r="E17" s="95" t="n">
        <v>28</v>
      </c>
      <c r="F17" s="20" t="inlineStr">
        <is>
          <t>18.1%</t>
        </is>
      </c>
      <c r="G17" s="149" t="inlineStr">
        <is>
          <t>RA4</t>
        </is>
      </c>
      <c r="H17" s="150" t="inlineStr">
        <is>
          <t>CR1  CR2  CR3  CR4  CR5  CR6  CR7  CR8  CR9</t>
        </is>
      </c>
      <c r="I17" s="20" t="n">
        <v>9</v>
      </c>
      <c r="J17" s="20" t="inlineStr">
        <is>
          <t>100.0%</t>
        </is>
      </c>
      <c r="K17" s="20" t="n">
        <v>28</v>
      </c>
      <c r="L17" s="151" t="inlineStr">
        <is>
          <t>25%</t>
        </is>
      </c>
      <c r="M17" s="152" t="inlineStr">
        <is>
          <t>📝 Examen  ·  🔧 Práctica</t>
        </is>
      </c>
      <c r="N17" s="59">
        <f>HYPERLINK("../apuntes/04-FP/PAR/1-asir/configuracion-y-administracion-de-routers/index.html","📖 Ver apunte")</f>
        <v/>
      </c>
    </row>
    <row r="18" ht="4" customHeight="1"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</row>
    <row r="19" ht="22" customHeight="1">
      <c r="B19" s="147" t="inlineStr">
        <is>
          <t>EV2</t>
        </is>
      </c>
      <c r="C19" s="14" t="inlineStr">
        <is>
          <t>UT5</t>
        </is>
      </c>
      <c r="D19" s="128" t="inlineStr">
        <is>
          <t>Configuración de redes inalámbricas</t>
        </is>
      </c>
      <c r="E19" s="129" t="n">
        <v>20</v>
      </c>
      <c r="F19" s="17" t="inlineStr">
        <is>
          <t>12.9%</t>
        </is>
      </c>
      <c r="G19" s="153" t="inlineStr">
        <is>
          <t>RA5</t>
        </is>
      </c>
      <c r="H19" s="154" t="inlineStr">
        <is>
          <t>CR1  CR2  CR3  CR4  CR5  CR6</t>
        </is>
      </c>
      <c r="I19" s="17" t="n">
        <v>6</v>
      </c>
      <c r="J19" s="17" t="inlineStr">
        <is>
          <t>85.7%</t>
        </is>
      </c>
      <c r="K19" s="17" t="n">
        <v>17.1</v>
      </c>
      <c r="L19" s="155" t="inlineStr">
        <is>
          <t>10%</t>
        </is>
      </c>
      <c r="M19" s="156" t="inlineStr">
        <is>
          <t>🔧 Práctica</t>
        </is>
      </c>
      <c r="N19" s="59">
        <f>HYPERLINK("../apuntes/04-FP/PAR/1-asir/configuracion-de-redes-inalambricas/index.html","📖 Ver apunte")</f>
        <v/>
      </c>
    </row>
    <row r="20" ht="22" customHeight="1">
      <c r="B20" s="134"/>
      <c r="C20" s="14"/>
      <c r="D20" s="135"/>
      <c r="E20" s="17"/>
      <c r="F20" s="17"/>
      <c r="G20" s="149" t="inlineStr">
        <is>
          <t>RA4</t>
        </is>
      </c>
      <c r="H20" s="150" t="inlineStr">
        <is>
          <t>CR10</t>
        </is>
      </c>
      <c r="I20" s="17" t="n">
        <v>1</v>
      </c>
      <c r="J20" s="17" t="inlineStr">
        <is>
          <t>14.3%</t>
        </is>
      </c>
      <c r="K20" s="17" t="n">
        <v>2.9</v>
      </c>
      <c r="L20" s="151" t="inlineStr">
        <is>
          <t>25%</t>
        </is>
      </c>
      <c r="M20" s="152" t="inlineStr">
        <is>
          <t>📝 Examen  ·  🔧 Práctica</t>
        </is>
      </c>
      <c r="N20" s="78"/>
    </row>
    <row r="21" ht="4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22" customHeight="1">
      <c r="B22" s="157" t="inlineStr">
        <is>
          <t>EV3</t>
        </is>
      </c>
      <c r="C22" s="14" t="inlineStr">
        <is>
          <t>UT6</t>
        </is>
      </c>
      <c r="D22" s="140" t="inlineStr">
        <is>
          <t>Introducción a las redes WAN y servicios de red</t>
        </is>
      </c>
      <c r="E22" s="95" t="n">
        <v>22</v>
      </c>
      <c r="F22" s="20" t="inlineStr">
        <is>
          <t>14.2%</t>
        </is>
      </c>
      <c r="G22" s="149" t="inlineStr">
        <is>
          <t>RA4</t>
        </is>
      </c>
      <c r="H22" s="150" t="inlineStr">
        <is>
          <t>CR11  CR12</t>
        </is>
      </c>
      <c r="I22" s="20" t="n">
        <v>2</v>
      </c>
      <c r="J22" s="20" t="inlineStr">
        <is>
          <t>100.0%</t>
        </is>
      </c>
      <c r="K22" s="20" t="n">
        <v>22</v>
      </c>
      <c r="L22" s="151" t="inlineStr">
        <is>
          <t>25%</t>
        </is>
      </c>
      <c r="M22" s="152" t="inlineStr">
        <is>
          <t>📝 Examen  ·  🔧 Práctica</t>
        </is>
      </c>
      <c r="N22" s="59">
        <f>HYPERLINK("../apuntes/04-FP/PAR/1-asir/introduccion-a-las-redes-wan-y-servicios-de-red/index.html","📖 Ver apunte")</f>
        <v/>
      </c>
    </row>
    <row r="23" ht="4" customHeight="1"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</row>
    <row r="24" ht="22" customHeight="1">
      <c r="B24" s="157" t="inlineStr">
        <is>
          <t>EV3</t>
        </is>
      </c>
      <c r="C24" s="14" t="inlineStr">
        <is>
          <t>UT7</t>
        </is>
      </c>
      <c r="D24" s="128" t="inlineStr">
        <is>
          <t>Resolución de incidencias de red</t>
        </is>
      </c>
      <c r="E24" s="129" t="n">
        <v>21</v>
      </c>
      <c r="F24" s="17" t="inlineStr">
        <is>
          <t>13.5%</t>
        </is>
      </c>
      <c r="G24" s="162" t="inlineStr">
        <is>
          <t>🏢 RA6</t>
        </is>
      </c>
      <c r="H24" s="159" t="inlineStr">
        <is>
          <t>CR1  CR2  CR3  CR4  CR5  CR6  CR7</t>
        </is>
      </c>
      <c r="I24" s="17" t="n">
        <v>7</v>
      </c>
      <c r="J24" s="17" t="inlineStr">
        <is>
          <t>100.0%</t>
        </is>
      </c>
      <c r="K24" s="17" t="n">
        <v>21</v>
      </c>
      <c r="L24" s="160" t="inlineStr">
        <is>
          <t>10%</t>
        </is>
      </c>
      <c r="M24" s="161" t="inlineStr">
        <is>
          <t>🏢 Empresa</t>
        </is>
      </c>
      <c r="N24" s="59">
        <f>HYPERLINK("../apuntes/04-FP/PAR/1-asir/resolucion-de-incidencias-de-red/index.html","📖 Ver apunte")</f>
        <v/>
      </c>
    </row>
    <row r="25" ht="4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7" ht="20" customHeight="1">
      <c r="B27" s="125" t="inlineStr">
        <is>
          <t>RESUMEN DE RESULTADOS DE APRENDIZAJE — PONDERACIÓN TOTAL DEL MÓDULO</t>
        </is>
      </c>
    </row>
    <row r="28" ht="22" customHeight="1">
      <c r="B28" s="166" t="inlineStr">
        <is>
          <t>Eval.</t>
        </is>
      </c>
      <c r="C28" s="166" t="inlineStr">
        <is>
          <t>RA</t>
        </is>
      </c>
      <c r="D28" s="166" t="inlineStr">
        <is>
          <t>Resultado de Aprendizaje</t>
        </is>
      </c>
      <c r="E28" s="166" t="inlineStr">
        <is>
          <t>Total CEs</t>
        </is>
      </c>
      <c r="F28" s="166" t="inlineStr">
        <is>
          <t>Horas equiv.</t>
        </is>
      </c>
      <c r="G28" s="166" t="inlineStr">
        <is>
          <t>Ponderación %</t>
        </is>
      </c>
      <c r="H28" s="166" t="inlineStr">
        <is>
          <t>Instrumento(s)</t>
        </is>
      </c>
      <c r="I28" s="167"/>
      <c r="J28" s="167"/>
      <c r="K28" s="167"/>
      <c r="L28" s="167"/>
      <c r="M28" s="167"/>
      <c r="N28" s="168"/>
    </row>
    <row r="29" ht="20" customHeight="1">
      <c r="B29" s="127" t="inlineStr">
        <is>
          <t>EV1</t>
        </is>
      </c>
      <c r="C29" s="130" t="inlineStr">
        <is>
          <t>RA1</t>
        </is>
      </c>
      <c r="D29" s="135" t="inlineStr">
        <is>
          <t>Reconoce la estructura de las redes de datos describiendo sus elementos y funcionamiento.</t>
        </is>
      </c>
      <c r="E29" s="17" t="n">
        <v>8</v>
      </c>
      <c r="F29" s="17" t="inlineStr">
        <is>
          <t>24.9 h</t>
        </is>
      </c>
      <c r="G29" s="132" t="inlineStr">
        <is>
          <t>15%</t>
        </is>
      </c>
      <c r="H29" s="169" t="inlineStr">
        <is>
          <t>📝 Examen  ·  🔧 Práctica</t>
        </is>
      </c>
    </row>
    <row r="30" ht="20" customHeight="1">
      <c r="B30" s="127" t="inlineStr">
        <is>
          <t>EV1</t>
        </is>
      </c>
      <c r="C30" s="136" t="inlineStr">
        <is>
          <t>RA2</t>
        </is>
      </c>
      <c r="D30" s="141" t="inlineStr">
        <is>
          <t>Integra ordenadores y periféricos en redes cableadas e inalámbricas, evaluando su funcionamiento y prestaciones.</t>
        </is>
      </c>
      <c r="E30" s="20" t="n">
        <v>7</v>
      </c>
      <c r="F30" s="20" t="inlineStr">
        <is>
          <t>17.1 h</t>
        </is>
      </c>
      <c r="G30" s="138" t="inlineStr">
        <is>
          <t>20%</t>
        </is>
      </c>
      <c r="H30" s="170" t="inlineStr">
        <is>
          <t>📝 Examen  ·  🔧 Práctica</t>
        </is>
      </c>
    </row>
    <row r="31" ht="20" customHeight="1">
      <c r="B31" s="147" t="inlineStr">
        <is>
          <t>EV2</t>
        </is>
      </c>
      <c r="C31" s="148" t="inlineStr">
        <is>
          <t>RA3</t>
        </is>
      </c>
      <c r="D31" s="135" t="inlineStr">
        <is>
          <t>Administra conmutadores estableciendo opciones de configuración para su integración en la red.</t>
        </is>
      </c>
      <c r="E31" s="17" t="n">
        <v>8</v>
      </c>
      <c r="F31" s="17" t="inlineStr">
        <is>
          <t>22.0 h</t>
        </is>
      </c>
      <c r="G31" s="144" t="inlineStr">
        <is>
          <t>20%</t>
        </is>
      </c>
      <c r="H31" s="171" t="inlineStr">
        <is>
          <t>📝 Examen  ·  🔧 Práctica</t>
        </is>
      </c>
    </row>
    <row r="32" ht="20" customHeight="1">
      <c r="B32" s="147" t="inlineStr">
        <is>
          <t>EV2</t>
        </is>
      </c>
      <c r="C32" s="149" t="inlineStr">
        <is>
          <t>RA4</t>
        </is>
      </c>
      <c r="D32" s="141" t="inlineStr">
        <is>
          <t>Administra las funciones de un router estableciendo opciones de configuración para su integración en la red.</t>
        </is>
      </c>
      <c r="E32" s="20" t="n">
        <v>12</v>
      </c>
      <c r="F32" s="20" t="inlineStr">
        <is>
          <t>52.9 h</t>
        </is>
      </c>
      <c r="G32" s="151" t="inlineStr">
        <is>
          <t>25%</t>
        </is>
      </c>
      <c r="H32" s="172" t="inlineStr">
        <is>
          <t>📝 Examen  ·  🔧 Práctica</t>
        </is>
      </c>
    </row>
    <row r="33" ht="20" customHeight="1">
      <c r="B33" s="147" t="inlineStr">
        <is>
          <t>EV2</t>
        </is>
      </c>
      <c r="C33" s="153" t="inlineStr">
        <is>
          <t>RA5</t>
        </is>
      </c>
      <c r="D33" s="135" t="inlineStr">
        <is>
          <t>Configura redes inalámbricas en modo infraestructura describiendo sus características y relacionándolas con su área de aplicación.</t>
        </is>
      </c>
      <c r="E33" s="17" t="n">
        <v>6</v>
      </c>
      <c r="F33" s="17" t="inlineStr">
        <is>
          <t>17.1 h</t>
        </is>
      </c>
      <c r="G33" s="155" t="inlineStr">
        <is>
          <t>10%</t>
        </is>
      </c>
      <c r="H33" s="173" t="inlineStr">
        <is>
          <t>🔧 Práctica</t>
        </is>
      </c>
    </row>
    <row r="34" ht="20" customHeight="1">
      <c r="B34" s="157" t="inlineStr">
        <is>
          <t>EV3</t>
        </is>
      </c>
      <c r="C34" s="162" t="inlineStr">
        <is>
          <t>🏢 RA6</t>
        </is>
      </c>
      <c r="D34" s="141" t="inlineStr">
        <is>
          <t>Soluciona problemas de conectividad en redes locales y en redes con salida a Internet identificando las causas y describiendo las soluciones.</t>
        </is>
      </c>
      <c r="E34" s="20" t="n">
        <v>7</v>
      </c>
      <c r="F34" s="20" t="inlineStr">
        <is>
          <t>21.0 h</t>
        </is>
      </c>
      <c r="G34" s="160" t="inlineStr">
        <is>
          <t>10%</t>
        </is>
      </c>
      <c r="H34" s="174" t="inlineStr">
        <is>
          <t>🏢 Empresa</t>
        </is>
      </c>
    </row>
    <row r="35" ht="20" customHeight="1">
      <c r="B35" s="176" t="inlineStr">
        <is>
          <t>TOTAL — 6 Resultados de Aprendizaje</t>
        </is>
      </c>
      <c r="E35" s="14" t="n">
        <v>48</v>
      </c>
      <c r="F35" s="14" t="inlineStr">
        <is>
          <t>155 h</t>
        </is>
      </c>
      <c r="G35" s="14" t="inlineStr">
        <is>
          <t>100%</t>
        </is>
      </c>
      <c r="H35" s="2"/>
    </row>
    <row r="37" ht="14" customHeight="1">
      <c r="B37" s="177" t="inlineStr">
        <is>
          <t>🏢  EVALUACIÓN DUAL — Justificación</t>
        </is>
      </c>
    </row>
    <row r="38" ht="80" customHeight="1">
      <c r="B38" s="178" t="inlineStr">
        <is>
          <t>RA6 — Resolución de problemas de red — se evalúa en modalidad DUAL de acuerdo con el artículo 42 de la Ley Orgánica 3/2022. El alumno/a resuelve incidencias reales en el entorno laboral bajo supervisión del tutor/a de empresa. Peso en nota final: 10%.</t>
        </is>
      </c>
    </row>
    <row r="39" ht="16" customHeight="1">
      <c r="B39" s="179" t="inlineStr">
        <is>
          <t>Peso del RA dual en la nota final: 10% = 0.1 puntos sobre 1  |  Evaluador: Tutor/a de empresa  |  Base legal: Ley Orgánica 3/2022, art. 42</t>
        </is>
      </c>
    </row>
  </sheetData>
  <mergeCells count="16">
    <mergeCell ref="B37:N37"/>
    <mergeCell ref="H28:N28"/>
    <mergeCell ref="H31:N31"/>
    <mergeCell ref="B27:N27"/>
    <mergeCell ref="B39:N39"/>
    <mergeCell ref="B8:N8"/>
    <mergeCell ref="H30:N30"/>
    <mergeCell ref="B35:D35"/>
    <mergeCell ref="H34:N34"/>
    <mergeCell ref="H29:N29"/>
    <mergeCell ref="H35:N35"/>
    <mergeCell ref="B2:K2"/>
    <mergeCell ref="H32:N32"/>
    <mergeCell ref="B38:N38"/>
    <mergeCell ref="B3:K3"/>
    <mergeCell ref="H33:N3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5" customWidth="1" min="3" max="3"/>
    <col width="20" customWidth="1" min="4" max="4"/>
    <col width="12" customWidth="1" min="5" max="5"/>
    <col width="15" customWidth="1" min="6" max="6"/>
    <col width="28" customWidth="1" min="7" max="7"/>
    <col width="28" customWidth="1" min="8" max="8"/>
    <col width="15" customWidth="1" min="9" max="9"/>
    <col width="12" customWidth="1" min="10" max="10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👥 Lista de Alumnos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Registro de alumnado del grupo — datos académicos y de contacto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5" t="inlineStr">
        <is>
          <t>👥 Alumnos</t>
        </is>
      </c>
      <c r="E5" s="6">
        <f>HYPERLINK("#PAR · Actividades!A1","📝 Actividades")</f>
        <v/>
      </c>
      <c r="F5" s="6">
        <f>HYPERLINK("#PAR · Reg. Notas!A1","📊 Reg. Notas")</f>
        <v/>
      </c>
      <c r="G5" s="6">
        <f>HYPERLINK("#PAR · Resumen!A1","📈 Resumen")</f>
        <v/>
      </c>
      <c r="H5" s="6">
        <f>HYPERLINK("#PAR · Evaluación 1!A1","Eval 1")</f>
        <v/>
      </c>
      <c r="I5" s="6">
        <f>HYPERLINK("#PAR · Evaluación 2!A1","Eval 2")</f>
        <v/>
      </c>
      <c r="J5" s="6">
        <f>HYPERLINK("#PAR · Evaluación 3!A1","Eval 3")</f>
        <v/>
      </c>
      <c r="K5" s="6">
        <f>HYPERLINK("#PAR · 1ªORD!A1","1ª ORD")</f>
        <v/>
      </c>
      <c r="L5" s="6">
        <f>HYPERLINK("#PAR · 2ªORD!A1","2ª ORD")</f>
        <v/>
      </c>
      <c r="M5" s="6">
        <f>HYPERLINK("#PAR · Rúbricas!A1","🎯 Rúbricas")</f>
        <v/>
      </c>
      <c r="N5" s="6">
        <f>HYPERLINK("#PAR · Informe Grupo!A1","📊 Inf.Grupo")</f>
        <v/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8" customHeight="1">
      <c r="B8" s="180" t="inlineStr">
        <is>
          <t>Total activos:</t>
        </is>
      </c>
      <c r="C8" s="181">
        <f>COUNTIF(J9:J38,"Activo")</f>
        <v/>
      </c>
      <c r="D8" s="180" t="inlineStr">
        <is>
          <t>Bajas:</t>
        </is>
      </c>
      <c r="E8" s="182">
        <f>COUNTIF(J9:J38,"Baja")</f>
        <v/>
      </c>
      <c r="F8" s="180" t="inlineStr">
        <is>
          <t>Pendientes:</t>
        </is>
      </c>
      <c r="G8" s="183">
        <f>COUNTIF(J9:J38,"Pendiente")</f>
        <v/>
      </c>
    </row>
    <row r="9" ht="22" customHeight="1">
      <c r="B9" s="14" t="inlineStr">
        <is>
          <t>Nº</t>
        </is>
      </c>
      <c r="C9" s="14" t="inlineStr">
        <is>
          <t>Apellidos</t>
        </is>
      </c>
      <c r="D9" s="14" t="inlineStr">
        <is>
          <t>Nombre</t>
        </is>
      </c>
      <c r="E9" s="14" t="inlineStr">
        <is>
          <t>NIA / Exp.</t>
        </is>
      </c>
      <c r="F9" s="14" t="inlineStr">
        <is>
          <t>Fecha nacim.</t>
        </is>
      </c>
      <c r="G9" s="14" t="inlineStr">
        <is>
          <t>Email</t>
        </is>
      </c>
      <c r="H9" s="14" t="inlineStr">
        <is>
          <t>Teléfono contacto</t>
        </is>
      </c>
      <c r="I9" s="14" t="inlineStr">
        <is>
          <t>Observaciones</t>
        </is>
      </c>
      <c r="J9" s="14" t="inlineStr">
        <is>
          <t>Estado</t>
        </is>
      </c>
    </row>
    <row r="10" ht="18" customHeight="1">
      <c r="B10" s="184" t="n">
        <v>1</v>
      </c>
      <c r="C10" s="185"/>
      <c r="D10" s="185"/>
      <c r="E10" s="185"/>
      <c r="F10" s="185"/>
      <c r="G10" s="185"/>
      <c r="H10" s="185"/>
      <c r="I10" s="185"/>
      <c r="J10" s="90" t="inlineStr">
        <is>
          <t>Activo</t>
        </is>
      </c>
    </row>
    <row r="11" ht="18" customHeight="1">
      <c r="B11" s="184" t="n">
        <v>2</v>
      </c>
      <c r="C11" s="186"/>
      <c r="D11" s="186"/>
      <c r="E11" s="186"/>
      <c r="F11" s="186"/>
      <c r="G11" s="186"/>
      <c r="H11" s="186"/>
      <c r="I11" s="186"/>
      <c r="J11" s="90" t="inlineStr">
        <is>
          <t>Activo</t>
        </is>
      </c>
    </row>
    <row r="12" ht="18" customHeight="1">
      <c r="B12" s="184" t="n">
        <v>3</v>
      </c>
      <c r="C12" s="185"/>
      <c r="D12" s="185"/>
      <c r="E12" s="185"/>
      <c r="F12" s="185"/>
      <c r="G12" s="185"/>
      <c r="H12" s="185"/>
      <c r="I12" s="185"/>
      <c r="J12" s="90" t="inlineStr">
        <is>
          <t>Activo</t>
        </is>
      </c>
    </row>
    <row r="13" ht="18" customHeight="1">
      <c r="B13" s="184" t="n">
        <v>4</v>
      </c>
      <c r="C13" s="186"/>
      <c r="D13" s="186"/>
      <c r="E13" s="186"/>
      <c r="F13" s="186"/>
      <c r="G13" s="186"/>
      <c r="H13" s="186"/>
      <c r="I13" s="186"/>
      <c r="J13" s="90" t="inlineStr">
        <is>
          <t>Activo</t>
        </is>
      </c>
    </row>
    <row r="14" ht="18" customHeight="1">
      <c r="B14" s="184" t="n">
        <v>5</v>
      </c>
      <c r="C14" s="185"/>
      <c r="D14" s="185"/>
      <c r="E14" s="185"/>
      <c r="F14" s="185"/>
      <c r="G14" s="185"/>
      <c r="H14" s="185"/>
      <c r="I14" s="185"/>
      <c r="J14" s="90" t="inlineStr">
        <is>
          <t>Activo</t>
        </is>
      </c>
    </row>
    <row r="15" ht="18" customHeight="1">
      <c r="B15" s="184" t="n">
        <v>6</v>
      </c>
      <c r="C15" s="186"/>
      <c r="D15" s="186"/>
      <c r="E15" s="186"/>
      <c r="F15" s="186"/>
      <c r="G15" s="186"/>
      <c r="H15" s="186"/>
      <c r="I15" s="186"/>
      <c r="J15" s="90" t="inlineStr">
        <is>
          <t>Activo</t>
        </is>
      </c>
    </row>
    <row r="16" ht="18" customHeight="1">
      <c r="B16" s="184" t="n">
        <v>7</v>
      </c>
      <c r="C16" s="185"/>
      <c r="D16" s="185"/>
      <c r="E16" s="185"/>
      <c r="F16" s="185"/>
      <c r="G16" s="185"/>
      <c r="H16" s="185"/>
      <c r="I16" s="185"/>
      <c r="J16" s="90" t="inlineStr">
        <is>
          <t>Activo</t>
        </is>
      </c>
    </row>
    <row r="17" ht="18" customHeight="1">
      <c r="B17" s="184" t="n">
        <v>8</v>
      </c>
      <c r="C17" s="186"/>
      <c r="D17" s="186"/>
      <c r="E17" s="186"/>
      <c r="F17" s="186"/>
      <c r="G17" s="186"/>
      <c r="H17" s="186"/>
      <c r="I17" s="186"/>
      <c r="J17" s="90" t="inlineStr">
        <is>
          <t>Activo</t>
        </is>
      </c>
    </row>
    <row r="18" ht="18" customHeight="1">
      <c r="B18" s="184" t="n">
        <v>9</v>
      </c>
      <c r="C18" s="185"/>
      <c r="D18" s="185"/>
      <c r="E18" s="185"/>
      <c r="F18" s="185"/>
      <c r="G18" s="185"/>
      <c r="H18" s="185"/>
      <c r="I18" s="185"/>
      <c r="J18" s="90" t="inlineStr">
        <is>
          <t>Activo</t>
        </is>
      </c>
    </row>
    <row r="19" ht="18" customHeight="1">
      <c r="B19" s="184" t="n">
        <v>10</v>
      </c>
      <c r="C19" s="186"/>
      <c r="D19" s="186"/>
      <c r="E19" s="186"/>
      <c r="F19" s="186"/>
      <c r="G19" s="186"/>
      <c r="H19" s="186"/>
      <c r="I19" s="186"/>
      <c r="J19" s="90" t="inlineStr">
        <is>
          <t>Activo</t>
        </is>
      </c>
    </row>
    <row r="20" ht="18" customHeight="1">
      <c r="B20" s="184" t="n">
        <v>11</v>
      </c>
      <c r="C20" s="185"/>
      <c r="D20" s="185"/>
      <c r="E20" s="185"/>
      <c r="F20" s="185"/>
      <c r="G20" s="185"/>
      <c r="H20" s="185"/>
      <c r="I20" s="185"/>
      <c r="J20" s="90" t="inlineStr">
        <is>
          <t>Activo</t>
        </is>
      </c>
    </row>
    <row r="21" ht="18" customHeight="1">
      <c r="B21" s="184" t="n">
        <v>12</v>
      </c>
      <c r="C21" s="186"/>
      <c r="D21" s="186"/>
      <c r="E21" s="186"/>
      <c r="F21" s="186"/>
      <c r="G21" s="186"/>
      <c r="H21" s="186"/>
      <c r="I21" s="186"/>
      <c r="J21" s="90" t="inlineStr">
        <is>
          <t>Activo</t>
        </is>
      </c>
    </row>
    <row r="22" ht="18" customHeight="1">
      <c r="B22" s="184" t="n">
        <v>13</v>
      </c>
      <c r="C22" s="185"/>
      <c r="D22" s="185"/>
      <c r="E22" s="185"/>
      <c r="F22" s="185"/>
      <c r="G22" s="185"/>
      <c r="H22" s="185"/>
      <c r="I22" s="185"/>
      <c r="J22" s="90" t="inlineStr">
        <is>
          <t>Activo</t>
        </is>
      </c>
    </row>
    <row r="23" ht="18" customHeight="1">
      <c r="B23" s="184" t="n">
        <v>14</v>
      </c>
      <c r="C23" s="186"/>
      <c r="D23" s="186"/>
      <c r="E23" s="186"/>
      <c r="F23" s="186"/>
      <c r="G23" s="186"/>
      <c r="H23" s="186"/>
      <c r="I23" s="186"/>
      <c r="J23" s="90" t="inlineStr">
        <is>
          <t>Activo</t>
        </is>
      </c>
    </row>
    <row r="24" ht="18" customHeight="1">
      <c r="B24" s="184" t="n">
        <v>15</v>
      </c>
      <c r="C24" s="185"/>
      <c r="D24" s="185"/>
      <c r="E24" s="185"/>
      <c r="F24" s="185"/>
      <c r="G24" s="185"/>
      <c r="H24" s="185"/>
      <c r="I24" s="185"/>
      <c r="J24" s="90" t="inlineStr">
        <is>
          <t>Activo</t>
        </is>
      </c>
    </row>
    <row r="25" ht="18" customHeight="1">
      <c r="B25" s="184" t="n">
        <v>16</v>
      </c>
      <c r="C25" s="186"/>
      <c r="D25" s="186"/>
      <c r="E25" s="186"/>
      <c r="F25" s="186"/>
      <c r="G25" s="186"/>
      <c r="H25" s="186"/>
      <c r="I25" s="186"/>
      <c r="J25" s="90" t="inlineStr">
        <is>
          <t>Activo</t>
        </is>
      </c>
    </row>
    <row r="26" ht="18" customHeight="1">
      <c r="B26" s="184" t="n">
        <v>17</v>
      </c>
      <c r="C26" s="185"/>
      <c r="D26" s="185"/>
      <c r="E26" s="185"/>
      <c r="F26" s="185"/>
      <c r="G26" s="185"/>
      <c r="H26" s="185"/>
      <c r="I26" s="185"/>
      <c r="J26" s="90" t="inlineStr">
        <is>
          <t>Activo</t>
        </is>
      </c>
    </row>
    <row r="27" ht="18" customHeight="1">
      <c r="B27" s="184" t="n">
        <v>18</v>
      </c>
      <c r="C27" s="186"/>
      <c r="D27" s="186"/>
      <c r="E27" s="186"/>
      <c r="F27" s="186"/>
      <c r="G27" s="186"/>
      <c r="H27" s="186"/>
      <c r="I27" s="186"/>
      <c r="J27" s="90" t="inlineStr">
        <is>
          <t>Activo</t>
        </is>
      </c>
    </row>
    <row r="28" ht="18" customHeight="1">
      <c r="B28" s="184" t="n">
        <v>19</v>
      </c>
      <c r="C28" s="185"/>
      <c r="D28" s="185"/>
      <c r="E28" s="185"/>
      <c r="F28" s="185"/>
      <c r="G28" s="185"/>
      <c r="H28" s="185"/>
      <c r="I28" s="185"/>
      <c r="J28" s="90" t="inlineStr">
        <is>
          <t>Activo</t>
        </is>
      </c>
    </row>
    <row r="29" ht="18" customHeight="1">
      <c r="B29" s="184" t="n">
        <v>20</v>
      </c>
      <c r="C29" s="186"/>
      <c r="D29" s="186"/>
      <c r="E29" s="186"/>
      <c r="F29" s="186"/>
      <c r="G29" s="186"/>
      <c r="H29" s="186"/>
      <c r="I29" s="186"/>
      <c r="J29" s="90" t="inlineStr">
        <is>
          <t>Activo</t>
        </is>
      </c>
    </row>
    <row r="30" ht="18" customHeight="1">
      <c r="B30" s="184" t="n">
        <v>21</v>
      </c>
      <c r="C30" s="185"/>
      <c r="D30" s="185"/>
      <c r="E30" s="185"/>
      <c r="F30" s="185"/>
      <c r="G30" s="185"/>
      <c r="H30" s="185"/>
      <c r="I30" s="185"/>
      <c r="J30" s="90" t="inlineStr">
        <is>
          <t>Activo</t>
        </is>
      </c>
    </row>
    <row r="31" ht="18" customHeight="1">
      <c r="B31" s="184" t="n">
        <v>22</v>
      </c>
      <c r="C31" s="186"/>
      <c r="D31" s="186"/>
      <c r="E31" s="186"/>
      <c r="F31" s="186"/>
      <c r="G31" s="186"/>
      <c r="H31" s="186"/>
      <c r="I31" s="186"/>
      <c r="J31" s="90" t="inlineStr">
        <is>
          <t>Activo</t>
        </is>
      </c>
    </row>
    <row r="32" ht="18" customHeight="1">
      <c r="B32" s="184" t="n">
        <v>23</v>
      </c>
      <c r="C32" s="185"/>
      <c r="D32" s="185"/>
      <c r="E32" s="185"/>
      <c r="F32" s="185"/>
      <c r="G32" s="185"/>
      <c r="H32" s="185"/>
      <c r="I32" s="185"/>
      <c r="J32" s="90" t="inlineStr">
        <is>
          <t>Activo</t>
        </is>
      </c>
    </row>
    <row r="33" ht="18" customHeight="1">
      <c r="B33" s="184" t="n">
        <v>24</v>
      </c>
      <c r="C33" s="186"/>
      <c r="D33" s="186"/>
      <c r="E33" s="186"/>
      <c r="F33" s="186"/>
      <c r="G33" s="186"/>
      <c r="H33" s="186"/>
      <c r="I33" s="186"/>
      <c r="J33" s="90" t="inlineStr">
        <is>
          <t>Activo</t>
        </is>
      </c>
    </row>
    <row r="34" ht="18" customHeight="1">
      <c r="B34" s="184" t="n">
        <v>25</v>
      </c>
      <c r="C34" s="185"/>
      <c r="D34" s="185"/>
      <c r="E34" s="185"/>
      <c r="F34" s="185"/>
      <c r="G34" s="185"/>
      <c r="H34" s="185"/>
      <c r="I34" s="185"/>
      <c r="J34" s="90" t="inlineStr">
        <is>
          <t>Activo</t>
        </is>
      </c>
    </row>
    <row r="35" ht="18" customHeight="1">
      <c r="B35" s="184" t="n">
        <v>26</v>
      </c>
      <c r="C35" s="186"/>
      <c r="D35" s="186"/>
      <c r="E35" s="186"/>
      <c r="F35" s="186"/>
      <c r="G35" s="186"/>
      <c r="H35" s="186"/>
      <c r="I35" s="186"/>
      <c r="J35" s="90" t="inlineStr">
        <is>
          <t>Activo</t>
        </is>
      </c>
    </row>
    <row r="36" ht="18" customHeight="1">
      <c r="B36" s="184" t="n">
        <v>27</v>
      </c>
      <c r="C36" s="185"/>
      <c r="D36" s="185"/>
      <c r="E36" s="185"/>
      <c r="F36" s="185"/>
      <c r="G36" s="185"/>
      <c r="H36" s="185"/>
      <c r="I36" s="185"/>
      <c r="J36" s="90" t="inlineStr">
        <is>
          <t>Activo</t>
        </is>
      </c>
    </row>
    <row r="37" ht="18" customHeight="1">
      <c r="B37" s="184" t="n">
        <v>28</v>
      </c>
      <c r="C37" s="186"/>
      <c r="D37" s="186"/>
      <c r="E37" s="186"/>
      <c r="F37" s="186"/>
      <c r="G37" s="186"/>
      <c r="H37" s="186"/>
      <c r="I37" s="186"/>
      <c r="J37" s="90" t="inlineStr">
        <is>
          <t>Activo</t>
        </is>
      </c>
    </row>
    <row r="38" ht="18" customHeight="1">
      <c r="B38" s="184" t="n">
        <v>29</v>
      </c>
      <c r="C38" s="185"/>
      <c r="D38" s="185"/>
      <c r="E38" s="185"/>
      <c r="F38" s="185"/>
      <c r="G38" s="185"/>
      <c r="H38" s="185"/>
      <c r="I38" s="185"/>
      <c r="J38" s="90" t="inlineStr">
        <is>
          <t>Activo</t>
        </is>
      </c>
    </row>
    <row r="39" ht="18" customHeight="1">
      <c r="B39" s="184" t="n">
        <v>30</v>
      </c>
      <c r="C39" s="186"/>
      <c r="D39" s="186"/>
      <c r="E39" s="186"/>
      <c r="F39" s="186"/>
      <c r="G39" s="186"/>
      <c r="H39" s="186"/>
      <c r="I39" s="186"/>
      <c r="J39" s="90" t="inlineStr">
        <is>
          <t>Activo</t>
        </is>
      </c>
    </row>
  </sheetData>
  <mergeCells count="2">
    <mergeCell ref="B3:K3"/>
    <mergeCell ref="B2:K2"/>
  </mergeCells>
  <dataValidations count="1">
    <dataValidation sqref="J10:J39" showDropDown="0" showInputMessage="0" showErrorMessage="0" allowBlank="0" errorTitle="Valor no válido" error="Usa el desplegable: Activo, Pendiente o Baja" prompt="Selecciona el estado del alumno/a" type="list">
      <formula1>"Activo,Pendiente,Baja"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xSplit="1" ySplit="9" topLeftCell="B10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6" customWidth="1" min="3" max="3"/>
    <col width="7" customWidth="1" min="4" max="4"/>
    <col width="7" customWidth="1" min="5" max="5"/>
    <col width="26" customWidth="1" min="6" max="6"/>
    <col width="38" customWidth="1" min="7" max="7"/>
    <col width="14" customWidth="1" min="8" max="8"/>
    <col width="12" customWidth="1" min="9" max="9"/>
    <col width="8" customWidth="1" min="10" max="10"/>
    <col width="9" customWidth="1" min="11" max="11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📝 Actividades Evaluables — PAR 1º ASIR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Prácticas y exámenes vinculados a RAs y CEs · Planificación y Administración de Redes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5" t="inlineStr">
        <is>
          <t>📝 Actividades</t>
        </is>
      </c>
      <c r="F5" s="6">
        <f>HYPERLINK("#PAR · Reg. Notas!A1","📊 Reg. Notas")</f>
        <v/>
      </c>
      <c r="G5" s="6">
        <f>HYPERLINK("#PAR · Resumen!A1","📈 Resumen")</f>
        <v/>
      </c>
      <c r="H5" s="6">
        <f>HYPERLINK("#PAR · Evaluación 1!A1","Eval 1")</f>
        <v/>
      </c>
      <c r="I5" s="6">
        <f>HYPERLINK("#PAR · Evaluación 2!A1","Eval 2")</f>
        <v/>
      </c>
      <c r="J5" s="6">
        <f>HYPERLINK("#PAR · Evaluación 3!A1","Eval 3")</f>
        <v/>
      </c>
      <c r="K5" s="6">
        <f>HYPERLINK("#PAR · 1ªORD!A1","1ª ORD")</f>
        <v/>
      </c>
      <c r="L5" s="6">
        <f>HYPERLINK("#PAR · 2ªORD!A1","2ª ORD")</f>
        <v/>
      </c>
      <c r="M5" s="6">
        <f>HYPERLINK("#PAR · Rúbricas!A1","🎯 Rúbricas")</f>
        <v/>
      </c>
      <c r="N5" s="6">
        <f>HYPERLINK("#PAR · Informe Grupo!A1","📊 Inf.Grupo")</f>
        <v/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B8" s="187" t="inlineStr">
        <is>
          <t>ℹ️  Las actividades prácticas se han generado automáticamente desde la Programación. Ajusta la descripción, el tipo y el peso según tu planificación.</t>
        </is>
      </c>
    </row>
    <row r="9" ht="34" customHeight="1">
      <c r="B9" s="188" t="inlineStr">
        <is>
          <t>ID</t>
        </is>
      </c>
      <c r="C9" s="188" t="inlineStr">
        <is>
          <t>Eval.</t>
        </is>
      </c>
      <c r="D9" s="188" t="inlineStr">
        <is>
          <t>UT</t>
        </is>
      </c>
      <c r="E9" s="188" t="inlineStr">
        <is>
          <t>RA</t>
        </is>
      </c>
      <c r="F9" s="188" t="inlineStr">
        <is>
          <t>CEs vinculados</t>
        </is>
      </c>
      <c r="G9" s="188" t="inlineStr">
        <is>
          <t>Descripción de la actividad</t>
        </is>
      </c>
      <c r="H9" s="188" t="inlineStr">
        <is>
          <t>Instrumento</t>
        </is>
      </c>
      <c r="I9" s="188" t="inlineStr">
        <is>
          <t>Tipo</t>
        </is>
      </c>
      <c r="J9" s="188" t="inlineStr">
        <is>
          <t>Peso (%)</t>
        </is>
      </c>
      <c r="K9" s="188" t="inlineStr">
        <is>
          <t>Nota máx.</t>
        </is>
      </c>
    </row>
    <row r="10" ht="20" customHeight="1">
      <c r="B10" s="189" t="inlineStr">
        <is>
          <t>A001</t>
        </is>
      </c>
      <c r="C10" s="190" t="inlineStr">
        <is>
          <t>EV1</t>
        </is>
      </c>
      <c r="D10" s="191" t="inlineStr">
        <is>
          <t>UT1</t>
        </is>
      </c>
      <c r="E10" s="190" t="inlineStr">
        <is>
          <t>RA1</t>
        </is>
      </c>
      <c r="F10" s="131" t="inlineStr">
        <is>
          <t>CR1  CR2  CR3  CR4  CR5  CR6</t>
        </is>
      </c>
      <c r="G10" s="192" t="inlineStr">
        <is>
          <t>Introducción a las redes locales — práctica RA1</t>
        </is>
      </c>
      <c r="H10" s="64" t="inlineStr">
        <is>
          <t>🔧 Práctica</t>
        </is>
      </c>
      <c r="I10" s="64" t="inlineStr">
        <is>
          <t>Individual</t>
        </is>
      </c>
      <c r="J10" s="58"/>
      <c r="K10" s="60" t="n">
        <v>10</v>
      </c>
    </row>
    <row r="11" ht="20" customHeight="1">
      <c r="B11" s="189" t="inlineStr">
        <is>
          <t>A002</t>
        </is>
      </c>
      <c r="C11" s="190" t="inlineStr">
        <is>
          <t>EV1</t>
        </is>
      </c>
      <c r="D11" s="191" t="inlineStr">
        <is>
          <t>UT2</t>
        </is>
      </c>
      <c r="E11" s="193" t="inlineStr">
        <is>
          <t>RA2</t>
        </is>
      </c>
      <c r="F11" s="137" t="inlineStr">
        <is>
          <t>CR1  CR2  CR3  CR4  CR5  CR6  CR7</t>
        </is>
      </c>
      <c r="G11" s="192" t="inlineStr">
        <is>
          <t>Dispositivos de red y medios de transmisión — práctica RA2</t>
        </is>
      </c>
      <c r="H11" s="64" t="inlineStr">
        <is>
          <t>🔧 Práctica</t>
        </is>
      </c>
      <c r="I11" s="64" t="inlineStr">
        <is>
          <t>Individual</t>
        </is>
      </c>
      <c r="J11" s="58"/>
      <c r="K11" s="60" t="n">
        <v>10</v>
      </c>
    </row>
    <row r="12" ht="20" customHeight="1">
      <c r="B12" s="189" t="inlineStr">
        <is>
          <t>A003</t>
        </is>
      </c>
      <c r="C12" s="190" t="inlineStr">
        <is>
          <t>EV1</t>
        </is>
      </c>
      <c r="D12" s="191" t="inlineStr">
        <is>
          <t>UT2</t>
        </is>
      </c>
      <c r="E12" s="190" t="inlineStr">
        <is>
          <t>RA1</t>
        </is>
      </c>
      <c r="F12" s="131" t="inlineStr">
        <is>
          <t>CR7  CR8</t>
        </is>
      </c>
      <c r="G12" s="192" t="inlineStr">
        <is>
          <t>Dispositivos de red y medios de transmisión — práctica RA1</t>
        </is>
      </c>
      <c r="H12" s="64" t="inlineStr">
        <is>
          <t>🔧 Práctica</t>
        </is>
      </c>
      <c r="I12" s="64" t="inlineStr">
        <is>
          <t>Individual</t>
        </is>
      </c>
      <c r="J12" s="58"/>
      <c r="K12" s="60" t="n">
        <v>10</v>
      </c>
    </row>
    <row r="13" ht="20" customHeight="1">
      <c r="B13" s="189" t="inlineStr">
        <is>
          <t>A004</t>
        </is>
      </c>
      <c r="C13" s="193" t="inlineStr">
        <is>
          <t>EV2</t>
        </is>
      </c>
      <c r="D13" s="191" t="inlineStr">
        <is>
          <t>UT3</t>
        </is>
      </c>
      <c r="E13" s="194" t="inlineStr">
        <is>
          <t>RA3</t>
        </is>
      </c>
      <c r="F13" s="143" t="inlineStr">
        <is>
          <t>CR1  CR2  CR3  CR4  CR5  CR6  CR7  CR8</t>
        </is>
      </c>
      <c r="G13" s="192" t="inlineStr">
        <is>
          <t>Configuración y administración de conmutadores — práctica RA3</t>
        </is>
      </c>
      <c r="H13" s="64" t="inlineStr">
        <is>
          <t>🔧 Práctica</t>
        </is>
      </c>
      <c r="I13" s="64" t="inlineStr">
        <is>
          <t>Individual</t>
        </is>
      </c>
      <c r="J13" s="58"/>
      <c r="K13" s="60" t="n">
        <v>10</v>
      </c>
    </row>
    <row r="14" ht="20" customHeight="1">
      <c r="B14" s="189" t="inlineStr">
        <is>
          <t>A005</t>
        </is>
      </c>
      <c r="C14" s="193" t="inlineStr">
        <is>
          <t>EV2</t>
        </is>
      </c>
      <c r="D14" s="191" t="inlineStr">
        <is>
          <t>UT4</t>
        </is>
      </c>
      <c r="E14" s="195" t="inlineStr">
        <is>
          <t>RA4</t>
        </is>
      </c>
      <c r="F14" s="150" t="inlineStr">
        <is>
          <t>CR1  CR2  CR3  CR4  CR5  CR6  CR7  CR8  … (+1)</t>
        </is>
      </c>
      <c r="G14" s="192" t="inlineStr">
        <is>
          <t>Configuración y administración de routers — práctica RA4</t>
        </is>
      </c>
      <c r="H14" s="64" t="inlineStr">
        <is>
          <t>🔧 Práctica</t>
        </is>
      </c>
      <c r="I14" s="64" t="inlineStr">
        <is>
          <t>Individual</t>
        </is>
      </c>
      <c r="J14" s="58"/>
      <c r="K14" s="60" t="n">
        <v>10</v>
      </c>
    </row>
    <row r="15" ht="20" customHeight="1">
      <c r="B15" s="189" t="inlineStr">
        <is>
          <t>A006</t>
        </is>
      </c>
      <c r="C15" s="193" t="inlineStr">
        <is>
          <t>EV2</t>
        </is>
      </c>
      <c r="D15" s="191" t="inlineStr">
        <is>
          <t>UT5</t>
        </is>
      </c>
      <c r="E15" s="196" t="inlineStr">
        <is>
          <t>RA5</t>
        </is>
      </c>
      <c r="F15" s="154" t="inlineStr">
        <is>
          <t>CR1  CR2  CR3  CR4  CR5  CR6</t>
        </is>
      </c>
      <c r="G15" s="192" t="inlineStr">
        <is>
          <t>Configuración de redes inalámbricas — práctica RA5</t>
        </is>
      </c>
      <c r="H15" s="64" t="inlineStr">
        <is>
          <t>🔧 Práctica</t>
        </is>
      </c>
      <c r="I15" s="64" t="inlineStr">
        <is>
          <t>Individual</t>
        </is>
      </c>
      <c r="J15" s="58"/>
      <c r="K15" s="60" t="n">
        <v>10</v>
      </c>
    </row>
    <row r="16" ht="20" customHeight="1">
      <c r="B16" s="189" t="inlineStr">
        <is>
          <t>A007</t>
        </is>
      </c>
      <c r="C16" s="193" t="inlineStr">
        <is>
          <t>EV2</t>
        </is>
      </c>
      <c r="D16" s="191" t="inlineStr">
        <is>
          <t>UT5</t>
        </is>
      </c>
      <c r="E16" s="195" t="inlineStr">
        <is>
          <t>RA4</t>
        </is>
      </c>
      <c r="F16" s="150" t="inlineStr">
        <is>
          <t>CR10</t>
        </is>
      </c>
      <c r="G16" s="192" t="inlineStr">
        <is>
          <t>Configuración de redes inalámbricas — práctica RA4</t>
        </is>
      </c>
      <c r="H16" s="64" t="inlineStr">
        <is>
          <t>🔧 Práctica</t>
        </is>
      </c>
      <c r="I16" s="64" t="inlineStr">
        <is>
          <t>Individual</t>
        </is>
      </c>
      <c r="J16" s="58"/>
      <c r="K16" s="60" t="n">
        <v>10</v>
      </c>
    </row>
    <row r="17" ht="20" customHeight="1">
      <c r="B17" s="189" t="inlineStr">
        <is>
          <t>A008</t>
        </is>
      </c>
      <c r="C17" s="194" t="inlineStr">
        <is>
          <t>EV3</t>
        </is>
      </c>
      <c r="D17" s="191" t="inlineStr">
        <is>
          <t>UT7</t>
        </is>
      </c>
      <c r="E17" s="197" t="inlineStr">
        <is>
          <t>RA6</t>
        </is>
      </c>
      <c r="F17" s="159" t="inlineStr">
        <is>
          <t>CR1  CR2  CR3  CR4  CR5  CR6  CR7</t>
        </is>
      </c>
      <c r="G17" s="192" t="inlineStr">
        <is>
          <t>Resolución de incidencias de red — práctica RA6</t>
        </is>
      </c>
      <c r="H17" s="64" t="inlineStr">
        <is>
          <t>🔧 Práctica</t>
        </is>
      </c>
      <c r="I17" s="64" t="inlineStr">
        <is>
          <t>Individual</t>
        </is>
      </c>
      <c r="J17" s="58"/>
      <c r="K17" s="60" t="n">
        <v>10</v>
      </c>
    </row>
    <row r="18" ht="6" customHeight="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20" customHeight="1">
      <c r="B19" s="197" t="inlineStr">
        <is>
          <t>EX1</t>
        </is>
      </c>
      <c r="C19" s="190" t="inlineStr">
        <is>
          <t>EV1</t>
        </is>
      </c>
      <c r="D19" s="200" t="inlineStr">
        <is>
          <t>UT1+UT2</t>
        </is>
      </c>
      <c r="E19" s="71" t="inlineStr">
        <is>
          <t>RA1+RA2</t>
        </is>
      </c>
      <c r="F19" s="63" t="inlineStr">
        <is>
          <t>Todos los CEs de la evaluación</t>
        </is>
      </c>
      <c r="G19" s="192" t="inlineStr">
        <is>
          <t>Examen teórico-práctico Evaluación 1</t>
        </is>
      </c>
      <c r="H19" s="64" t="inlineStr">
        <is>
          <t>📝 Examen</t>
        </is>
      </c>
      <c r="I19" s="64" t="inlineStr">
        <is>
          <t>Individual</t>
        </is>
      </c>
      <c r="J19" s="58"/>
      <c r="K19" s="60" t="n">
        <v>10</v>
      </c>
    </row>
    <row r="20" ht="20" customHeight="1">
      <c r="B20" s="197" t="inlineStr">
        <is>
          <t>EX2</t>
        </is>
      </c>
      <c r="C20" s="193" t="inlineStr">
        <is>
          <t>EV2</t>
        </is>
      </c>
      <c r="D20" s="200" t="inlineStr">
        <is>
          <t>UT3+UT4+UT5</t>
        </is>
      </c>
      <c r="E20" s="71" t="inlineStr">
        <is>
          <t>RA3+RA4+RA5</t>
        </is>
      </c>
      <c r="F20" s="63" t="inlineStr">
        <is>
          <t>Todos los CEs de la evaluación</t>
        </is>
      </c>
      <c r="G20" s="192" t="inlineStr">
        <is>
          <t>Examen teórico-práctico Evaluación 2</t>
        </is>
      </c>
      <c r="H20" s="64" t="inlineStr">
        <is>
          <t>📝 Examen</t>
        </is>
      </c>
      <c r="I20" s="64" t="inlineStr">
        <is>
          <t>Individual</t>
        </is>
      </c>
      <c r="J20" s="58"/>
      <c r="K20" s="60" t="n">
        <v>10</v>
      </c>
    </row>
    <row r="21" ht="20" customHeight="1">
      <c r="B21" s="197" t="inlineStr">
        <is>
          <t>EX3</t>
        </is>
      </c>
      <c r="C21" s="194" t="inlineStr">
        <is>
          <t>EV3</t>
        </is>
      </c>
      <c r="D21" s="200" t="inlineStr">
        <is>
          <t>UT6+UT7</t>
        </is>
      </c>
      <c r="E21" s="71" t="inlineStr">
        <is>
          <t>RA6</t>
        </is>
      </c>
      <c r="F21" s="63" t="inlineStr">
        <is>
          <t>Todos los CEs de la evaluación</t>
        </is>
      </c>
      <c r="G21" s="192" t="inlineStr">
        <is>
          <t>Examen teórico-práctico Evaluación 3</t>
        </is>
      </c>
      <c r="H21" s="64" t="inlineStr">
        <is>
          <t>📝 Examen</t>
        </is>
      </c>
      <c r="I21" s="64" t="inlineStr">
        <is>
          <t>Individual</t>
        </is>
      </c>
      <c r="J21" s="58"/>
      <c r="K21" s="60" t="n">
        <v>10</v>
      </c>
    </row>
    <row r="23" ht="28" customHeight="1">
      <c r="B23" s="201" t="inlineStr">
        <is>
          <t>💡  Peso (%): indica el porcentaje de la nota de prácticas que pondera esta actividad para cada RA. Los exámenes tienen su propio peso (configurable en Configuración → Peso examen). La suma de pesos de prácticas por RA debería ser 100%.</t>
        </is>
      </c>
    </row>
  </sheetData>
  <mergeCells count="3">
    <mergeCell ref="B23:K23"/>
    <mergeCell ref="B3:K3"/>
    <mergeCell ref="B2:K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0" customWidth="1" min="21" max="21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📊 Registro de Notas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Calificaciones por alumno/a · Actividades, Exámenes y RAs · PAR 1º ASIR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6">
        <f>HYPERLINK("#PAR · Actividades!A1","📝 Actividades")</f>
        <v/>
      </c>
      <c r="F5" s="5" t="inlineStr">
        <is>
          <t>📊 Reg. Notas</t>
        </is>
      </c>
      <c r="G5" s="6">
        <f>HYPERLINK("#PAR · Resumen!A1","📈 Resumen")</f>
        <v/>
      </c>
      <c r="H5" s="6">
        <f>HYPERLINK("#PAR · Evaluación 1!A1","Eval 1")</f>
        <v/>
      </c>
      <c r="I5" s="6">
        <f>HYPERLINK("#PAR · Evaluación 2!A1","Eval 2")</f>
        <v/>
      </c>
      <c r="J5" s="6">
        <f>HYPERLINK("#PAR · Evaluación 3!A1","Eval 3")</f>
        <v/>
      </c>
      <c r="K5" s="6">
        <f>HYPERLINK("#PAR · 1ªORD!A1","1ª ORD")</f>
        <v/>
      </c>
      <c r="L5" s="6">
        <f>HYPERLINK("#PAR · 2ªORD!A1","2ª ORD")</f>
        <v/>
      </c>
      <c r="M5" s="6">
        <f>HYPERLINK("#PAR · Rúbricas!A1","🎯 Rúbricas")</f>
        <v/>
      </c>
      <c r="N5" s="6">
        <f>HYPERLINK("#PAR · Informe Grupo!A1","📊 Inf.Grupo")</f>
        <v/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6" customHeight="1">
      <c r="B8" s="187" t="inlineStr">
        <is>
          <t>ℹ️  Introduzca las calificaciones de actividades (prácticas) y exámenes. Nota RA = % examen + % prácticas (configurables en la hoja Configuración). Las columnas de RAs y la nota final se calculan automáticamente.</t>
        </is>
      </c>
    </row>
    <row r="9" ht="14" customHeight="1">
      <c r="D9" s="202" t="inlineStr">
        <is>
          <t>ACTIVIDADES (PRÁCTICAS)</t>
        </is>
      </c>
      <c r="L9" s="203" t="inlineStr">
        <is>
          <t>EXÁMENES (TEORÍA)</t>
        </is>
      </c>
      <c r="O9" s="204" t="inlineStr">
        <is>
          <t>NOTA RA  (75% EX + 25% ACT)</t>
        </is>
      </c>
      <c r="U9" s="205" t="inlineStr">
        <is>
          <t>FINAL</t>
        </is>
      </c>
    </row>
    <row r="10" ht="18" customHeight="1">
      <c r="B10" s="36" t="inlineStr">
        <is>
          <t>Nº</t>
        </is>
      </c>
      <c r="C10" s="36" t="inlineStr">
        <is>
          <t>Apellidos y Nombre</t>
        </is>
      </c>
      <c r="D10" s="36" t="inlineStr">
        <is>
          <t>A001</t>
        </is>
      </c>
      <c r="E10" s="36" t="inlineStr">
        <is>
          <t>A002</t>
        </is>
      </c>
      <c r="F10" s="36" t="inlineStr">
        <is>
          <t>A003</t>
        </is>
      </c>
      <c r="G10" s="36" t="inlineStr">
        <is>
          <t>A004</t>
        </is>
      </c>
      <c r="H10" s="36" t="inlineStr">
        <is>
          <t>A005</t>
        </is>
      </c>
      <c r="I10" s="36" t="inlineStr">
        <is>
          <t>A006</t>
        </is>
      </c>
      <c r="J10" s="36" t="inlineStr">
        <is>
          <t>A007</t>
        </is>
      </c>
      <c r="K10" s="36" t="inlineStr">
        <is>
          <t>A008</t>
        </is>
      </c>
      <c r="L10" s="102" t="inlineStr">
        <is>
          <t>EX1</t>
        </is>
      </c>
      <c r="M10" s="102" t="inlineStr">
        <is>
          <t>EX2</t>
        </is>
      </c>
      <c r="N10" s="102" t="inlineStr">
        <is>
          <t>EX3</t>
        </is>
      </c>
      <c r="O10" s="206" t="inlineStr">
        <is>
          <t>RA1</t>
        </is>
      </c>
      <c r="P10" s="206" t="inlineStr">
        <is>
          <t>RA2</t>
        </is>
      </c>
      <c r="Q10" s="206" t="inlineStr">
        <is>
          <t>RA3</t>
        </is>
      </c>
      <c r="R10" s="206" t="inlineStr">
        <is>
          <t>RA4</t>
        </is>
      </c>
      <c r="S10" s="206" t="inlineStr">
        <is>
          <t>RA5</t>
        </is>
      </c>
      <c r="T10" s="206" t="inlineStr">
        <is>
          <t>RA6</t>
        </is>
      </c>
      <c r="U10" s="103" t="inlineStr">
        <is>
          <t>NOTA FINAL</t>
        </is>
      </c>
    </row>
    <row r="11" ht="18" customHeight="1">
      <c r="B11" s="207" t="n">
        <v>1</v>
      </c>
      <c r="C11" s="208">
        <f>IFERROR('PAR · Alumnos'!C10&amp;IF('PAR · Alumnos'!D10&lt;&gt;"",", "&amp;'PAR · Alumnos'!D10,""),"")</f>
        <v/>
      </c>
      <c r="D11" s="209"/>
      <c r="E11" s="209"/>
      <c r="F11" s="209"/>
      <c r="G11" s="209"/>
      <c r="H11" s="209"/>
      <c r="I11" s="209"/>
      <c r="J11" s="209"/>
      <c r="K11" s="209"/>
      <c r="L11" s="210"/>
      <c r="M11" s="210"/>
      <c r="N11" s="210"/>
      <c r="O11" s="56">
        <f>IFERROR(ROUND(PESO_EXAMEN*L11+PESO_PRACTICA*AVERAGE(D11,F11),2),"")</f>
        <v/>
      </c>
      <c r="P11" s="62">
        <f>IFERROR(ROUND(PESO_EXAMEN*L11+PESO_PRACTICA*AVERAGE(E11),2),"")</f>
        <v/>
      </c>
      <c r="Q11" s="66">
        <f>IFERROR(ROUND(PESO_EXAMEN*M11+PESO_PRACTICA*AVERAGE(G11),2),"")</f>
        <v/>
      </c>
      <c r="R11" s="68">
        <f>IFERROR(ROUND(PESO_EXAMEN*M11+PESO_PRACTICA*AVERAGE(H11,J11),2),"")</f>
        <v/>
      </c>
      <c r="S11" s="70">
        <f>IFERROR(ROUND(PESO_EXAMEN*M11+PESO_PRACTICA*AVERAGE(I11),2),"")</f>
        <v/>
      </c>
      <c r="T11" s="72">
        <f>IFERROR(ROUND(PESO_EXAMEN*N11+PESO_PRACTICA*AVERAGE(K11),2),"")</f>
        <v/>
      </c>
      <c r="U11" s="88">
        <f>IFERROR(ROUND(O11*0.150000+P11*0.200000+Q11*0.200000+R11*0.250000+S11*0.100000+T11*0.100000,2),"")</f>
        <v/>
      </c>
    </row>
    <row r="12" ht="18" customHeight="1">
      <c r="B12" s="207" t="n">
        <v>2</v>
      </c>
      <c r="C12" s="208">
        <f>IFERROR('PAR · Alumnos'!C11&amp;IF('PAR · Alumnos'!D11&lt;&gt;"",", "&amp;'PAR · Alumnos'!D11,""),"")</f>
        <v/>
      </c>
      <c r="D12" s="209"/>
      <c r="E12" s="209"/>
      <c r="F12" s="209"/>
      <c r="G12" s="209"/>
      <c r="H12" s="209"/>
      <c r="I12" s="209"/>
      <c r="J12" s="209"/>
      <c r="K12" s="209"/>
      <c r="L12" s="210"/>
      <c r="M12" s="210"/>
      <c r="N12" s="210"/>
      <c r="O12" s="56">
        <f>IFERROR(ROUND(PESO_EXAMEN*L12+PESO_PRACTICA*AVERAGE(D12,F12),2),"")</f>
        <v/>
      </c>
      <c r="P12" s="62">
        <f>IFERROR(ROUND(PESO_EXAMEN*L12+PESO_PRACTICA*AVERAGE(E12),2),"")</f>
        <v/>
      </c>
      <c r="Q12" s="66">
        <f>IFERROR(ROUND(PESO_EXAMEN*M12+PESO_PRACTICA*AVERAGE(G12),2),"")</f>
        <v/>
      </c>
      <c r="R12" s="68">
        <f>IFERROR(ROUND(PESO_EXAMEN*M12+PESO_PRACTICA*AVERAGE(H12,J12),2),"")</f>
        <v/>
      </c>
      <c r="S12" s="70">
        <f>IFERROR(ROUND(PESO_EXAMEN*M12+PESO_PRACTICA*AVERAGE(I12),2),"")</f>
        <v/>
      </c>
      <c r="T12" s="72">
        <f>IFERROR(ROUND(PESO_EXAMEN*N12+PESO_PRACTICA*AVERAGE(K12),2),"")</f>
        <v/>
      </c>
      <c r="U12" s="88">
        <f>IFERROR(ROUND(O12*0.150000+P12*0.200000+Q12*0.200000+R12*0.250000+S12*0.100000+T12*0.100000,2),"")</f>
        <v/>
      </c>
    </row>
    <row r="13" ht="18" customHeight="1">
      <c r="B13" s="207" t="n">
        <v>3</v>
      </c>
      <c r="C13" s="208">
        <f>IFERROR('PAR · Alumnos'!C12&amp;IF('PAR · Alumnos'!D12&lt;&gt;"",", "&amp;'PAR · Alumnos'!D12,""),"")</f>
        <v/>
      </c>
      <c r="D13" s="209"/>
      <c r="E13" s="209"/>
      <c r="F13" s="209"/>
      <c r="G13" s="209"/>
      <c r="H13" s="209"/>
      <c r="I13" s="209"/>
      <c r="J13" s="209"/>
      <c r="K13" s="209"/>
      <c r="L13" s="210"/>
      <c r="M13" s="210"/>
      <c r="N13" s="210"/>
      <c r="O13" s="56">
        <f>IFERROR(ROUND(PESO_EXAMEN*L13+PESO_PRACTICA*AVERAGE(D13,F13),2),"")</f>
        <v/>
      </c>
      <c r="P13" s="62">
        <f>IFERROR(ROUND(PESO_EXAMEN*L13+PESO_PRACTICA*AVERAGE(E13),2),"")</f>
        <v/>
      </c>
      <c r="Q13" s="66">
        <f>IFERROR(ROUND(PESO_EXAMEN*M13+PESO_PRACTICA*AVERAGE(G13),2),"")</f>
        <v/>
      </c>
      <c r="R13" s="68">
        <f>IFERROR(ROUND(PESO_EXAMEN*M13+PESO_PRACTICA*AVERAGE(H13,J13),2),"")</f>
        <v/>
      </c>
      <c r="S13" s="70">
        <f>IFERROR(ROUND(PESO_EXAMEN*M13+PESO_PRACTICA*AVERAGE(I13),2),"")</f>
        <v/>
      </c>
      <c r="T13" s="72">
        <f>IFERROR(ROUND(PESO_EXAMEN*N13+PESO_PRACTICA*AVERAGE(K13),2),"")</f>
        <v/>
      </c>
      <c r="U13" s="88">
        <f>IFERROR(ROUND(O13*0.150000+P13*0.200000+Q13*0.200000+R13*0.250000+S13*0.100000+T13*0.100000,2),"")</f>
        <v/>
      </c>
    </row>
    <row r="14" ht="18" customHeight="1">
      <c r="B14" s="207" t="n">
        <v>4</v>
      </c>
      <c r="C14" s="208">
        <f>IFERROR('PAR · Alumnos'!C13&amp;IF('PAR · Alumnos'!D13&lt;&gt;"",", "&amp;'PAR · Alumnos'!D13,""),"")</f>
        <v/>
      </c>
      <c r="D14" s="209"/>
      <c r="E14" s="209"/>
      <c r="F14" s="209"/>
      <c r="G14" s="209"/>
      <c r="H14" s="209"/>
      <c r="I14" s="209"/>
      <c r="J14" s="209"/>
      <c r="K14" s="209"/>
      <c r="L14" s="210"/>
      <c r="M14" s="210"/>
      <c r="N14" s="210"/>
      <c r="O14" s="56">
        <f>IFERROR(ROUND(PESO_EXAMEN*L14+PESO_PRACTICA*AVERAGE(D14,F14),2),"")</f>
        <v/>
      </c>
      <c r="P14" s="62">
        <f>IFERROR(ROUND(PESO_EXAMEN*L14+PESO_PRACTICA*AVERAGE(E14),2),"")</f>
        <v/>
      </c>
      <c r="Q14" s="66">
        <f>IFERROR(ROUND(PESO_EXAMEN*M14+PESO_PRACTICA*AVERAGE(G14),2),"")</f>
        <v/>
      </c>
      <c r="R14" s="68">
        <f>IFERROR(ROUND(PESO_EXAMEN*M14+PESO_PRACTICA*AVERAGE(H14,J14),2),"")</f>
        <v/>
      </c>
      <c r="S14" s="70">
        <f>IFERROR(ROUND(PESO_EXAMEN*M14+PESO_PRACTICA*AVERAGE(I14),2),"")</f>
        <v/>
      </c>
      <c r="T14" s="72">
        <f>IFERROR(ROUND(PESO_EXAMEN*N14+PESO_PRACTICA*AVERAGE(K14),2),"")</f>
        <v/>
      </c>
      <c r="U14" s="88">
        <f>IFERROR(ROUND(O14*0.150000+P14*0.200000+Q14*0.200000+R14*0.250000+S14*0.100000+T14*0.100000,2),"")</f>
        <v/>
      </c>
    </row>
    <row r="15" ht="18" customHeight="1">
      <c r="B15" s="207" t="n">
        <v>5</v>
      </c>
      <c r="C15" s="208">
        <f>IFERROR('PAR · Alumnos'!C14&amp;IF('PAR · Alumnos'!D14&lt;&gt;"",", "&amp;'PAR · Alumnos'!D14,""),"")</f>
        <v/>
      </c>
      <c r="D15" s="209"/>
      <c r="E15" s="209"/>
      <c r="F15" s="209"/>
      <c r="G15" s="209"/>
      <c r="H15" s="209"/>
      <c r="I15" s="209"/>
      <c r="J15" s="209"/>
      <c r="K15" s="209"/>
      <c r="L15" s="210"/>
      <c r="M15" s="210"/>
      <c r="N15" s="210"/>
      <c r="O15" s="56">
        <f>IFERROR(ROUND(PESO_EXAMEN*L15+PESO_PRACTICA*AVERAGE(D15,F15),2),"")</f>
        <v/>
      </c>
      <c r="P15" s="62">
        <f>IFERROR(ROUND(PESO_EXAMEN*L15+PESO_PRACTICA*AVERAGE(E15),2),"")</f>
        <v/>
      </c>
      <c r="Q15" s="66">
        <f>IFERROR(ROUND(PESO_EXAMEN*M15+PESO_PRACTICA*AVERAGE(G15),2),"")</f>
        <v/>
      </c>
      <c r="R15" s="68">
        <f>IFERROR(ROUND(PESO_EXAMEN*M15+PESO_PRACTICA*AVERAGE(H15,J15),2),"")</f>
        <v/>
      </c>
      <c r="S15" s="70">
        <f>IFERROR(ROUND(PESO_EXAMEN*M15+PESO_PRACTICA*AVERAGE(I15),2),"")</f>
        <v/>
      </c>
      <c r="T15" s="72">
        <f>IFERROR(ROUND(PESO_EXAMEN*N15+PESO_PRACTICA*AVERAGE(K15),2),"")</f>
        <v/>
      </c>
      <c r="U15" s="88">
        <f>IFERROR(ROUND(O15*0.150000+P15*0.200000+Q15*0.200000+R15*0.250000+S15*0.100000+T15*0.100000,2),"")</f>
        <v/>
      </c>
    </row>
    <row r="16" ht="18" customHeight="1">
      <c r="B16" s="207" t="n">
        <v>6</v>
      </c>
      <c r="C16" s="208">
        <f>IFERROR('PAR · Alumnos'!C15&amp;IF('PAR · Alumnos'!D15&lt;&gt;"",", "&amp;'PAR · Alumnos'!D15,""),"")</f>
        <v/>
      </c>
      <c r="D16" s="209"/>
      <c r="E16" s="209"/>
      <c r="F16" s="209"/>
      <c r="G16" s="209"/>
      <c r="H16" s="209"/>
      <c r="I16" s="209"/>
      <c r="J16" s="209"/>
      <c r="K16" s="209"/>
      <c r="L16" s="210"/>
      <c r="M16" s="210"/>
      <c r="N16" s="210"/>
      <c r="O16" s="56">
        <f>IFERROR(ROUND(PESO_EXAMEN*L16+PESO_PRACTICA*AVERAGE(D16,F16),2),"")</f>
        <v/>
      </c>
      <c r="P16" s="62">
        <f>IFERROR(ROUND(PESO_EXAMEN*L16+PESO_PRACTICA*AVERAGE(E16),2),"")</f>
        <v/>
      </c>
      <c r="Q16" s="66">
        <f>IFERROR(ROUND(PESO_EXAMEN*M16+PESO_PRACTICA*AVERAGE(G16),2),"")</f>
        <v/>
      </c>
      <c r="R16" s="68">
        <f>IFERROR(ROUND(PESO_EXAMEN*M16+PESO_PRACTICA*AVERAGE(H16,J16),2),"")</f>
        <v/>
      </c>
      <c r="S16" s="70">
        <f>IFERROR(ROUND(PESO_EXAMEN*M16+PESO_PRACTICA*AVERAGE(I16),2),"")</f>
        <v/>
      </c>
      <c r="T16" s="72">
        <f>IFERROR(ROUND(PESO_EXAMEN*N16+PESO_PRACTICA*AVERAGE(K16),2),"")</f>
        <v/>
      </c>
      <c r="U16" s="88">
        <f>IFERROR(ROUND(O16*0.150000+P16*0.200000+Q16*0.200000+R16*0.250000+S16*0.100000+T16*0.100000,2),"")</f>
        <v/>
      </c>
    </row>
    <row r="17" ht="18" customHeight="1">
      <c r="B17" s="207" t="n">
        <v>7</v>
      </c>
      <c r="C17" s="208">
        <f>IFERROR('PAR · Alumnos'!C16&amp;IF('PAR · Alumnos'!D16&lt;&gt;"",", "&amp;'PAR · Alumnos'!D16,""),"")</f>
        <v/>
      </c>
      <c r="D17" s="209"/>
      <c r="E17" s="209"/>
      <c r="F17" s="209"/>
      <c r="G17" s="209"/>
      <c r="H17" s="209"/>
      <c r="I17" s="209"/>
      <c r="J17" s="209"/>
      <c r="K17" s="209"/>
      <c r="L17" s="210"/>
      <c r="M17" s="210"/>
      <c r="N17" s="210"/>
      <c r="O17" s="56">
        <f>IFERROR(ROUND(PESO_EXAMEN*L17+PESO_PRACTICA*AVERAGE(D17,F17),2),"")</f>
        <v/>
      </c>
      <c r="P17" s="62">
        <f>IFERROR(ROUND(PESO_EXAMEN*L17+PESO_PRACTICA*AVERAGE(E17),2),"")</f>
        <v/>
      </c>
      <c r="Q17" s="66">
        <f>IFERROR(ROUND(PESO_EXAMEN*M17+PESO_PRACTICA*AVERAGE(G17),2),"")</f>
        <v/>
      </c>
      <c r="R17" s="68">
        <f>IFERROR(ROUND(PESO_EXAMEN*M17+PESO_PRACTICA*AVERAGE(H17,J17),2),"")</f>
        <v/>
      </c>
      <c r="S17" s="70">
        <f>IFERROR(ROUND(PESO_EXAMEN*M17+PESO_PRACTICA*AVERAGE(I17),2),"")</f>
        <v/>
      </c>
      <c r="T17" s="72">
        <f>IFERROR(ROUND(PESO_EXAMEN*N17+PESO_PRACTICA*AVERAGE(K17),2),"")</f>
        <v/>
      </c>
      <c r="U17" s="88">
        <f>IFERROR(ROUND(O17*0.150000+P17*0.200000+Q17*0.200000+R17*0.250000+S17*0.100000+T17*0.100000,2),"")</f>
        <v/>
      </c>
    </row>
    <row r="18" ht="18" customHeight="1">
      <c r="B18" s="207" t="n">
        <v>8</v>
      </c>
      <c r="C18" s="208">
        <f>IFERROR('PAR · Alumnos'!C17&amp;IF('PAR · Alumnos'!D17&lt;&gt;"",", "&amp;'PAR · Alumnos'!D17,""),"")</f>
        <v/>
      </c>
      <c r="D18" s="209"/>
      <c r="E18" s="209"/>
      <c r="F18" s="209"/>
      <c r="G18" s="209"/>
      <c r="H18" s="209"/>
      <c r="I18" s="209"/>
      <c r="J18" s="209"/>
      <c r="K18" s="209"/>
      <c r="L18" s="210"/>
      <c r="M18" s="210"/>
      <c r="N18" s="210"/>
      <c r="O18" s="56">
        <f>IFERROR(ROUND(PESO_EXAMEN*L18+PESO_PRACTICA*AVERAGE(D18,F18),2),"")</f>
        <v/>
      </c>
      <c r="P18" s="62">
        <f>IFERROR(ROUND(PESO_EXAMEN*L18+PESO_PRACTICA*AVERAGE(E18),2),"")</f>
        <v/>
      </c>
      <c r="Q18" s="66">
        <f>IFERROR(ROUND(PESO_EXAMEN*M18+PESO_PRACTICA*AVERAGE(G18),2),"")</f>
        <v/>
      </c>
      <c r="R18" s="68">
        <f>IFERROR(ROUND(PESO_EXAMEN*M18+PESO_PRACTICA*AVERAGE(H18,J18),2),"")</f>
        <v/>
      </c>
      <c r="S18" s="70">
        <f>IFERROR(ROUND(PESO_EXAMEN*M18+PESO_PRACTICA*AVERAGE(I18),2),"")</f>
        <v/>
      </c>
      <c r="T18" s="72">
        <f>IFERROR(ROUND(PESO_EXAMEN*N18+PESO_PRACTICA*AVERAGE(K18),2),"")</f>
        <v/>
      </c>
      <c r="U18" s="88">
        <f>IFERROR(ROUND(O18*0.150000+P18*0.200000+Q18*0.200000+R18*0.250000+S18*0.100000+T18*0.100000,2),"")</f>
        <v/>
      </c>
    </row>
    <row r="19" ht="18" customHeight="1">
      <c r="B19" s="207" t="n">
        <v>9</v>
      </c>
      <c r="C19" s="208">
        <f>IFERROR('PAR · Alumnos'!C18&amp;IF('PAR · Alumnos'!D18&lt;&gt;"",", "&amp;'PAR · Alumnos'!D18,""),"")</f>
        <v/>
      </c>
      <c r="D19" s="209"/>
      <c r="E19" s="209"/>
      <c r="F19" s="209"/>
      <c r="G19" s="209"/>
      <c r="H19" s="209"/>
      <c r="I19" s="209"/>
      <c r="J19" s="209"/>
      <c r="K19" s="209"/>
      <c r="L19" s="210"/>
      <c r="M19" s="210"/>
      <c r="N19" s="210"/>
      <c r="O19" s="56">
        <f>IFERROR(ROUND(PESO_EXAMEN*L19+PESO_PRACTICA*AVERAGE(D19,F19),2),"")</f>
        <v/>
      </c>
      <c r="P19" s="62">
        <f>IFERROR(ROUND(PESO_EXAMEN*L19+PESO_PRACTICA*AVERAGE(E19),2),"")</f>
        <v/>
      </c>
      <c r="Q19" s="66">
        <f>IFERROR(ROUND(PESO_EXAMEN*M19+PESO_PRACTICA*AVERAGE(G19),2),"")</f>
        <v/>
      </c>
      <c r="R19" s="68">
        <f>IFERROR(ROUND(PESO_EXAMEN*M19+PESO_PRACTICA*AVERAGE(H19,J19),2),"")</f>
        <v/>
      </c>
      <c r="S19" s="70">
        <f>IFERROR(ROUND(PESO_EXAMEN*M19+PESO_PRACTICA*AVERAGE(I19),2),"")</f>
        <v/>
      </c>
      <c r="T19" s="72">
        <f>IFERROR(ROUND(PESO_EXAMEN*N19+PESO_PRACTICA*AVERAGE(K19),2),"")</f>
        <v/>
      </c>
      <c r="U19" s="88">
        <f>IFERROR(ROUND(O19*0.150000+P19*0.200000+Q19*0.200000+R19*0.250000+S19*0.100000+T19*0.100000,2),"")</f>
        <v/>
      </c>
    </row>
    <row r="20" ht="18" customHeight="1">
      <c r="B20" s="207" t="n">
        <v>10</v>
      </c>
      <c r="C20" s="208">
        <f>IFERROR('PAR · Alumnos'!C19&amp;IF('PAR · Alumnos'!D19&lt;&gt;"",", "&amp;'PAR · Alumnos'!D19,""),"")</f>
        <v/>
      </c>
      <c r="D20" s="209"/>
      <c r="E20" s="209"/>
      <c r="F20" s="209"/>
      <c r="G20" s="209"/>
      <c r="H20" s="209"/>
      <c r="I20" s="209"/>
      <c r="J20" s="209"/>
      <c r="K20" s="209"/>
      <c r="L20" s="210"/>
      <c r="M20" s="210"/>
      <c r="N20" s="210"/>
      <c r="O20" s="56">
        <f>IFERROR(ROUND(PESO_EXAMEN*L20+PESO_PRACTICA*AVERAGE(D20,F20),2),"")</f>
        <v/>
      </c>
      <c r="P20" s="62">
        <f>IFERROR(ROUND(PESO_EXAMEN*L20+PESO_PRACTICA*AVERAGE(E20),2),"")</f>
        <v/>
      </c>
      <c r="Q20" s="66">
        <f>IFERROR(ROUND(PESO_EXAMEN*M20+PESO_PRACTICA*AVERAGE(G20),2),"")</f>
        <v/>
      </c>
      <c r="R20" s="68">
        <f>IFERROR(ROUND(PESO_EXAMEN*M20+PESO_PRACTICA*AVERAGE(H20,J20),2),"")</f>
        <v/>
      </c>
      <c r="S20" s="70">
        <f>IFERROR(ROUND(PESO_EXAMEN*M20+PESO_PRACTICA*AVERAGE(I20),2),"")</f>
        <v/>
      </c>
      <c r="T20" s="72">
        <f>IFERROR(ROUND(PESO_EXAMEN*N20+PESO_PRACTICA*AVERAGE(K20),2),"")</f>
        <v/>
      </c>
      <c r="U20" s="88">
        <f>IFERROR(ROUND(O20*0.150000+P20*0.200000+Q20*0.200000+R20*0.250000+S20*0.100000+T20*0.100000,2),"")</f>
        <v/>
      </c>
    </row>
    <row r="21" ht="18" customHeight="1">
      <c r="B21" s="207" t="n">
        <v>11</v>
      </c>
      <c r="C21" s="208">
        <f>IFERROR('PAR · Alumnos'!C20&amp;IF('PAR · Alumnos'!D20&lt;&gt;"",", "&amp;'PAR · Alumnos'!D20,""),"")</f>
        <v/>
      </c>
      <c r="D21" s="209"/>
      <c r="E21" s="209"/>
      <c r="F21" s="209"/>
      <c r="G21" s="209"/>
      <c r="H21" s="209"/>
      <c r="I21" s="209"/>
      <c r="J21" s="209"/>
      <c r="K21" s="209"/>
      <c r="L21" s="210"/>
      <c r="M21" s="210"/>
      <c r="N21" s="210"/>
      <c r="O21" s="56">
        <f>IFERROR(ROUND(PESO_EXAMEN*L21+PESO_PRACTICA*AVERAGE(D21,F21),2),"")</f>
        <v/>
      </c>
      <c r="P21" s="62">
        <f>IFERROR(ROUND(PESO_EXAMEN*L21+PESO_PRACTICA*AVERAGE(E21),2),"")</f>
        <v/>
      </c>
      <c r="Q21" s="66">
        <f>IFERROR(ROUND(PESO_EXAMEN*M21+PESO_PRACTICA*AVERAGE(G21),2),"")</f>
        <v/>
      </c>
      <c r="R21" s="68">
        <f>IFERROR(ROUND(PESO_EXAMEN*M21+PESO_PRACTICA*AVERAGE(H21,J21),2),"")</f>
        <v/>
      </c>
      <c r="S21" s="70">
        <f>IFERROR(ROUND(PESO_EXAMEN*M21+PESO_PRACTICA*AVERAGE(I21),2),"")</f>
        <v/>
      </c>
      <c r="T21" s="72">
        <f>IFERROR(ROUND(PESO_EXAMEN*N21+PESO_PRACTICA*AVERAGE(K21),2),"")</f>
        <v/>
      </c>
      <c r="U21" s="88">
        <f>IFERROR(ROUND(O21*0.150000+P21*0.200000+Q21*0.200000+R21*0.250000+S21*0.100000+T21*0.100000,2),"")</f>
        <v/>
      </c>
    </row>
    <row r="22" ht="18" customHeight="1">
      <c r="B22" s="207" t="n">
        <v>12</v>
      </c>
      <c r="C22" s="208">
        <f>IFERROR('PAR · Alumnos'!C21&amp;IF('PAR · Alumnos'!D21&lt;&gt;"",", "&amp;'PAR · Alumnos'!D21,""),"")</f>
        <v/>
      </c>
      <c r="D22" s="209"/>
      <c r="E22" s="209"/>
      <c r="F22" s="209"/>
      <c r="G22" s="209"/>
      <c r="H22" s="209"/>
      <c r="I22" s="209"/>
      <c r="J22" s="209"/>
      <c r="K22" s="209"/>
      <c r="L22" s="210"/>
      <c r="M22" s="210"/>
      <c r="N22" s="210"/>
      <c r="O22" s="56">
        <f>IFERROR(ROUND(PESO_EXAMEN*L22+PESO_PRACTICA*AVERAGE(D22,F22),2),"")</f>
        <v/>
      </c>
      <c r="P22" s="62">
        <f>IFERROR(ROUND(PESO_EXAMEN*L22+PESO_PRACTICA*AVERAGE(E22),2),"")</f>
        <v/>
      </c>
      <c r="Q22" s="66">
        <f>IFERROR(ROUND(PESO_EXAMEN*M22+PESO_PRACTICA*AVERAGE(G22),2),"")</f>
        <v/>
      </c>
      <c r="R22" s="68">
        <f>IFERROR(ROUND(PESO_EXAMEN*M22+PESO_PRACTICA*AVERAGE(H22,J22),2),"")</f>
        <v/>
      </c>
      <c r="S22" s="70">
        <f>IFERROR(ROUND(PESO_EXAMEN*M22+PESO_PRACTICA*AVERAGE(I22),2),"")</f>
        <v/>
      </c>
      <c r="T22" s="72">
        <f>IFERROR(ROUND(PESO_EXAMEN*N22+PESO_PRACTICA*AVERAGE(K22),2),"")</f>
        <v/>
      </c>
      <c r="U22" s="88">
        <f>IFERROR(ROUND(O22*0.150000+P22*0.200000+Q22*0.200000+R22*0.250000+S22*0.100000+T22*0.100000,2),"")</f>
        <v/>
      </c>
    </row>
    <row r="23" ht="18" customHeight="1">
      <c r="B23" s="207" t="n">
        <v>13</v>
      </c>
      <c r="C23" s="208">
        <f>IFERROR('PAR · Alumnos'!C22&amp;IF('PAR · Alumnos'!D22&lt;&gt;"",", "&amp;'PAR · Alumnos'!D22,""),"")</f>
        <v/>
      </c>
      <c r="D23" s="209"/>
      <c r="E23" s="209"/>
      <c r="F23" s="209"/>
      <c r="G23" s="209"/>
      <c r="H23" s="209"/>
      <c r="I23" s="209"/>
      <c r="J23" s="209"/>
      <c r="K23" s="209"/>
      <c r="L23" s="210"/>
      <c r="M23" s="210"/>
      <c r="N23" s="210"/>
      <c r="O23" s="56">
        <f>IFERROR(ROUND(PESO_EXAMEN*L23+PESO_PRACTICA*AVERAGE(D23,F23),2),"")</f>
        <v/>
      </c>
      <c r="P23" s="62">
        <f>IFERROR(ROUND(PESO_EXAMEN*L23+PESO_PRACTICA*AVERAGE(E23),2),"")</f>
        <v/>
      </c>
      <c r="Q23" s="66">
        <f>IFERROR(ROUND(PESO_EXAMEN*M23+PESO_PRACTICA*AVERAGE(G23),2),"")</f>
        <v/>
      </c>
      <c r="R23" s="68">
        <f>IFERROR(ROUND(PESO_EXAMEN*M23+PESO_PRACTICA*AVERAGE(H23,J23),2),"")</f>
        <v/>
      </c>
      <c r="S23" s="70">
        <f>IFERROR(ROUND(PESO_EXAMEN*M23+PESO_PRACTICA*AVERAGE(I23),2),"")</f>
        <v/>
      </c>
      <c r="T23" s="72">
        <f>IFERROR(ROUND(PESO_EXAMEN*N23+PESO_PRACTICA*AVERAGE(K23),2),"")</f>
        <v/>
      </c>
      <c r="U23" s="88">
        <f>IFERROR(ROUND(O23*0.150000+P23*0.200000+Q23*0.200000+R23*0.250000+S23*0.100000+T23*0.100000,2),"")</f>
        <v/>
      </c>
    </row>
    <row r="24" ht="18" customHeight="1">
      <c r="B24" s="207" t="n">
        <v>14</v>
      </c>
      <c r="C24" s="208">
        <f>IFERROR('PAR · Alumnos'!C23&amp;IF('PAR · Alumnos'!D23&lt;&gt;"",", "&amp;'PAR · Alumnos'!D23,""),"")</f>
        <v/>
      </c>
      <c r="D24" s="209"/>
      <c r="E24" s="209"/>
      <c r="F24" s="209"/>
      <c r="G24" s="209"/>
      <c r="H24" s="209"/>
      <c r="I24" s="209"/>
      <c r="J24" s="209"/>
      <c r="K24" s="209"/>
      <c r="L24" s="210"/>
      <c r="M24" s="210"/>
      <c r="N24" s="210"/>
      <c r="O24" s="56">
        <f>IFERROR(ROUND(PESO_EXAMEN*L24+PESO_PRACTICA*AVERAGE(D24,F24),2),"")</f>
        <v/>
      </c>
      <c r="P24" s="62">
        <f>IFERROR(ROUND(PESO_EXAMEN*L24+PESO_PRACTICA*AVERAGE(E24),2),"")</f>
        <v/>
      </c>
      <c r="Q24" s="66">
        <f>IFERROR(ROUND(PESO_EXAMEN*M24+PESO_PRACTICA*AVERAGE(G24),2),"")</f>
        <v/>
      </c>
      <c r="R24" s="68">
        <f>IFERROR(ROUND(PESO_EXAMEN*M24+PESO_PRACTICA*AVERAGE(H24,J24),2),"")</f>
        <v/>
      </c>
      <c r="S24" s="70">
        <f>IFERROR(ROUND(PESO_EXAMEN*M24+PESO_PRACTICA*AVERAGE(I24),2),"")</f>
        <v/>
      </c>
      <c r="T24" s="72">
        <f>IFERROR(ROUND(PESO_EXAMEN*N24+PESO_PRACTICA*AVERAGE(K24),2),"")</f>
        <v/>
      </c>
      <c r="U24" s="88">
        <f>IFERROR(ROUND(O24*0.150000+P24*0.200000+Q24*0.200000+R24*0.250000+S24*0.100000+T24*0.100000,2),"")</f>
        <v/>
      </c>
    </row>
    <row r="25" ht="18" customHeight="1">
      <c r="B25" s="207" t="n">
        <v>15</v>
      </c>
      <c r="C25" s="208">
        <f>IFERROR('PAR · Alumnos'!C24&amp;IF('PAR · Alumnos'!D24&lt;&gt;"",", "&amp;'PAR · Alumnos'!D24,""),"")</f>
        <v/>
      </c>
      <c r="D25" s="209"/>
      <c r="E25" s="209"/>
      <c r="F25" s="209"/>
      <c r="G25" s="209"/>
      <c r="H25" s="209"/>
      <c r="I25" s="209"/>
      <c r="J25" s="209"/>
      <c r="K25" s="209"/>
      <c r="L25" s="210"/>
      <c r="M25" s="210"/>
      <c r="N25" s="210"/>
      <c r="O25" s="56">
        <f>IFERROR(ROUND(PESO_EXAMEN*L25+PESO_PRACTICA*AVERAGE(D25,F25),2),"")</f>
        <v/>
      </c>
      <c r="P25" s="62">
        <f>IFERROR(ROUND(PESO_EXAMEN*L25+PESO_PRACTICA*AVERAGE(E25),2),"")</f>
        <v/>
      </c>
      <c r="Q25" s="66">
        <f>IFERROR(ROUND(PESO_EXAMEN*M25+PESO_PRACTICA*AVERAGE(G25),2),"")</f>
        <v/>
      </c>
      <c r="R25" s="68">
        <f>IFERROR(ROUND(PESO_EXAMEN*M25+PESO_PRACTICA*AVERAGE(H25,J25),2),"")</f>
        <v/>
      </c>
      <c r="S25" s="70">
        <f>IFERROR(ROUND(PESO_EXAMEN*M25+PESO_PRACTICA*AVERAGE(I25),2),"")</f>
        <v/>
      </c>
      <c r="T25" s="72">
        <f>IFERROR(ROUND(PESO_EXAMEN*N25+PESO_PRACTICA*AVERAGE(K25),2),"")</f>
        <v/>
      </c>
      <c r="U25" s="88">
        <f>IFERROR(ROUND(O25*0.150000+P25*0.200000+Q25*0.200000+R25*0.250000+S25*0.100000+T25*0.100000,2),"")</f>
        <v/>
      </c>
    </row>
    <row r="26" ht="18" customHeight="1">
      <c r="B26" s="207" t="n">
        <v>16</v>
      </c>
      <c r="C26" s="208">
        <f>IFERROR('PAR · Alumnos'!C25&amp;IF('PAR · Alumnos'!D25&lt;&gt;"",", "&amp;'PAR · Alumnos'!D25,""),"")</f>
        <v/>
      </c>
      <c r="D26" s="209"/>
      <c r="E26" s="209"/>
      <c r="F26" s="209"/>
      <c r="G26" s="209"/>
      <c r="H26" s="209"/>
      <c r="I26" s="209"/>
      <c r="J26" s="209"/>
      <c r="K26" s="209"/>
      <c r="L26" s="210"/>
      <c r="M26" s="210"/>
      <c r="N26" s="210"/>
      <c r="O26" s="56">
        <f>IFERROR(ROUND(PESO_EXAMEN*L26+PESO_PRACTICA*AVERAGE(D26,F26),2),"")</f>
        <v/>
      </c>
      <c r="P26" s="62">
        <f>IFERROR(ROUND(PESO_EXAMEN*L26+PESO_PRACTICA*AVERAGE(E26),2),"")</f>
        <v/>
      </c>
      <c r="Q26" s="66">
        <f>IFERROR(ROUND(PESO_EXAMEN*M26+PESO_PRACTICA*AVERAGE(G26),2),"")</f>
        <v/>
      </c>
      <c r="R26" s="68">
        <f>IFERROR(ROUND(PESO_EXAMEN*M26+PESO_PRACTICA*AVERAGE(H26,J26),2),"")</f>
        <v/>
      </c>
      <c r="S26" s="70">
        <f>IFERROR(ROUND(PESO_EXAMEN*M26+PESO_PRACTICA*AVERAGE(I26),2),"")</f>
        <v/>
      </c>
      <c r="T26" s="72">
        <f>IFERROR(ROUND(PESO_EXAMEN*N26+PESO_PRACTICA*AVERAGE(K26),2),"")</f>
        <v/>
      </c>
      <c r="U26" s="88">
        <f>IFERROR(ROUND(O26*0.150000+P26*0.200000+Q26*0.200000+R26*0.250000+S26*0.100000+T26*0.100000,2),"")</f>
        <v/>
      </c>
    </row>
    <row r="27" ht="18" customHeight="1">
      <c r="B27" s="207" t="n">
        <v>17</v>
      </c>
      <c r="C27" s="208">
        <f>IFERROR('PAR · Alumnos'!C26&amp;IF('PAR · Alumnos'!D26&lt;&gt;"",", "&amp;'PAR · Alumnos'!D26,""),"")</f>
        <v/>
      </c>
      <c r="D27" s="209"/>
      <c r="E27" s="209"/>
      <c r="F27" s="209"/>
      <c r="G27" s="209"/>
      <c r="H27" s="209"/>
      <c r="I27" s="209"/>
      <c r="J27" s="209"/>
      <c r="K27" s="209"/>
      <c r="L27" s="210"/>
      <c r="M27" s="210"/>
      <c r="N27" s="210"/>
      <c r="O27" s="56">
        <f>IFERROR(ROUND(PESO_EXAMEN*L27+PESO_PRACTICA*AVERAGE(D27,F27),2),"")</f>
        <v/>
      </c>
      <c r="P27" s="62">
        <f>IFERROR(ROUND(PESO_EXAMEN*L27+PESO_PRACTICA*AVERAGE(E27),2),"")</f>
        <v/>
      </c>
      <c r="Q27" s="66">
        <f>IFERROR(ROUND(PESO_EXAMEN*M27+PESO_PRACTICA*AVERAGE(G27),2),"")</f>
        <v/>
      </c>
      <c r="R27" s="68">
        <f>IFERROR(ROUND(PESO_EXAMEN*M27+PESO_PRACTICA*AVERAGE(H27,J27),2),"")</f>
        <v/>
      </c>
      <c r="S27" s="70">
        <f>IFERROR(ROUND(PESO_EXAMEN*M27+PESO_PRACTICA*AVERAGE(I27),2),"")</f>
        <v/>
      </c>
      <c r="T27" s="72">
        <f>IFERROR(ROUND(PESO_EXAMEN*N27+PESO_PRACTICA*AVERAGE(K27),2),"")</f>
        <v/>
      </c>
      <c r="U27" s="88">
        <f>IFERROR(ROUND(O27*0.150000+P27*0.200000+Q27*0.200000+R27*0.250000+S27*0.100000+T27*0.100000,2),"")</f>
        <v/>
      </c>
    </row>
    <row r="28" ht="18" customHeight="1">
      <c r="B28" s="207" t="n">
        <v>18</v>
      </c>
      <c r="C28" s="208">
        <f>IFERROR('PAR · Alumnos'!C27&amp;IF('PAR · Alumnos'!D27&lt;&gt;"",", "&amp;'PAR · Alumnos'!D27,""),"")</f>
        <v/>
      </c>
      <c r="D28" s="209"/>
      <c r="E28" s="209"/>
      <c r="F28" s="209"/>
      <c r="G28" s="209"/>
      <c r="H28" s="209"/>
      <c r="I28" s="209"/>
      <c r="J28" s="209"/>
      <c r="K28" s="209"/>
      <c r="L28" s="210"/>
      <c r="M28" s="210"/>
      <c r="N28" s="210"/>
      <c r="O28" s="56">
        <f>IFERROR(ROUND(PESO_EXAMEN*L28+PESO_PRACTICA*AVERAGE(D28,F28),2),"")</f>
        <v/>
      </c>
      <c r="P28" s="62">
        <f>IFERROR(ROUND(PESO_EXAMEN*L28+PESO_PRACTICA*AVERAGE(E28),2),"")</f>
        <v/>
      </c>
      <c r="Q28" s="66">
        <f>IFERROR(ROUND(PESO_EXAMEN*M28+PESO_PRACTICA*AVERAGE(G28),2),"")</f>
        <v/>
      </c>
      <c r="R28" s="68">
        <f>IFERROR(ROUND(PESO_EXAMEN*M28+PESO_PRACTICA*AVERAGE(H28,J28),2),"")</f>
        <v/>
      </c>
      <c r="S28" s="70">
        <f>IFERROR(ROUND(PESO_EXAMEN*M28+PESO_PRACTICA*AVERAGE(I28),2),"")</f>
        <v/>
      </c>
      <c r="T28" s="72">
        <f>IFERROR(ROUND(PESO_EXAMEN*N28+PESO_PRACTICA*AVERAGE(K28),2),"")</f>
        <v/>
      </c>
      <c r="U28" s="88">
        <f>IFERROR(ROUND(O28*0.150000+P28*0.200000+Q28*0.200000+R28*0.250000+S28*0.100000+T28*0.100000,2),"")</f>
        <v/>
      </c>
    </row>
    <row r="29" ht="18" customHeight="1">
      <c r="B29" s="207" t="n">
        <v>19</v>
      </c>
      <c r="C29" s="208">
        <f>IFERROR('PAR · Alumnos'!C28&amp;IF('PAR · Alumnos'!D28&lt;&gt;"",", "&amp;'PAR · Alumnos'!D28,""),"")</f>
        <v/>
      </c>
      <c r="D29" s="209"/>
      <c r="E29" s="209"/>
      <c r="F29" s="209"/>
      <c r="G29" s="209"/>
      <c r="H29" s="209"/>
      <c r="I29" s="209"/>
      <c r="J29" s="209"/>
      <c r="K29" s="209"/>
      <c r="L29" s="210"/>
      <c r="M29" s="210"/>
      <c r="N29" s="210"/>
      <c r="O29" s="56">
        <f>IFERROR(ROUND(PESO_EXAMEN*L29+PESO_PRACTICA*AVERAGE(D29,F29),2),"")</f>
        <v/>
      </c>
      <c r="P29" s="62">
        <f>IFERROR(ROUND(PESO_EXAMEN*L29+PESO_PRACTICA*AVERAGE(E29),2),"")</f>
        <v/>
      </c>
      <c r="Q29" s="66">
        <f>IFERROR(ROUND(PESO_EXAMEN*M29+PESO_PRACTICA*AVERAGE(G29),2),"")</f>
        <v/>
      </c>
      <c r="R29" s="68">
        <f>IFERROR(ROUND(PESO_EXAMEN*M29+PESO_PRACTICA*AVERAGE(H29,J29),2),"")</f>
        <v/>
      </c>
      <c r="S29" s="70">
        <f>IFERROR(ROUND(PESO_EXAMEN*M29+PESO_PRACTICA*AVERAGE(I29),2),"")</f>
        <v/>
      </c>
      <c r="T29" s="72">
        <f>IFERROR(ROUND(PESO_EXAMEN*N29+PESO_PRACTICA*AVERAGE(K29),2),"")</f>
        <v/>
      </c>
      <c r="U29" s="88">
        <f>IFERROR(ROUND(O29*0.150000+P29*0.200000+Q29*0.200000+R29*0.250000+S29*0.100000+T29*0.100000,2),"")</f>
        <v/>
      </c>
    </row>
    <row r="30" ht="18" customHeight="1">
      <c r="B30" s="207" t="n">
        <v>20</v>
      </c>
      <c r="C30" s="208">
        <f>IFERROR('PAR · Alumnos'!C29&amp;IF('PAR · Alumnos'!D29&lt;&gt;"",", "&amp;'PAR · Alumnos'!D29,""),"")</f>
        <v/>
      </c>
      <c r="D30" s="209"/>
      <c r="E30" s="209"/>
      <c r="F30" s="209"/>
      <c r="G30" s="209"/>
      <c r="H30" s="209"/>
      <c r="I30" s="209"/>
      <c r="J30" s="209"/>
      <c r="K30" s="209"/>
      <c r="L30" s="210"/>
      <c r="M30" s="210"/>
      <c r="N30" s="210"/>
      <c r="O30" s="56">
        <f>IFERROR(ROUND(PESO_EXAMEN*L30+PESO_PRACTICA*AVERAGE(D30,F30),2),"")</f>
        <v/>
      </c>
      <c r="P30" s="62">
        <f>IFERROR(ROUND(PESO_EXAMEN*L30+PESO_PRACTICA*AVERAGE(E30),2),"")</f>
        <v/>
      </c>
      <c r="Q30" s="66">
        <f>IFERROR(ROUND(PESO_EXAMEN*M30+PESO_PRACTICA*AVERAGE(G30),2),"")</f>
        <v/>
      </c>
      <c r="R30" s="68">
        <f>IFERROR(ROUND(PESO_EXAMEN*M30+PESO_PRACTICA*AVERAGE(H30,J30),2),"")</f>
        <v/>
      </c>
      <c r="S30" s="70">
        <f>IFERROR(ROUND(PESO_EXAMEN*M30+PESO_PRACTICA*AVERAGE(I30),2),"")</f>
        <v/>
      </c>
      <c r="T30" s="72">
        <f>IFERROR(ROUND(PESO_EXAMEN*N30+PESO_PRACTICA*AVERAGE(K30),2),"")</f>
        <v/>
      </c>
      <c r="U30" s="88">
        <f>IFERROR(ROUND(O30*0.150000+P30*0.200000+Q30*0.200000+R30*0.250000+S30*0.100000+T30*0.100000,2),"")</f>
        <v/>
      </c>
    </row>
    <row r="31" ht="18" customHeight="1">
      <c r="B31" s="207" t="n">
        <v>21</v>
      </c>
      <c r="C31" s="208">
        <f>IFERROR('PAR · Alumnos'!C30&amp;IF('PAR · Alumnos'!D30&lt;&gt;"",", "&amp;'PAR · Alumnos'!D30,""),"")</f>
        <v/>
      </c>
      <c r="D31" s="209"/>
      <c r="E31" s="209"/>
      <c r="F31" s="209"/>
      <c r="G31" s="209"/>
      <c r="H31" s="209"/>
      <c r="I31" s="209"/>
      <c r="J31" s="209"/>
      <c r="K31" s="209"/>
      <c r="L31" s="210"/>
      <c r="M31" s="210"/>
      <c r="N31" s="210"/>
      <c r="O31" s="56">
        <f>IFERROR(ROUND(PESO_EXAMEN*L31+PESO_PRACTICA*AVERAGE(D31,F31),2),"")</f>
        <v/>
      </c>
      <c r="P31" s="62">
        <f>IFERROR(ROUND(PESO_EXAMEN*L31+PESO_PRACTICA*AVERAGE(E31),2),"")</f>
        <v/>
      </c>
      <c r="Q31" s="66">
        <f>IFERROR(ROUND(PESO_EXAMEN*M31+PESO_PRACTICA*AVERAGE(G31),2),"")</f>
        <v/>
      </c>
      <c r="R31" s="68">
        <f>IFERROR(ROUND(PESO_EXAMEN*M31+PESO_PRACTICA*AVERAGE(H31,J31),2),"")</f>
        <v/>
      </c>
      <c r="S31" s="70">
        <f>IFERROR(ROUND(PESO_EXAMEN*M31+PESO_PRACTICA*AVERAGE(I31),2),"")</f>
        <v/>
      </c>
      <c r="T31" s="72">
        <f>IFERROR(ROUND(PESO_EXAMEN*N31+PESO_PRACTICA*AVERAGE(K31),2),"")</f>
        <v/>
      </c>
      <c r="U31" s="88">
        <f>IFERROR(ROUND(O31*0.150000+P31*0.200000+Q31*0.200000+R31*0.250000+S31*0.100000+T31*0.100000,2),"")</f>
        <v/>
      </c>
    </row>
    <row r="32" ht="18" customHeight="1">
      <c r="B32" s="207" t="n">
        <v>22</v>
      </c>
      <c r="C32" s="208">
        <f>IFERROR('PAR · Alumnos'!C31&amp;IF('PAR · Alumnos'!D31&lt;&gt;"",", "&amp;'PAR · Alumnos'!D31,""),"")</f>
        <v/>
      </c>
      <c r="D32" s="209"/>
      <c r="E32" s="209"/>
      <c r="F32" s="209"/>
      <c r="G32" s="209"/>
      <c r="H32" s="209"/>
      <c r="I32" s="209"/>
      <c r="J32" s="209"/>
      <c r="K32" s="209"/>
      <c r="L32" s="210"/>
      <c r="M32" s="210"/>
      <c r="N32" s="210"/>
      <c r="O32" s="56">
        <f>IFERROR(ROUND(PESO_EXAMEN*L32+PESO_PRACTICA*AVERAGE(D32,F32),2),"")</f>
        <v/>
      </c>
      <c r="P32" s="62">
        <f>IFERROR(ROUND(PESO_EXAMEN*L32+PESO_PRACTICA*AVERAGE(E32),2),"")</f>
        <v/>
      </c>
      <c r="Q32" s="66">
        <f>IFERROR(ROUND(PESO_EXAMEN*M32+PESO_PRACTICA*AVERAGE(G32),2),"")</f>
        <v/>
      </c>
      <c r="R32" s="68">
        <f>IFERROR(ROUND(PESO_EXAMEN*M32+PESO_PRACTICA*AVERAGE(H32,J32),2),"")</f>
        <v/>
      </c>
      <c r="S32" s="70">
        <f>IFERROR(ROUND(PESO_EXAMEN*M32+PESO_PRACTICA*AVERAGE(I32),2),"")</f>
        <v/>
      </c>
      <c r="T32" s="72">
        <f>IFERROR(ROUND(PESO_EXAMEN*N32+PESO_PRACTICA*AVERAGE(K32),2),"")</f>
        <v/>
      </c>
      <c r="U32" s="88">
        <f>IFERROR(ROUND(O32*0.150000+P32*0.200000+Q32*0.200000+R32*0.250000+S32*0.100000+T32*0.100000,2),"")</f>
        <v/>
      </c>
    </row>
    <row r="33" ht="18" customHeight="1">
      <c r="B33" s="207" t="n">
        <v>23</v>
      </c>
      <c r="C33" s="208">
        <f>IFERROR('PAR · Alumnos'!C32&amp;IF('PAR · Alumnos'!D32&lt;&gt;"",", "&amp;'PAR · Alumnos'!D32,""),"")</f>
        <v/>
      </c>
      <c r="D33" s="209"/>
      <c r="E33" s="209"/>
      <c r="F33" s="209"/>
      <c r="G33" s="209"/>
      <c r="H33" s="209"/>
      <c r="I33" s="209"/>
      <c r="J33" s="209"/>
      <c r="K33" s="209"/>
      <c r="L33" s="210"/>
      <c r="M33" s="210"/>
      <c r="N33" s="210"/>
      <c r="O33" s="56">
        <f>IFERROR(ROUND(PESO_EXAMEN*L33+PESO_PRACTICA*AVERAGE(D33,F33),2),"")</f>
        <v/>
      </c>
      <c r="P33" s="62">
        <f>IFERROR(ROUND(PESO_EXAMEN*L33+PESO_PRACTICA*AVERAGE(E33),2),"")</f>
        <v/>
      </c>
      <c r="Q33" s="66">
        <f>IFERROR(ROUND(PESO_EXAMEN*M33+PESO_PRACTICA*AVERAGE(G33),2),"")</f>
        <v/>
      </c>
      <c r="R33" s="68">
        <f>IFERROR(ROUND(PESO_EXAMEN*M33+PESO_PRACTICA*AVERAGE(H33,J33),2),"")</f>
        <v/>
      </c>
      <c r="S33" s="70">
        <f>IFERROR(ROUND(PESO_EXAMEN*M33+PESO_PRACTICA*AVERAGE(I33),2),"")</f>
        <v/>
      </c>
      <c r="T33" s="72">
        <f>IFERROR(ROUND(PESO_EXAMEN*N33+PESO_PRACTICA*AVERAGE(K33),2),"")</f>
        <v/>
      </c>
      <c r="U33" s="88">
        <f>IFERROR(ROUND(O33*0.150000+P33*0.200000+Q33*0.200000+R33*0.250000+S33*0.100000+T33*0.100000,2),"")</f>
        <v/>
      </c>
    </row>
    <row r="34" ht="18" customHeight="1">
      <c r="B34" s="207" t="n">
        <v>24</v>
      </c>
      <c r="C34" s="208">
        <f>IFERROR('PAR · Alumnos'!C33&amp;IF('PAR · Alumnos'!D33&lt;&gt;"",", "&amp;'PAR · Alumnos'!D33,""),"")</f>
        <v/>
      </c>
      <c r="D34" s="209"/>
      <c r="E34" s="209"/>
      <c r="F34" s="209"/>
      <c r="G34" s="209"/>
      <c r="H34" s="209"/>
      <c r="I34" s="209"/>
      <c r="J34" s="209"/>
      <c r="K34" s="209"/>
      <c r="L34" s="210"/>
      <c r="M34" s="210"/>
      <c r="N34" s="210"/>
      <c r="O34" s="56">
        <f>IFERROR(ROUND(PESO_EXAMEN*L34+PESO_PRACTICA*AVERAGE(D34,F34),2),"")</f>
        <v/>
      </c>
      <c r="P34" s="62">
        <f>IFERROR(ROUND(PESO_EXAMEN*L34+PESO_PRACTICA*AVERAGE(E34),2),"")</f>
        <v/>
      </c>
      <c r="Q34" s="66">
        <f>IFERROR(ROUND(PESO_EXAMEN*M34+PESO_PRACTICA*AVERAGE(G34),2),"")</f>
        <v/>
      </c>
      <c r="R34" s="68">
        <f>IFERROR(ROUND(PESO_EXAMEN*M34+PESO_PRACTICA*AVERAGE(H34,J34),2),"")</f>
        <v/>
      </c>
      <c r="S34" s="70">
        <f>IFERROR(ROUND(PESO_EXAMEN*M34+PESO_PRACTICA*AVERAGE(I34),2),"")</f>
        <v/>
      </c>
      <c r="T34" s="72">
        <f>IFERROR(ROUND(PESO_EXAMEN*N34+PESO_PRACTICA*AVERAGE(K34),2),"")</f>
        <v/>
      </c>
      <c r="U34" s="88">
        <f>IFERROR(ROUND(O34*0.150000+P34*0.200000+Q34*0.200000+R34*0.250000+S34*0.100000+T34*0.100000,2),"")</f>
        <v/>
      </c>
    </row>
    <row r="35" ht="18" customHeight="1">
      <c r="B35" s="207" t="n">
        <v>25</v>
      </c>
      <c r="C35" s="208">
        <f>IFERROR('PAR · Alumnos'!C34&amp;IF('PAR · Alumnos'!D34&lt;&gt;"",", "&amp;'PAR · Alumnos'!D34,""),"")</f>
        <v/>
      </c>
      <c r="D35" s="209"/>
      <c r="E35" s="209"/>
      <c r="F35" s="209"/>
      <c r="G35" s="209"/>
      <c r="H35" s="209"/>
      <c r="I35" s="209"/>
      <c r="J35" s="209"/>
      <c r="K35" s="209"/>
      <c r="L35" s="210"/>
      <c r="M35" s="210"/>
      <c r="N35" s="210"/>
      <c r="O35" s="56">
        <f>IFERROR(ROUND(PESO_EXAMEN*L35+PESO_PRACTICA*AVERAGE(D35,F35),2),"")</f>
        <v/>
      </c>
      <c r="P35" s="62">
        <f>IFERROR(ROUND(PESO_EXAMEN*L35+PESO_PRACTICA*AVERAGE(E35),2),"")</f>
        <v/>
      </c>
      <c r="Q35" s="66">
        <f>IFERROR(ROUND(PESO_EXAMEN*M35+PESO_PRACTICA*AVERAGE(G35),2),"")</f>
        <v/>
      </c>
      <c r="R35" s="68">
        <f>IFERROR(ROUND(PESO_EXAMEN*M35+PESO_PRACTICA*AVERAGE(H35,J35),2),"")</f>
        <v/>
      </c>
      <c r="S35" s="70">
        <f>IFERROR(ROUND(PESO_EXAMEN*M35+PESO_PRACTICA*AVERAGE(I35),2),"")</f>
        <v/>
      </c>
      <c r="T35" s="72">
        <f>IFERROR(ROUND(PESO_EXAMEN*N35+PESO_PRACTICA*AVERAGE(K35),2),"")</f>
        <v/>
      </c>
      <c r="U35" s="88">
        <f>IFERROR(ROUND(O35*0.150000+P35*0.200000+Q35*0.200000+R35*0.250000+S35*0.100000+T35*0.100000,2),"")</f>
        <v/>
      </c>
    </row>
    <row r="36" ht="18" customHeight="1">
      <c r="B36" s="207" t="n">
        <v>26</v>
      </c>
      <c r="C36" s="208">
        <f>IFERROR('PAR · Alumnos'!C35&amp;IF('PAR · Alumnos'!D35&lt;&gt;"",", "&amp;'PAR · Alumnos'!D35,""),"")</f>
        <v/>
      </c>
      <c r="D36" s="209"/>
      <c r="E36" s="209"/>
      <c r="F36" s="209"/>
      <c r="G36" s="209"/>
      <c r="H36" s="209"/>
      <c r="I36" s="209"/>
      <c r="J36" s="209"/>
      <c r="K36" s="209"/>
      <c r="L36" s="210"/>
      <c r="M36" s="210"/>
      <c r="N36" s="210"/>
      <c r="O36" s="56">
        <f>IFERROR(ROUND(PESO_EXAMEN*L36+PESO_PRACTICA*AVERAGE(D36,F36),2),"")</f>
        <v/>
      </c>
      <c r="P36" s="62">
        <f>IFERROR(ROUND(PESO_EXAMEN*L36+PESO_PRACTICA*AVERAGE(E36),2),"")</f>
        <v/>
      </c>
      <c r="Q36" s="66">
        <f>IFERROR(ROUND(PESO_EXAMEN*M36+PESO_PRACTICA*AVERAGE(G36),2),"")</f>
        <v/>
      </c>
      <c r="R36" s="68">
        <f>IFERROR(ROUND(PESO_EXAMEN*M36+PESO_PRACTICA*AVERAGE(H36,J36),2),"")</f>
        <v/>
      </c>
      <c r="S36" s="70">
        <f>IFERROR(ROUND(PESO_EXAMEN*M36+PESO_PRACTICA*AVERAGE(I36),2),"")</f>
        <v/>
      </c>
      <c r="T36" s="72">
        <f>IFERROR(ROUND(PESO_EXAMEN*N36+PESO_PRACTICA*AVERAGE(K36),2),"")</f>
        <v/>
      </c>
      <c r="U36" s="88">
        <f>IFERROR(ROUND(O36*0.150000+P36*0.200000+Q36*0.200000+R36*0.250000+S36*0.100000+T36*0.100000,2),"")</f>
        <v/>
      </c>
    </row>
    <row r="37" ht="18" customHeight="1">
      <c r="B37" s="207" t="n">
        <v>27</v>
      </c>
      <c r="C37" s="208">
        <f>IFERROR('PAR · Alumnos'!C36&amp;IF('PAR · Alumnos'!D36&lt;&gt;"",", "&amp;'PAR · Alumnos'!D36,""),"")</f>
        <v/>
      </c>
      <c r="D37" s="209"/>
      <c r="E37" s="209"/>
      <c r="F37" s="209"/>
      <c r="G37" s="209"/>
      <c r="H37" s="209"/>
      <c r="I37" s="209"/>
      <c r="J37" s="209"/>
      <c r="K37" s="209"/>
      <c r="L37" s="210"/>
      <c r="M37" s="210"/>
      <c r="N37" s="210"/>
      <c r="O37" s="56">
        <f>IFERROR(ROUND(PESO_EXAMEN*L37+PESO_PRACTICA*AVERAGE(D37,F37),2),"")</f>
        <v/>
      </c>
      <c r="P37" s="62">
        <f>IFERROR(ROUND(PESO_EXAMEN*L37+PESO_PRACTICA*AVERAGE(E37),2),"")</f>
        <v/>
      </c>
      <c r="Q37" s="66">
        <f>IFERROR(ROUND(PESO_EXAMEN*M37+PESO_PRACTICA*AVERAGE(G37),2),"")</f>
        <v/>
      </c>
      <c r="R37" s="68">
        <f>IFERROR(ROUND(PESO_EXAMEN*M37+PESO_PRACTICA*AVERAGE(H37,J37),2),"")</f>
        <v/>
      </c>
      <c r="S37" s="70">
        <f>IFERROR(ROUND(PESO_EXAMEN*M37+PESO_PRACTICA*AVERAGE(I37),2),"")</f>
        <v/>
      </c>
      <c r="T37" s="72">
        <f>IFERROR(ROUND(PESO_EXAMEN*N37+PESO_PRACTICA*AVERAGE(K37),2),"")</f>
        <v/>
      </c>
      <c r="U37" s="88">
        <f>IFERROR(ROUND(O37*0.150000+P37*0.200000+Q37*0.200000+R37*0.250000+S37*0.100000+T37*0.100000,2),"")</f>
        <v/>
      </c>
    </row>
    <row r="38" ht="18" customHeight="1">
      <c r="B38" s="207" t="n">
        <v>28</v>
      </c>
      <c r="C38" s="208">
        <f>IFERROR('PAR · Alumnos'!C37&amp;IF('PAR · Alumnos'!D37&lt;&gt;"",", "&amp;'PAR · Alumnos'!D37,""),"")</f>
        <v/>
      </c>
      <c r="D38" s="209"/>
      <c r="E38" s="209"/>
      <c r="F38" s="209"/>
      <c r="G38" s="209"/>
      <c r="H38" s="209"/>
      <c r="I38" s="209"/>
      <c r="J38" s="209"/>
      <c r="K38" s="209"/>
      <c r="L38" s="210"/>
      <c r="M38" s="210"/>
      <c r="N38" s="210"/>
      <c r="O38" s="56">
        <f>IFERROR(ROUND(PESO_EXAMEN*L38+PESO_PRACTICA*AVERAGE(D38,F38),2),"")</f>
        <v/>
      </c>
      <c r="P38" s="62">
        <f>IFERROR(ROUND(PESO_EXAMEN*L38+PESO_PRACTICA*AVERAGE(E38),2),"")</f>
        <v/>
      </c>
      <c r="Q38" s="66">
        <f>IFERROR(ROUND(PESO_EXAMEN*M38+PESO_PRACTICA*AVERAGE(G38),2),"")</f>
        <v/>
      </c>
      <c r="R38" s="68">
        <f>IFERROR(ROUND(PESO_EXAMEN*M38+PESO_PRACTICA*AVERAGE(H38,J38),2),"")</f>
        <v/>
      </c>
      <c r="S38" s="70">
        <f>IFERROR(ROUND(PESO_EXAMEN*M38+PESO_PRACTICA*AVERAGE(I38),2),"")</f>
        <v/>
      </c>
      <c r="T38" s="72">
        <f>IFERROR(ROUND(PESO_EXAMEN*N38+PESO_PRACTICA*AVERAGE(K38),2),"")</f>
        <v/>
      </c>
      <c r="U38" s="88">
        <f>IFERROR(ROUND(O38*0.150000+P38*0.200000+Q38*0.200000+R38*0.250000+S38*0.100000+T38*0.100000,2),"")</f>
        <v/>
      </c>
    </row>
    <row r="39" ht="18" customHeight="1">
      <c r="B39" s="207" t="n">
        <v>29</v>
      </c>
      <c r="C39" s="208">
        <f>IFERROR('PAR · Alumnos'!C38&amp;IF('PAR · Alumnos'!D38&lt;&gt;"",", "&amp;'PAR · Alumnos'!D38,""),"")</f>
        <v/>
      </c>
      <c r="D39" s="209"/>
      <c r="E39" s="209"/>
      <c r="F39" s="209"/>
      <c r="G39" s="209"/>
      <c r="H39" s="209"/>
      <c r="I39" s="209"/>
      <c r="J39" s="209"/>
      <c r="K39" s="209"/>
      <c r="L39" s="210"/>
      <c r="M39" s="210"/>
      <c r="N39" s="210"/>
      <c r="O39" s="56">
        <f>IFERROR(ROUND(PESO_EXAMEN*L39+PESO_PRACTICA*AVERAGE(D39,F39),2),"")</f>
        <v/>
      </c>
      <c r="P39" s="62">
        <f>IFERROR(ROUND(PESO_EXAMEN*L39+PESO_PRACTICA*AVERAGE(E39),2),"")</f>
        <v/>
      </c>
      <c r="Q39" s="66">
        <f>IFERROR(ROUND(PESO_EXAMEN*M39+PESO_PRACTICA*AVERAGE(G39),2),"")</f>
        <v/>
      </c>
      <c r="R39" s="68">
        <f>IFERROR(ROUND(PESO_EXAMEN*M39+PESO_PRACTICA*AVERAGE(H39,J39),2),"")</f>
        <v/>
      </c>
      <c r="S39" s="70">
        <f>IFERROR(ROUND(PESO_EXAMEN*M39+PESO_PRACTICA*AVERAGE(I39),2),"")</f>
        <v/>
      </c>
      <c r="T39" s="72">
        <f>IFERROR(ROUND(PESO_EXAMEN*N39+PESO_PRACTICA*AVERAGE(K39),2),"")</f>
        <v/>
      </c>
      <c r="U39" s="88">
        <f>IFERROR(ROUND(O39*0.150000+P39*0.200000+Q39*0.200000+R39*0.250000+S39*0.100000+T39*0.100000,2),"")</f>
        <v/>
      </c>
    </row>
    <row r="40" ht="18" customHeight="1">
      <c r="B40" s="207" t="n">
        <v>30</v>
      </c>
      <c r="C40" s="208">
        <f>IFERROR('PAR · Alumnos'!C39&amp;IF('PAR · Alumnos'!D39&lt;&gt;"",", "&amp;'PAR · Alumnos'!D39,""),"")</f>
        <v/>
      </c>
      <c r="D40" s="209"/>
      <c r="E40" s="209"/>
      <c r="F40" s="209"/>
      <c r="G40" s="209"/>
      <c r="H40" s="209"/>
      <c r="I40" s="209"/>
      <c r="J40" s="209"/>
      <c r="K40" s="209"/>
      <c r="L40" s="210"/>
      <c r="M40" s="210"/>
      <c r="N40" s="210"/>
      <c r="O40" s="56">
        <f>IFERROR(ROUND(PESO_EXAMEN*L40+PESO_PRACTICA*AVERAGE(D40,F40),2),"")</f>
        <v/>
      </c>
      <c r="P40" s="62">
        <f>IFERROR(ROUND(PESO_EXAMEN*L40+PESO_PRACTICA*AVERAGE(E40),2),"")</f>
        <v/>
      </c>
      <c r="Q40" s="66">
        <f>IFERROR(ROUND(PESO_EXAMEN*M40+PESO_PRACTICA*AVERAGE(G40),2),"")</f>
        <v/>
      </c>
      <c r="R40" s="68">
        <f>IFERROR(ROUND(PESO_EXAMEN*M40+PESO_PRACTICA*AVERAGE(H40,J40),2),"")</f>
        <v/>
      </c>
      <c r="S40" s="70">
        <f>IFERROR(ROUND(PESO_EXAMEN*M40+PESO_PRACTICA*AVERAGE(I40),2),"")</f>
        <v/>
      </c>
      <c r="T40" s="72">
        <f>IFERROR(ROUND(PESO_EXAMEN*N40+PESO_PRACTICA*AVERAGE(K40),2),"")</f>
        <v/>
      </c>
      <c r="U40" s="88">
        <f>IFERROR(ROUND(O40*0.150000+P40*0.200000+Q40*0.200000+R40*0.250000+S40*0.100000+T40*0.100000,2),"")</f>
        <v/>
      </c>
    </row>
  </sheetData>
  <mergeCells count="6">
    <mergeCell ref="D9:K9"/>
    <mergeCell ref="O9:T9"/>
    <mergeCell ref="U9"/>
    <mergeCell ref="L9:N9"/>
    <mergeCell ref="B2:K2"/>
    <mergeCell ref="B3:K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📈 Resumen y Dashboard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Vista general del grupo · Estadísticas y KPIs · PAR 1º ASIR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6">
        <f>HYPERLINK("#PAR · Actividades!A1","📝 Actividades")</f>
        <v/>
      </c>
      <c r="F5" s="6">
        <f>HYPERLINK("#PAR · Reg. Notas!A1","📊 Reg. Notas")</f>
        <v/>
      </c>
      <c r="G5" s="5" t="inlineStr">
        <is>
          <t>📈 Resumen</t>
        </is>
      </c>
      <c r="H5" s="6">
        <f>HYPERLINK("#PAR · Evaluación 1!A1","Eval 1")</f>
        <v/>
      </c>
      <c r="I5" s="6">
        <f>HYPERLINK("#PAR · Evaluación 2!A1","Eval 2")</f>
        <v/>
      </c>
      <c r="J5" s="6">
        <f>HYPERLINK("#PAR · Evaluación 3!A1","Eval 3")</f>
        <v/>
      </c>
      <c r="K5" s="6">
        <f>HYPERLINK("#PAR · 1ªORD!A1","1ª ORD")</f>
        <v/>
      </c>
      <c r="L5" s="6">
        <f>HYPERLINK("#PAR · 2ªORD!A1","2ª ORD")</f>
        <v/>
      </c>
      <c r="M5" s="6">
        <f>HYPERLINK("#PAR · Rúbricas!A1","🎯 Rúbricas")</f>
        <v/>
      </c>
      <c r="N5" s="6">
        <f>HYPERLINK("#PAR · Informe Grupo!A1","📊 Inf.Grupo")</f>
        <v/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>
      <c r="B8" s="211" t="inlineStr">
        <is>
          <t>🚧  Este panel se completará con datos de Reg. Notas en Sprint 9 (Dashboard).</t>
        </is>
      </c>
    </row>
    <row r="10" ht="24" customHeight="1">
      <c r="B10" s="212" t="inlineStr">
        <is>
          <t>📊 Alumnos registrados</t>
        </is>
      </c>
      <c r="C10" s="213">
        <f>COUNTA({_sr('Alumnos')}!C9:C38)</f>
        <v/>
      </c>
    </row>
    <row r="11" ht="24" customHeight="1">
      <c r="B11" s="212" t="inlineStr">
        <is>
          <t>✅ Aprobados (≥5)</t>
        </is>
      </c>
      <c r="C11" s="213" t="inlineStr">
        <is>
          <t>—</t>
        </is>
      </c>
    </row>
    <row r="12" ht="24" customHeight="1">
      <c r="B12" s="212" t="inlineStr">
        <is>
          <t>❌ Suspensos (&lt;5)</t>
        </is>
      </c>
      <c r="C12" s="213" t="inlineStr">
        <is>
          <t>—</t>
        </is>
      </c>
    </row>
    <row r="13" ht="24" customHeight="1">
      <c r="B13" s="212" t="inlineStr">
        <is>
          <t>📈 Media del grupo</t>
        </is>
      </c>
      <c r="C13" s="213" t="inlineStr">
        <is>
          <t>—</t>
        </is>
      </c>
    </row>
    <row r="14" ht="24" customHeight="1">
      <c r="B14" s="212" t="inlineStr">
        <is>
          <t>⚠️ En riesgo (&lt;4)</t>
        </is>
      </c>
      <c r="C14" s="213" t="inlineStr">
        <is>
          <t>—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📝 Evaluación 1  ·  UT1, UT2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RAs evaluados: RA1 42.9%  ·  RA2 57.1%  (pesos normalizados al 100% de esta evaluación)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6">
        <f>HYPERLINK("#PAR · Actividades!A1","📝 Actividades")</f>
        <v/>
      </c>
      <c r="F5" s="6">
        <f>HYPERLINK("#PAR · Reg. Notas!A1","📊 Reg. Notas")</f>
        <v/>
      </c>
      <c r="G5" s="6">
        <f>HYPERLINK("#PAR · Resumen!A1","📈 Resumen")</f>
        <v/>
      </c>
      <c r="H5" s="5" t="inlineStr">
        <is>
          <t>Eval 1</t>
        </is>
      </c>
      <c r="I5" s="6">
        <f>HYPERLINK("#PAR · Evaluación 2!A1","Eval 2")</f>
        <v/>
      </c>
      <c r="J5" s="6">
        <f>HYPERLINK("#PAR · Evaluación 3!A1","Eval 3")</f>
        <v/>
      </c>
      <c r="K5" s="6">
        <f>HYPERLINK("#PAR · 1ªORD!A1","1ª ORD")</f>
        <v/>
      </c>
      <c r="L5" s="6">
        <f>HYPERLINK("#PAR · 2ªORD!A1","2ª ORD")</f>
        <v/>
      </c>
      <c r="M5" s="6">
        <f>HYPERLINK("#PAR · Rúbricas!A1","🎯 Rúbricas")</f>
        <v/>
      </c>
      <c r="N5" s="6">
        <f>HYPERLINK("#PAR · Informe Grupo!A1","📊 Inf.Grupo")</f>
        <v/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F8" s="214" t="inlineStr">
        <is>
          <t>RA1: 15% global → 42.9% en Eval 1</t>
        </is>
      </c>
      <c r="G8" s="215" t="inlineStr">
        <is>
          <t>RA2: 20% global → 57.1% en Eval 1</t>
        </is>
      </c>
    </row>
    <row r="10" ht="36" customHeight="1">
      <c r="B10" s="188" t="inlineStr">
        <is>
          <t>Nº</t>
        </is>
      </c>
      <c r="C10" s="188" t="inlineStr">
        <is>
          <t>Apellidos y Nombre</t>
        </is>
      </c>
      <c r="D10" s="216" t="inlineStr">
        <is>
          <t>UT1
(20h)</t>
        </is>
      </c>
      <c r="E10" s="216" t="inlineStr">
        <is>
          <t>UT2
(22h)</t>
        </is>
      </c>
      <c r="F10" s="216" t="inlineStr">
        <is>
          <t>RA1
(42.9%)</t>
        </is>
      </c>
      <c r="G10" s="103" t="inlineStr">
        <is>
          <t>RA2
(57.1%)</t>
        </is>
      </c>
      <c r="H10" s="188" t="inlineStr">
        <is>
          <t>NOTA EVAL</t>
        </is>
      </c>
      <c r="I10" s="188" t="inlineStr">
        <is>
          <t>Resultado</t>
        </is>
      </c>
    </row>
    <row r="11" ht="20" customHeight="1">
      <c r="B11" s="207" t="n">
        <v>1</v>
      </c>
      <c r="C11" s="208">
        <f>IFERROR('PAR · Alumnos'!C10&amp;IF('PAR · Alumnos'!D10&lt;&gt;"",", "&amp;'PAR · Alumnos'!D10,""),"")</f>
        <v/>
      </c>
      <c r="D11" s="217"/>
      <c r="E11" s="217"/>
      <c r="F11" s="218">
        <f>IFERROR('PAR · Reg. Notas'!O11,"")</f>
        <v/>
      </c>
      <c r="G11" s="219">
        <f>IFERROR('PAR · Reg. Notas'!P11,"")</f>
        <v/>
      </c>
      <c r="H11" s="220">
        <f>IFERROR(ROUND(F11*0.428571+G11*0.571429,2),"")</f>
        <v/>
      </c>
      <c r="I11" s="221">
        <f>IF(H11="","",IF(H11&gt;=5,"APTO","NO APTO"))</f>
        <v/>
      </c>
    </row>
    <row r="12" ht="20" customHeight="1">
      <c r="B12" s="207" t="n">
        <v>2</v>
      </c>
      <c r="C12" s="208">
        <f>IFERROR('PAR · Alumnos'!C11&amp;IF('PAR · Alumnos'!D11&lt;&gt;"",", "&amp;'PAR · Alumnos'!D11,""),"")</f>
        <v/>
      </c>
      <c r="D12" s="217"/>
      <c r="E12" s="217"/>
      <c r="F12" s="218">
        <f>IFERROR('PAR · Reg. Notas'!O12,"")</f>
        <v/>
      </c>
      <c r="G12" s="219">
        <f>IFERROR('PAR · Reg. Notas'!P12,"")</f>
        <v/>
      </c>
      <c r="H12" s="220">
        <f>IFERROR(ROUND(F12*0.428571+G12*0.571429,2),"")</f>
        <v/>
      </c>
      <c r="I12" s="222">
        <f>IF(H12="","",IF(H12&gt;=5,"APTO","NO APTO"))</f>
        <v/>
      </c>
    </row>
    <row r="13" ht="20" customHeight="1">
      <c r="B13" s="207" t="n">
        <v>3</v>
      </c>
      <c r="C13" s="208">
        <f>IFERROR('PAR · Alumnos'!C12&amp;IF('PAR · Alumnos'!D12&lt;&gt;"",", "&amp;'PAR · Alumnos'!D12,""),"")</f>
        <v/>
      </c>
      <c r="D13" s="217"/>
      <c r="E13" s="217"/>
      <c r="F13" s="218">
        <f>IFERROR('PAR · Reg. Notas'!O13,"")</f>
        <v/>
      </c>
      <c r="G13" s="219">
        <f>IFERROR('PAR · Reg. Notas'!P13,"")</f>
        <v/>
      </c>
      <c r="H13" s="220">
        <f>IFERROR(ROUND(F13*0.428571+G13*0.571429,2),"")</f>
        <v/>
      </c>
      <c r="I13" s="221">
        <f>IF(H13="","",IF(H13&gt;=5,"APTO","NO APTO"))</f>
        <v/>
      </c>
    </row>
    <row r="14" ht="20" customHeight="1">
      <c r="B14" s="207" t="n">
        <v>4</v>
      </c>
      <c r="C14" s="208">
        <f>IFERROR('PAR · Alumnos'!C13&amp;IF('PAR · Alumnos'!D13&lt;&gt;"",", "&amp;'PAR · Alumnos'!D13,""),"")</f>
        <v/>
      </c>
      <c r="D14" s="217"/>
      <c r="E14" s="217"/>
      <c r="F14" s="218">
        <f>IFERROR('PAR · Reg. Notas'!O14,"")</f>
        <v/>
      </c>
      <c r="G14" s="219">
        <f>IFERROR('PAR · Reg. Notas'!P14,"")</f>
        <v/>
      </c>
      <c r="H14" s="220">
        <f>IFERROR(ROUND(F14*0.428571+G14*0.571429,2),"")</f>
        <v/>
      </c>
      <c r="I14" s="222">
        <f>IF(H14="","",IF(H14&gt;=5,"APTO","NO APTO"))</f>
        <v/>
      </c>
    </row>
    <row r="15" ht="20" customHeight="1">
      <c r="B15" s="207" t="n">
        <v>5</v>
      </c>
      <c r="C15" s="208">
        <f>IFERROR('PAR · Alumnos'!C14&amp;IF('PAR · Alumnos'!D14&lt;&gt;"",", "&amp;'PAR · Alumnos'!D14,""),"")</f>
        <v/>
      </c>
      <c r="D15" s="217"/>
      <c r="E15" s="217"/>
      <c r="F15" s="218">
        <f>IFERROR('PAR · Reg. Notas'!O15,"")</f>
        <v/>
      </c>
      <c r="G15" s="219">
        <f>IFERROR('PAR · Reg. Notas'!P15,"")</f>
        <v/>
      </c>
      <c r="H15" s="220">
        <f>IFERROR(ROUND(F15*0.428571+G15*0.571429,2),"")</f>
        <v/>
      </c>
      <c r="I15" s="221">
        <f>IF(H15="","",IF(H15&gt;=5,"APTO","NO APTO"))</f>
        <v/>
      </c>
    </row>
    <row r="16" ht="20" customHeight="1">
      <c r="B16" s="207" t="n">
        <v>6</v>
      </c>
      <c r="C16" s="208">
        <f>IFERROR('PAR · Alumnos'!C15&amp;IF('PAR · Alumnos'!D15&lt;&gt;"",", "&amp;'PAR · Alumnos'!D15,""),"")</f>
        <v/>
      </c>
      <c r="D16" s="217"/>
      <c r="E16" s="217"/>
      <c r="F16" s="218">
        <f>IFERROR('PAR · Reg. Notas'!O16,"")</f>
        <v/>
      </c>
      <c r="G16" s="219">
        <f>IFERROR('PAR · Reg. Notas'!P16,"")</f>
        <v/>
      </c>
      <c r="H16" s="220">
        <f>IFERROR(ROUND(F16*0.428571+G16*0.571429,2),"")</f>
        <v/>
      </c>
      <c r="I16" s="222">
        <f>IF(H16="","",IF(H16&gt;=5,"APTO","NO APTO"))</f>
        <v/>
      </c>
    </row>
    <row r="17" ht="20" customHeight="1">
      <c r="B17" s="207" t="n">
        <v>7</v>
      </c>
      <c r="C17" s="208">
        <f>IFERROR('PAR · Alumnos'!C16&amp;IF('PAR · Alumnos'!D16&lt;&gt;"",", "&amp;'PAR · Alumnos'!D16,""),"")</f>
        <v/>
      </c>
      <c r="D17" s="217"/>
      <c r="E17" s="217"/>
      <c r="F17" s="218">
        <f>IFERROR('PAR · Reg. Notas'!O17,"")</f>
        <v/>
      </c>
      <c r="G17" s="219">
        <f>IFERROR('PAR · Reg. Notas'!P17,"")</f>
        <v/>
      </c>
      <c r="H17" s="220">
        <f>IFERROR(ROUND(F17*0.428571+G17*0.571429,2),"")</f>
        <v/>
      </c>
      <c r="I17" s="221">
        <f>IF(H17="","",IF(H17&gt;=5,"APTO","NO APTO"))</f>
        <v/>
      </c>
    </row>
    <row r="18" ht="20" customHeight="1">
      <c r="B18" s="207" t="n">
        <v>8</v>
      </c>
      <c r="C18" s="208">
        <f>IFERROR('PAR · Alumnos'!C17&amp;IF('PAR · Alumnos'!D17&lt;&gt;"",", "&amp;'PAR · Alumnos'!D17,""),"")</f>
        <v/>
      </c>
      <c r="D18" s="217"/>
      <c r="E18" s="217"/>
      <c r="F18" s="218">
        <f>IFERROR('PAR · Reg. Notas'!O18,"")</f>
        <v/>
      </c>
      <c r="G18" s="219">
        <f>IFERROR('PAR · Reg. Notas'!P18,"")</f>
        <v/>
      </c>
      <c r="H18" s="220">
        <f>IFERROR(ROUND(F18*0.428571+G18*0.571429,2),"")</f>
        <v/>
      </c>
      <c r="I18" s="222">
        <f>IF(H18="","",IF(H18&gt;=5,"APTO","NO APTO"))</f>
        <v/>
      </c>
    </row>
    <row r="19" ht="20" customHeight="1">
      <c r="B19" s="207" t="n">
        <v>9</v>
      </c>
      <c r="C19" s="208">
        <f>IFERROR('PAR · Alumnos'!C18&amp;IF('PAR · Alumnos'!D18&lt;&gt;"",", "&amp;'PAR · Alumnos'!D18,""),"")</f>
        <v/>
      </c>
      <c r="D19" s="217"/>
      <c r="E19" s="217"/>
      <c r="F19" s="218">
        <f>IFERROR('PAR · Reg. Notas'!O19,"")</f>
        <v/>
      </c>
      <c r="G19" s="219">
        <f>IFERROR('PAR · Reg. Notas'!P19,"")</f>
        <v/>
      </c>
      <c r="H19" s="220">
        <f>IFERROR(ROUND(F19*0.428571+G19*0.571429,2),"")</f>
        <v/>
      </c>
      <c r="I19" s="221">
        <f>IF(H19="","",IF(H19&gt;=5,"APTO","NO APTO"))</f>
        <v/>
      </c>
    </row>
    <row r="20" ht="20" customHeight="1">
      <c r="B20" s="207" t="n">
        <v>10</v>
      </c>
      <c r="C20" s="208">
        <f>IFERROR('PAR · Alumnos'!C19&amp;IF('PAR · Alumnos'!D19&lt;&gt;"",", "&amp;'PAR · Alumnos'!D19,""),"")</f>
        <v/>
      </c>
      <c r="D20" s="217"/>
      <c r="E20" s="217"/>
      <c r="F20" s="218">
        <f>IFERROR('PAR · Reg. Notas'!O20,"")</f>
        <v/>
      </c>
      <c r="G20" s="219">
        <f>IFERROR('PAR · Reg. Notas'!P20,"")</f>
        <v/>
      </c>
      <c r="H20" s="220">
        <f>IFERROR(ROUND(F20*0.428571+G20*0.571429,2),"")</f>
        <v/>
      </c>
      <c r="I20" s="222">
        <f>IF(H20="","",IF(H20&gt;=5,"APTO","NO APTO"))</f>
        <v/>
      </c>
    </row>
    <row r="21" ht="20" customHeight="1">
      <c r="B21" s="207" t="n">
        <v>11</v>
      </c>
      <c r="C21" s="208">
        <f>IFERROR('PAR · Alumnos'!C20&amp;IF('PAR · Alumnos'!D20&lt;&gt;"",", "&amp;'PAR · Alumnos'!D20,""),"")</f>
        <v/>
      </c>
      <c r="D21" s="217"/>
      <c r="E21" s="217"/>
      <c r="F21" s="218">
        <f>IFERROR('PAR · Reg. Notas'!O21,"")</f>
        <v/>
      </c>
      <c r="G21" s="219">
        <f>IFERROR('PAR · Reg. Notas'!P21,"")</f>
        <v/>
      </c>
      <c r="H21" s="220">
        <f>IFERROR(ROUND(F21*0.428571+G21*0.571429,2),"")</f>
        <v/>
      </c>
      <c r="I21" s="221">
        <f>IF(H21="","",IF(H21&gt;=5,"APTO","NO APTO"))</f>
        <v/>
      </c>
    </row>
    <row r="22" ht="20" customHeight="1">
      <c r="B22" s="207" t="n">
        <v>12</v>
      </c>
      <c r="C22" s="208">
        <f>IFERROR('PAR · Alumnos'!C21&amp;IF('PAR · Alumnos'!D21&lt;&gt;"",", "&amp;'PAR · Alumnos'!D21,""),"")</f>
        <v/>
      </c>
      <c r="D22" s="217"/>
      <c r="E22" s="217"/>
      <c r="F22" s="218">
        <f>IFERROR('PAR · Reg. Notas'!O22,"")</f>
        <v/>
      </c>
      <c r="G22" s="219">
        <f>IFERROR('PAR · Reg. Notas'!P22,"")</f>
        <v/>
      </c>
      <c r="H22" s="220">
        <f>IFERROR(ROUND(F22*0.428571+G22*0.571429,2),"")</f>
        <v/>
      </c>
      <c r="I22" s="222">
        <f>IF(H22="","",IF(H22&gt;=5,"APTO","NO APTO"))</f>
        <v/>
      </c>
    </row>
    <row r="23" ht="20" customHeight="1">
      <c r="B23" s="207" t="n">
        <v>13</v>
      </c>
      <c r="C23" s="208">
        <f>IFERROR('PAR · Alumnos'!C22&amp;IF('PAR · Alumnos'!D22&lt;&gt;"",", "&amp;'PAR · Alumnos'!D22,""),"")</f>
        <v/>
      </c>
      <c r="D23" s="217"/>
      <c r="E23" s="217"/>
      <c r="F23" s="218">
        <f>IFERROR('PAR · Reg. Notas'!O23,"")</f>
        <v/>
      </c>
      <c r="G23" s="219">
        <f>IFERROR('PAR · Reg. Notas'!P23,"")</f>
        <v/>
      </c>
      <c r="H23" s="220">
        <f>IFERROR(ROUND(F23*0.428571+G23*0.571429,2),"")</f>
        <v/>
      </c>
      <c r="I23" s="221">
        <f>IF(H23="","",IF(H23&gt;=5,"APTO","NO APTO"))</f>
        <v/>
      </c>
    </row>
    <row r="24" ht="20" customHeight="1">
      <c r="B24" s="207" t="n">
        <v>14</v>
      </c>
      <c r="C24" s="208">
        <f>IFERROR('PAR · Alumnos'!C23&amp;IF('PAR · Alumnos'!D23&lt;&gt;"",", "&amp;'PAR · Alumnos'!D23,""),"")</f>
        <v/>
      </c>
      <c r="D24" s="217"/>
      <c r="E24" s="217"/>
      <c r="F24" s="218">
        <f>IFERROR('PAR · Reg. Notas'!O24,"")</f>
        <v/>
      </c>
      <c r="G24" s="219">
        <f>IFERROR('PAR · Reg. Notas'!P24,"")</f>
        <v/>
      </c>
      <c r="H24" s="220">
        <f>IFERROR(ROUND(F24*0.428571+G24*0.571429,2),"")</f>
        <v/>
      </c>
      <c r="I24" s="222">
        <f>IF(H24="","",IF(H24&gt;=5,"APTO","NO APTO"))</f>
        <v/>
      </c>
    </row>
    <row r="25" ht="20" customHeight="1">
      <c r="B25" s="207" t="n">
        <v>15</v>
      </c>
      <c r="C25" s="208">
        <f>IFERROR('PAR · Alumnos'!C24&amp;IF('PAR · Alumnos'!D24&lt;&gt;"",", "&amp;'PAR · Alumnos'!D24,""),"")</f>
        <v/>
      </c>
      <c r="D25" s="217"/>
      <c r="E25" s="217"/>
      <c r="F25" s="218">
        <f>IFERROR('PAR · Reg. Notas'!O25,"")</f>
        <v/>
      </c>
      <c r="G25" s="219">
        <f>IFERROR('PAR · Reg. Notas'!P25,"")</f>
        <v/>
      </c>
      <c r="H25" s="220">
        <f>IFERROR(ROUND(F25*0.428571+G25*0.571429,2),"")</f>
        <v/>
      </c>
      <c r="I25" s="221">
        <f>IF(H25="","",IF(H25&gt;=5,"APTO","NO APTO"))</f>
        <v/>
      </c>
    </row>
    <row r="26" ht="20" customHeight="1">
      <c r="B26" s="207" t="n">
        <v>16</v>
      </c>
      <c r="C26" s="208">
        <f>IFERROR('PAR · Alumnos'!C25&amp;IF('PAR · Alumnos'!D25&lt;&gt;"",", "&amp;'PAR · Alumnos'!D25,""),"")</f>
        <v/>
      </c>
      <c r="D26" s="217"/>
      <c r="E26" s="217"/>
      <c r="F26" s="218">
        <f>IFERROR('PAR · Reg. Notas'!O26,"")</f>
        <v/>
      </c>
      <c r="G26" s="219">
        <f>IFERROR('PAR · Reg. Notas'!P26,"")</f>
        <v/>
      </c>
      <c r="H26" s="220">
        <f>IFERROR(ROUND(F26*0.428571+G26*0.571429,2),"")</f>
        <v/>
      </c>
      <c r="I26" s="222">
        <f>IF(H26="","",IF(H26&gt;=5,"APTO","NO APTO"))</f>
        <v/>
      </c>
    </row>
    <row r="27" ht="20" customHeight="1">
      <c r="B27" s="207" t="n">
        <v>17</v>
      </c>
      <c r="C27" s="208">
        <f>IFERROR('PAR · Alumnos'!C26&amp;IF('PAR · Alumnos'!D26&lt;&gt;"",", "&amp;'PAR · Alumnos'!D26,""),"")</f>
        <v/>
      </c>
      <c r="D27" s="217"/>
      <c r="E27" s="217"/>
      <c r="F27" s="218">
        <f>IFERROR('PAR · Reg. Notas'!O27,"")</f>
        <v/>
      </c>
      <c r="G27" s="219">
        <f>IFERROR('PAR · Reg. Notas'!P27,"")</f>
        <v/>
      </c>
      <c r="H27" s="220">
        <f>IFERROR(ROUND(F27*0.428571+G27*0.571429,2),"")</f>
        <v/>
      </c>
      <c r="I27" s="221">
        <f>IF(H27="","",IF(H27&gt;=5,"APTO","NO APTO"))</f>
        <v/>
      </c>
    </row>
    <row r="28" ht="20" customHeight="1">
      <c r="B28" s="207" t="n">
        <v>18</v>
      </c>
      <c r="C28" s="208">
        <f>IFERROR('PAR · Alumnos'!C27&amp;IF('PAR · Alumnos'!D27&lt;&gt;"",", "&amp;'PAR · Alumnos'!D27,""),"")</f>
        <v/>
      </c>
      <c r="D28" s="217"/>
      <c r="E28" s="217"/>
      <c r="F28" s="218">
        <f>IFERROR('PAR · Reg. Notas'!O28,"")</f>
        <v/>
      </c>
      <c r="G28" s="219">
        <f>IFERROR('PAR · Reg. Notas'!P28,"")</f>
        <v/>
      </c>
      <c r="H28" s="220">
        <f>IFERROR(ROUND(F28*0.428571+G28*0.571429,2),"")</f>
        <v/>
      </c>
      <c r="I28" s="222">
        <f>IF(H28="","",IF(H28&gt;=5,"APTO","NO APTO"))</f>
        <v/>
      </c>
    </row>
    <row r="29" ht="20" customHeight="1">
      <c r="B29" s="207" t="n">
        <v>19</v>
      </c>
      <c r="C29" s="208">
        <f>IFERROR('PAR · Alumnos'!C28&amp;IF('PAR · Alumnos'!D28&lt;&gt;"",", "&amp;'PAR · Alumnos'!D28,""),"")</f>
        <v/>
      </c>
      <c r="D29" s="217"/>
      <c r="E29" s="217"/>
      <c r="F29" s="218">
        <f>IFERROR('PAR · Reg. Notas'!O29,"")</f>
        <v/>
      </c>
      <c r="G29" s="219">
        <f>IFERROR('PAR · Reg. Notas'!P29,"")</f>
        <v/>
      </c>
      <c r="H29" s="220">
        <f>IFERROR(ROUND(F29*0.428571+G29*0.571429,2),"")</f>
        <v/>
      </c>
      <c r="I29" s="221">
        <f>IF(H29="","",IF(H29&gt;=5,"APTO","NO APTO"))</f>
        <v/>
      </c>
    </row>
    <row r="30" ht="20" customHeight="1">
      <c r="B30" s="207" t="n">
        <v>20</v>
      </c>
      <c r="C30" s="208">
        <f>IFERROR('PAR · Alumnos'!C29&amp;IF('PAR · Alumnos'!D29&lt;&gt;"",", "&amp;'PAR · Alumnos'!D29,""),"")</f>
        <v/>
      </c>
      <c r="D30" s="217"/>
      <c r="E30" s="217"/>
      <c r="F30" s="218">
        <f>IFERROR('PAR · Reg. Notas'!O30,"")</f>
        <v/>
      </c>
      <c r="G30" s="219">
        <f>IFERROR('PAR · Reg. Notas'!P30,"")</f>
        <v/>
      </c>
      <c r="H30" s="220">
        <f>IFERROR(ROUND(F30*0.428571+G30*0.571429,2),"")</f>
        <v/>
      </c>
      <c r="I30" s="222">
        <f>IF(H30="","",IF(H30&gt;=5,"APTO","NO APTO"))</f>
        <v/>
      </c>
    </row>
    <row r="31" ht="20" customHeight="1">
      <c r="B31" s="207" t="n">
        <v>21</v>
      </c>
      <c r="C31" s="208">
        <f>IFERROR('PAR · Alumnos'!C30&amp;IF('PAR · Alumnos'!D30&lt;&gt;"",", "&amp;'PAR · Alumnos'!D30,""),"")</f>
        <v/>
      </c>
      <c r="D31" s="217"/>
      <c r="E31" s="217"/>
      <c r="F31" s="218">
        <f>IFERROR('PAR · Reg. Notas'!O31,"")</f>
        <v/>
      </c>
      <c r="G31" s="219">
        <f>IFERROR('PAR · Reg. Notas'!P31,"")</f>
        <v/>
      </c>
      <c r="H31" s="220">
        <f>IFERROR(ROUND(F31*0.428571+G31*0.571429,2),"")</f>
        <v/>
      </c>
      <c r="I31" s="221">
        <f>IF(H31="","",IF(H31&gt;=5,"APTO","NO APTO"))</f>
        <v/>
      </c>
    </row>
    <row r="32" ht="20" customHeight="1">
      <c r="B32" s="207" t="n">
        <v>22</v>
      </c>
      <c r="C32" s="208">
        <f>IFERROR('PAR · Alumnos'!C31&amp;IF('PAR · Alumnos'!D31&lt;&gt;"",", "&amp;'PAR · Alumnos'!D31,""),"")</f>
        <v/>
      </c>
      <c r="D32" s="217"/>
      <c r="E32" s="217"/>
      <c r="F32" s="218">
        <f>IFERROR('PAR · Reg. Notas'!O32,"")</f>
        <v/>
      </c>
      <c r="G32" s="219">
        <f>IFERROR('PAR · Reg. Notas'!P32,"")</f>
        <v/>
      </c>
      <c r="H32" s="220">
        <f>IFERROR(ROUND(F32*0.428571+G32*0.571429,2),"")</f>
        <v/>
      </c>
      <c r="I32" s="222">
        <f>IF(H32="","",IF(H32&gt;=5,"APTO","NO APTO"))</f>
        <v/>
      </c>
    </row>
    <row r="33" ht="20" customHeight="1">
      <c r="B33" s="207" t="n">
        <v>23</v>
      </c>
      <c r="C33" s="208">
        <f>IFERROR('PAR · Alumnos'!C32&amp;IF('PAR · Alumnos'!D32&lt;&gt;"",", "&amp;'PAR · Alumnos'!D32,""),"")</f>
        <v/>
      </c>
      <c r="D33" s="217"/>
      <c r="E33" s="217"/>
      <c r="F33" s="218">
        <f>IFERROR('PAR · Reg. Notas'!O33,"")</f>
        <v/>
      </c>
      <c r="G33" s="219">
        <f>IFERROR('PAR · Reg. Notas'!P33,"")</f>
        <v/>
      </c>
      <c r="H33" s="220">
        <f>IFERROR(ROUND(F33*0.428571+G33*0.571429,2),"")</f>
        <v/>
      </c>
      <c r="I33" s="221">
        <f>IF(H33="","",IF(H33&gt;=5,"APTO","NO APTO"))</f>
        <v/>
      </c>
    </row>
    <row r="34" ht="20" customHeight="1">
      <c r="B34" s="207" t="n">
        <v>24</v>
      </c>
      <c r="C34" s="208">
        <f>IFERROR('PAR · Alumnos'!C33&amp;IF('PAR · Alumnos'!D33&lt;&gt;"",", "&amp;'PAR · Alumnos'!D33,""),"")</f>
        <v/>
      </c>
      <c r="D34" s="217"/>
      <c r="E34" s="217"/>
      <c r="F34" s="218">
        <f>IFERROR('PAR · Reg. Notas'!O34,"")</f>
        <v/>
      </c>
      <c r="G34" s="219">
        <f>IFERROR('PAR · Reg. Notas'!P34,"")</f>
        <v/>
      </c>
      <c r="H34" s="220">
        <f>IFERROR(ROUND(F34*0.428571+G34*0.571429,2),"")</f>
        <v/>
      </c>
      <c r="I34" s="222">
        <f>IF(H34="","",IF(H34&gt;=5,"APTO","NO APTO"))</f>
        <v/>
      </c>
    </row>
    <row r="35" ht="20" customHeight="1">
      <c r="B35" s="207" t="n">
        <v>25</v>
      </c>
      <c r="C35" s="208">
        <f>IFERROR('PAR · Alumnos'!C34&amp;IF('PAR · Alumnos'!D34&lt;&gt;"",", "&amp;'PAR · Alumnos'!D34,""),"")</f>
        <v/>
      </c>
      <c r="D35" s="217"/>
      <c r="E35" s="217"/>
      <c r="F35" s="218">
        <f>IFERROR('PAR · Reg. Notas'!O35,"")</f>
        <v/>
      </c>
      <c r="G35" s="219">
        <f>IFERROR('PAR · Reg. Notas'!P35,"")</f>
        <v/>
      </c>
      <c r="H35" s="220">
        <f>IFERROR(ROUND(F35*0.428571+G35*0.571429,2),"")</f>
        <v/>
      </c>
      <c r="I35" s="221">
        <f>IF(H35="","",IF(H35&gt;=5,"APTO","NO APTO"))</f>
        <v/>
      </c>
    </row>
    <row r="36" ht="20" customHeight="1">
      <c r="B36" s="207" t="n">
        <v>26</v>
      </c>
      <c r="C36" s="208">
        <f>IFERROR('PAR · Alumnos'!C35&amp;IF('PAR · Alumnos'!D35&lt;&gt;"",", "&amp;'PAR · Alumnos'!D35,""),"")</f>
        <v/>
      </c>
      <c r="D36" s="217"/>
      <c r="E36" s="217"/>
      <c r="F36" s="218">
        <f>IFERROR('PAR · Reg. Notas'!O36,"")</f>
        <v/>
      </c>
      <c r="G36" s="219">
        <f>IFERROR('PAR · Reg. Notas'!P36,"")</f>
        <v/>
      </c>
      <c r="H36" s="220">
        <f>IFERROR(ROUND(F36*0.428571+G36*0.571429,2),"")</f>
        <v/>
      </c>
      <c r="I36" s="222">
        <f>IF(H36="","",IF(H36&gt;=5,"APTO","NO APTO"))</f>
        <v/>
      </c>
    </row>
    <row r="37" ht="20" customHeight="1">
      <c r="B37" s="207" t="n">
        <v>27</v>
      </c>
      <c r="C37" s="208">
        <f>IFERROR('PAR · Alumnos'!C36&amp;IF('PAR · Alumnos'!D36&lt;&gt;"",", "&amp;'PAR · Alumnos'!D36,""),"")</f>
        <v/>
      </c>
      <c r="D37" s="217"/>
      <c r="E37" s="217"/>
      <c r="F37" s="218">
        <f>IFERROR('PAR · Reg. Notas'!O37,"")</f>
        <v/>
      </c>
      <c r="G37" s="219">
        <f>IFERROR('PAR · Reg. Notas'!P37,"")</f>
        <v/>
      </c>
      <c r="H37" s="220">
        <f>IFERROR(ROUND(F37*0.428571+G37*0.571429,2),"")</f>
        <v/>
      </c>
      <c r="I37" s="221">
        <f>IF(H37="","",IF(H37&gt;=5,"APTO","NO APTO"))</f>
        <v/>
      </c>
    </row>
    <row r="38" ht="20" customHeight="1">
      <c r="B38" s="207" t="n">
        <v>28</v>
      </c>
      <c r="C38" s="208">
        <f>IFERROR('PAR · Alumnos'!C37&amp;IF('PAR · Alumnos'!D37&lt;&gt;"",", "&amp;'PAR · Alumnos'!D37,""),"")</f>
        <v/>
      </c>
      <c r="D38" s="217"/>
      <c r="E38" s="217"/>
      <c r="F38" s="218">
        <f>IFERROR('PAR · Reg. Notas'!O38,"")</f>
        <v/>
      </c>
      <c r="G38" s="219">
        <f>IFERROR('PAR · Reg. Notas'!P38,"")</f>
        <v/>
      </c>
      <c r="H38" s="220">
        <f>IFERROR(ROUND(F38*0.428571+G38*0.571429,2),"")</f>
        <v/>
      </c>
      <c r="I38" s="222">
        <f>IF(H38="","",IF(H38&gt;=5,"APTO","NO APTO"))</f>
        <v/>
      </c>
    </row>
    <row r="39" ht="20" customHeight="1">
      <c r="B39" s="207" t="n">
        <v>29</v>
      </c>
      <c r="C39" s="208">
        <f>IFERROR('PAR · Alumnos'!C38&amp;IF('PAR · Alumnos'!D38&lt;&gt;"",", "&amp;'PAR · Alumnos'!D38,""),"")</f>
        <v/>
      </c>
      <c r="D39" s="217"/>
      <c r="E39" s="217"/>
      <c r="F39" s="218">
        <f>IFERROR('PAR · Reg. Notas'!O39,"")</f>
        <v/>
      </c>
      <c r="G39" s="219">
        <f>IFERROR('PAR · Reg. Notas'!P39,"")</f>
        <v/>
      </c>
      <c r="H39" s="220">
        <f>IFERROR(ROUND(F39*0.428571+G39*0.571429,2),"")</f>
        <v/>
      </c>
      <c r="I39" s="221">
        <f>IF(H39="","",IF(H39&gt;=5,"APTO","NO APTO"))</f>
        <v/>
      </c>
    </row>
    <row r="40" ht="20" customHeight="1">
      <c r="B40" s="207" t="n">
        <v>30</v>
      </c>
      <c r="C40" s="208">
        <f>IFERROR('PAR · Alumnos'!C39&amp;IF('PAR · Alumnos'!D39&lt;&gt;"",", "&amp;'PAR · Alumnos'!D39,""),"")</f>
        <v/>
      </c>
      <c r="D40" s="217"/>
      <c r="E40" s="217"/>
      <c r="F40" s="218">
        <f>IFERROR('PAR · Reg. Notas'!O40,"")</f>
        <v/>
      </c>
      <c r="G40" s="219">
        <f>IFERROR('PAR · Reg. Notas'!P40,"")</f>
        <v/>
      </c>
      <c r="H40" s="220">
        <f>IFERROR(ROUND(F40*0.428571+G40*0.571429,2),"")</f>
        <v/>
      </c>
      <c r="I40" s="222">
        <f>IF(H40="","",IF(H40&gt;=5,"APTO","NO APTO"))</f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📝 Evaluación 2  ·  UT3, UT4, UT5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RAs evaluados: RA3 36.4%  ·  RA4 45.5%  ·  RA5 18.2%  (pesos normalizados al 100% de esta evaluación)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6">
        <f>HYPERLINK("#PAR · Actividades!A1","📝 Actividades")</f>
        <v/>
      </c>
      <c r="F5" s="6">
        <f>HYPERLINK("#PAR · Reg. Notas!A1","📊 Reg. Notas")</f>
        <v/>
      </c>
      <c r="G5" s="6">
        <f>HYPERLINK("#PAR · Resumen!A1","📈 Resumen")</f>
        <v/>
      </c>
      <c r="H5" s="6">
        <f>HYPERLINK("#PAR · Evaluación 1!A1","Eval 1")</f>
        <v/>
      </c>
      <c r="I5" s="5" t="inlineStr">
        <is>
          <t>Eval 2</t>
        </is>
      </c>
      <c r="J5" s="6">
        <f>HYPERLINK("#PAR · Evaluación 3!A1","Eval 3")</f>
        <v/>
      </c>
      <c r="K5" s="6">
        <f>HYPERLINK("#PAR · 1ªORD!A1","1ª ORD")</f>
        <v/>
      </c>
      <c r="L5" s="6">
        <f>HYPERLINK("#PAR · 2ªORD!A1","2ª ORD")</f>
        <v/>
      </c>
      <c r="M5" s="6">
        <f>HYPERLINK("#PAR · Rúbricas!A1","🎯 Rúbricas")</f>
        <v/>
      </c>
      <c r="N5" s="6">
        <f>HYPERLINK("#PAR · Informe Grupo!A1","📊 Inf.Grupo")</f>
        <v/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G8" s="223" t="inlineStr">
        <is>
          <t>RA3: 20% global → 36.4% en Eval 2</t>
        </is>
      </c>
      <c r="H8" s="224" t="inlineStr">
        <is>
          <t>RA4: 25% global → 45.5% en Eval 2</t>
        </is>
      </c>
      <c r="I8" s="225" t="inlineStr">
        <is>
          <t>RA5: 10% global → 18.2% en Eval 2</t>
        </is>
      </c>
    </row>
    <row r="10" ht="36" customHeight="1">
      <c r="B10" s="188" t="inlineStr">
        <is>
          <t>Nº</t>
        </is>
      </c>
      <c r="C10" s="188" t="inlineStr">
        <is>
          <t>Apellidos y Nombre</t>
        </is>
      </c>
      <c r="D10" s="226" t="inlineStr">
        <is>
          <t>UT3
(22h)</t>
        </is>
      </c>
      <c r="E10" s="226" t="inlineStr">
        <is>
          <t>UT4
(28h)</t>
        </is>
      </c>
      <c r="F10" s="226" t="inlineStr">
        <is>
          <t>UT5
(20h)</t>
        </is>
      </c>
      <c r="G10" s="226" t="inlineStr">
        <is>
          <t>RA3
(36.4%)</t>
        </is>
      </c>
      <c r="H10" s="227" t="inlineStr">
        <is>
          <t>RA4
(45.5%)</t>
        </is>
      </c>
      <c r="I10" s="206" t="inlineStr">
        <is>
          <t>RA5
(18.2%)</t>
        </is>
      </c>
      <c r="J10" s="188" t="inlineStr">
        <is>
          <t>NOTA EVAL</t>
        </is>
      </c>
      <c r="K10" s="188" t="inlineStr">
        <is>
          <t>Resultado</t>
        </is>
      </c>
    </row>
    <row r="11" ht="20" customHeight="1">
      <c r="B11" s="207" t="n">
        <v>1</v>
      </c>
      <c r="C11" s="208">
        <f>IFERROR('PAR · Alumnos'!C10&amp;IF('PAR · Alumnos'!D10&lt;&gt;"",", "&amp;'PAR · Alumnos'!D10,""),"")</f>
        <v/>
      </c>
      <c r="D11" s="217"/>
      <c r="E11" s="217"/>
      <c r="F11" s="217"/>
      <c r="G11" s="228">
        <f>IFERROR('PAR · Reg. Notas'!Q11,"")</f>
        <v/>
      </c>
      <c r="H11" s="229">
        <f>IFERROR('PAR · Reg. Notas'!R11,"")</f>
        <v/>
      </c>
      <c r="I11" s="230">
        <f>IFERROR('PAR · Reg. Notas'!S11,"")</f>
        <v/>
      </c>
      <c r="J11" s="220">
        <f>IFERROR(ROUND(G11*0.363636+H11*0.454545+I11*0.181818,2),"")</f>
        <v/>
      </c>
      <c r="K11" s="221">
        <f>IF(J11="","",IF(J11&gt;=5,"APTO","NO APTO"))</f>
        <v/>
      </c>
    </row>
    <row r="12" ht="20" customHeight="1">
      <c r="B12" s="207" t="n">
        <v>2</v>
      </c>
      <c r="C12" s="208">
        <f>IFERROR('PAR · Alumnos'!C11&amp;IF('PAR · Alumnos'!D11&lt;&gt;"",", "&amp;'PAR · Alumnos'!D11,""),"")</f>
        <v/>
      </c>
      <c r="D12" s="217"/>
      <c r="E12" s="217"/>
      <c r="F12" s="217"/>
      <c r="G12" s="228">
        <f>IFERROR('PAR · Reg. Notas'!Q12,"")</f>
        <v/>
      </c>
      <c r="H12" s="229">
        <f>IFERROR('PAR · Reg. Notas'!R12,"")</f>
        <v/>
      </c>
      <c r="I12" s="230">
        <f>IFERROR('PAR · Reg. Notas'!S12,"")</f>
        <v/>
      </c>
      <c r="J12" s="220">
        <f>IFERROR(ROUND(G12*0.363636+H12*0.454545+I12*0.181818,2),"")</f>
        <v/>
      </c>
      <c r="K12" s="222">
        <f>IF(J12="","",IF(J12&gt;=5,"APTO","NO APTO"))</f>
        <v/>
      </c>
    </row>
    <row r="13" ht="20" customHeight="1">
      <c r="B13" s="207" t="n">
        <v>3</v>
      </c>
      <c r="C13" s="208">
        <f>IFERROR('PAR · Alumnos'!C12&amp;IF('PAR · Alumnos'!D12&lt;&gt;"",", "&amp;'PAR · Alumnos'!D12,""),"")</f>
        <v/>
      </c>
      <c r="D13" s="217"/>
      <c r="E13" s="217"/>
      <c r="F13" s="217"/>
      <c r="G13" s="228">
        <f>IFERROR('PAR · Reg. Notas'!Q13,"")</f>
        <v/>
      </c>
      <c r="H13" s="229">
        <f>IFERROR('PAR · Reg. Notas'!R13,"")</f>
        <v/>
      </c>
      <c r="I13" s="230">
        <f>IFERROR('PAR · Reg. Notas'!S13,"")</f>
        <v/>
      </c>
      <c r="J13" s="220">
        <f>IFERROR(ROUND(G13*0.363636+H13*0.454545+I13*0.181818,2),"")</f>
        <v/>
      </c>
      <c r="K13" s="221">
        <f>IF(J13="","",IF(J13&gt;=5,"APTO","NO APTO"))</f>
        <v/>
      </c>
    </row>
    <row r="14" ht="20" customHeight="1">
      <c r="B14" s="207" t="n">
        <v>4</v>
      </c>
      <c r="C14" s="208">
        <f>IFERROR('PAR · Alumnos'!C13&amp;IF('PAR · Alumnos'!D13&lt;&gt;"",", "&amp;'PAR · Alumnos'!D13,""),"")</f>
        <v/>
      </c>
      <c r="D14" s="217"/>
      <c r="E14" s="217"/>
      <c r="F14" s="217"/>
      <c r="G14" s="228">
        <f>IFERROR('PAR · Reg. Notas'!Q14,"")</f>
        <v/>
      </c>
      <c r="H14" s="229">
        <f>IFERROR('PAR · Reg. Notas'!R14,"")</f>
        <v/>
      </c>
      <c r="I14" s="230">
        <f>IFERROR('PAR · Reg. Notas'!S14,"")</f>
        <v/>
      </c>
      <c r="J14" s="220">
        <f>IFERROR(ROUND(G14*0.363636+H14*0.454545+I14*0.181818,2),"")</f>
        <v/>
      </c>
      <c r="K14" s="222">
        <f>IF(J14="","",IF(J14&gt;=5,"APTO","NO APTO"))</f>
        <v/>
      </c>
    </row>
    <row r="15" ht="20" customHeight="1">
      <c r="B15" s="207" t="n">
        <v>5</v>
      </c>
      <c r="C15" s="208">
        <f>IFERROR('PAR · Alumnos'!C14&amp;IF('PAR · Alumnos'!D14&lt;&gt;"",", "&amp;'PAR · Alumnos'!D14,""),"")</f>
        <v/>
      </c>
      <c r="D15" s="217"/>
      <c r="E15" s="217"/>
      <c r="F15" s="217"/>
      <c r="G15" s="228">
        <f>IFERROR('PAR · Reg. Notas'!Q15,"")</f>
        <v/>
      </c>
      <c r="H15" s="229">
        <f>IFERROR('PAR · Reg. Notas'!R15,"")</f>
        <v/>
      </c>
      <c r="I15" s="230">
        <f>IFERROR('PAR · Reg. Notas'!S15,"")</f>
        <v/>
      </c>
      <c r="J15" s="220">
        <f>IFERROR(ROUND(G15*0.363636+H15*0.454545+I15*0.181818,2),"")</f>
        <v/>
      </c>
      <c r="K15" s="221">
        <f>IF(J15="","",IF(J15&gt;=5,"APTO","NO APTO"))</f>
        <v/>
      </c>
    </row>
    <row r="16" ht="20" customHeight="1">
      <c r="B16" s="207" t="n">
        <v>6</v>
      </c>
      <c r="C16" s="208">
        <f>IFERROR('PAR · Alumnos'!C15&amp;IF('PAR · Alumnos'!D15&lt;&gt;"",", "&amp;'PAR · Alumnos'!D15,""),"")</f>
        <v/>
      </c>
      <c r="D16" s="217"/>
      <c r="E16" s="217"/>
      <c r="F16" s="217"/>
      <c r="G16" s="228">
        <f>IFERROR('PAR · Reg. Notas'!Q16,"")</f>
        <v/>
      </c>
      <c r="H16" s="229">
        <f>IFERROR('PAR · Reg. Notas'!R16,"")</f>
        <v/>
      </c>
      <c r="I16" s="230">
        <f>IFERROR('PAR · Reg. Notas'!S16,"")</f>
        <v/>
      </c>
      <c r="J16" s="220">
        <f>IFERROR(ROUND(G16*0.363636+H16*0.454545+I16*0.181818,2),"")</f>
        <v/>
      </c>
      <c r="K16" s="222">
        <f>IF(J16="","",IF(J16&gt;=5,"APTO","NO APTO"))</f>
        <v/>
      </c>
    </row>
    <row r="17" ht="20" customHeight="1">
      <c r="B17" s="207" t="n">
        <v>7</v>
      </c>
      <c r="C17" s="208">
        <f>IFERROR('PAR · Alumnos'!C16&amp;IF('PAR · Alumnos'!D16&lt;&gt;"",", "&amp;'PAR · Alumnos'!D16,""),"")</f>
        <v/>
      </c>
      <c r="D17" s="217"/>
      <c r="E17" s="217"/>
      <c r="F17" s="217"/>
      <c r="G17" s="228">
        <f>IFERROR('PAR · Reg. Notas'!Q17,"")</f>
        <v/>
      </c>
      <c r="H17" s="229">
        <f>IFERROR('PAR · Reg. Notas'!R17,"")</f>
        <v/>
      </c>
      <c r="I17" s="230">
        <f>IFERROR('PAR · Reg. Notas'!S17,"")</f>
        <v/>
      </c>
      <c r="J17" s="220">
        <f>IFERROR(ROUND(G17*0.363636+H17*0.454545+I17*0.181818,2),"")</f>
        <v/>
      </c>
      <c r="K17" s="221">
        <f>IF(J17="","",IF(J17&gt;=5,"APTO","NO APTO"))</f>
        <v/>
      </c>
    </row>
    <row r="18" ht="20" customHeight="1">
      <c r="B18" s="207" t="n">
        <v>8</v>
      </c>
      <c r="C18" s="208">
        <f>IFERROR('PAR · Alumnos'!C17&amp;IF('PAR · Alumnos'!D17&lt;&gt;"",", "&amp;'PAR · Alumnos'!D17,""),"")</f>
        <v/>
      </c>
      <c r="D18" s="217"/>
      <c r="E18" s="217"/>
      <c r="F18" s="217"/>
      <c r="G18" s="228">
        <f>IFERROR('PAR · Reg. Notas'!Q18,"")</f>
        <v/>
      </c>
      <c r="H18" s="229">
        <f>IFERROR('PAR · Reg. Notas'!R18,"")</f>
        <v/>
      </c>
      <c r="I18" s="230">
        <f>IFERROR('PAR · Reg. Notas'!S18,"")</f>
        <v/>
      </c>
      <c r="J18" s="220">
        <f>IFERROR(ROUND(G18*0.363636+H18*0.454545+I18*0.181818,2),"")</f>
        <v/>
      </c>
      <c r="K18" s="222">
        <f>IF(J18="","",IF(J18&gt;=5,"APTO","NO APTO"))</f>
        <v/>
      </c>
    </row>
    <row r="19" ht="20" customHeight="1">
      <c r="B19" s="207" t="n">
        <v>9</v>
      </c>
      <c r="C19" s="208">
        <f>IFERROR('PAR · Alumnos'!C18&amp;IF('PAR · Alumnos'!D18&lt;&gt;"",", "&amp;'PAR · Alumnos'!D18,""),"")</f>
        <v/>
      </c>
      <c r="D19" s="217"/>
      <c r="E19" s="217"/>
      <c r="F19" s="217"/>
      <c r="G19" s="228">
        <f>IFERROR('PAR · Reg. Notas'!Q19,"")</f>
        <v/>
      </c>
      <c r="H19" s="229">
        <f>IFERROR('PAR · Reg. Notas'!R19,"")</f>
        <v/>
      </c>
      <c r="I19" s="230">
        <f>IFERROR('PAR · Reg. Notas'!S19,"")</f>
        <v/>
      </c>
      <c r="J19" s="220">
        <f>IFERROR(ROUND(G19*0.363636+H19*0.454545+I19*0.181818,2),"")</f>
        <v/>
      </c>
      <c r="K19" s="221">
        <f>IF(J19="","",IF(J19&gt;=5,"APTO","NO APTO"))</f>
        <v/>
      </c>
    </row>
    <row r="20" ht="20" customHeight="1">
      <c r="B20" s="207" t="n">
        <v>10</v>
      </c>
      <c r="C20" s="208">
        <f>IFERROR('PAR · Alumnos'!C19&amp;IF('PAR · Alumnos'!D19&lt;&gt;"",", "&amp;'PAR · Alumnos'!D19,""),"")</f>
        <v/>
      </c>
      <c r="D20" s="217"/>
      <c r="E20" s="217"/>
      <c r="F20" s="217"/>
      <c r="G20" s="228">
        <f>IFERROR('PAR · Reg. Notas'!Q20,"")</f>
        <v/>
      </c>
      <c r="H20" s="229">
        <f>IFERROR('PAR · Reg. Notas'!R20,"")</f>
        <v/>
      </c>
      <c r="I20" s="230">
        <f>IFERROR('PAR · Reg. Notas'!S20,"")</f>
        <v/>
      </c>
      <c r="J20" s="220">
        <f>IFERROR(ROUND(G20*0.363636+H20*0.454545+I20*0.181818,2),"")</f>
        <v/>
      </c>
      <c r="K20" s="222">
        <f>IF(J20="","",IF(J20&gt;=5,"APTO","NO APTO"))</f>
        <v/>
      </c>
    </row>
    <row r="21" ht="20" customHeight="1">
      <c r="B21" s="207" t="n">
        <v>11</v>
      </c>
      <c r="C21" s="208">
        <f>IFERROR('PAR · Alumnos'!C20&amp;IF('PAR · Alumnos'!D20&lt;&gt;"",", "&amp;'PAR · Alumnos'!D20,""),"")</f>
        <v/>
      </c>
      <c r="D21" s="217"/>
      <c r="E21" s="217"/>
      <c r="F21" s="217"/>
      <c r="G21" s="228">
        <f>IFERROR('PAR · Reg. Notas'!Q21,"")</f>
        <v/>
      </c>
      <c r="H21" s="229">
        <f>IFERROR('PAR · Reg. Notas'!R21,"")</f>
        <v/>
      </c>
      <c r="I21" s="230">
        <f>IFERROR('PAR · Reg. Notas'!S21,"")</f>
        <v/>
      </c>
      <c r="J21" s="220">
        <f>IFERROR(ROUND(G21*0.363636+H21*0.454545+I21*0.181818,2),"")</f>
        <v/>
      </c>
      <c r="K21" s="221">
        <f>IF(J21="","",IF(J21&gt;=5,"APTO","NO APTO"))</f>
        <v/>
      </c>
    </row>
    <row r="22" ht="20" customHeight="1">
      <c r="B22" s="207" t="n">
        <v>12</v>
      </c>
      <c r="C22" s="208">
        <f>IFERROR('PAR · Alumnos'!C21&amp;IF('PAR · Alumnos'!D21&lt;&gt;"",", "&amp;'PAR · Alumnos'!D21,""),"")</f>
        <v/>
      </c>
      <c r="D22" s="217"/>
      <c r="E22" s="217"/>
      <c r="F22" s="217"/>
      <c r="G22" s="228">
        <f>IFERROR('PAR · Reg. Notas'!Q22,"")</f>
        <v/>
      </c>
      <c r="H22" s="229">
        <f>IFERROR('PAR · Reg. Notas'!R22,"")</f>
        <v/>
      </c>
      <c r="I22" s="230">
        <f>IFERROR('PAR · Reg. Notas'!S22,"")</f>
        <v/>
      </c>
      <c r="J22" s="220">
        <f>IFERROR(ROUND(G22*0.363636+H22*0.454545+I22*0.181818,2),"")</f>
        <v/>
      </c>
      <c r="K22" s="222">
        <f>IF(J22="","",IF(J22&gt;=5,"APTO","NO APTO"))</f>
        <v/>
      </c>
    </row>
    <row r="23" ht="20" customHeight="1">
      <c r="B23" s="207" t="n">
        <v>13</v>
      </c>
      <c r="C23" s="208">
        <f>IFERROR('PAR · Alumnos'!C22&amp;IF('PAR · Alumnos'!D22&lt;&gt;"",", "&amp;'PAR · Alumnos'!D22,""),"")</f>
        <v/>
      </c>
      <c r="D23" s="217"/>
      <c r="E23" s="217"/>
      <c r="F23" s="217"/>
      <c r="G23" s="228">
        <f>IFERROR('PAR · Reg. Notas'!Q23,"")</f>
        <v/>
      </c>
      <c r="H23" s="229">
        <f>IFERROR('PAR · Reg. Notas'!R23,"")</f>
        <v/>
      </c>
      <c r="I23" s="230">
        <f>IFERROR('PAR · Reg. Notas'!S23,"")</f>
        <v/>
      </c>
      <c r="J23" s="220">
        <f>IFERROR(ROUND(G23*0.363636+H23*0.454545+I23*0.181818,2),"")</f>
        <v/>
      </c>
      <c r="K23" s="221">
        <f>IF(J23="","",IF(J23&gt;=5,"APTO","NO APTO"))</f>
        <v/>
      </c>
    </row>
    <row r="24" ht="20" customHeight="1">
      <c r="B24" s="207" t="n">
        <v>14</v>
      </c>
      <c r="C24" s="208">
        <f>IFERROR('PAR · Alumnos'!C23&amp;IF('PAR · Alumnos'!D23&lt;&gt;"",", "&amp;'PAR · Alumnos'!D23,""),"")</f>
        <v/>
      </c>
      <c r="D24" s="217"/>
      <c r="E24" s="217"/>
      <c r="F24" s="217"/>
      <c r="G24" s="228">
        <f>IFERROR('PAR · Reg. Notas'!Q24,"")</f>
        <v/>
      </c>
      <c r="H24" s="229">
        <f>IFERROR('PAR · Reg. Notas'!R24,"")</f>
        <v/>
      </c>
      <c r="I24" s="230">
        <f>IFERROR('PAR · Reg. Notas'!S24,"")</f>
        <v/>
      </c>
      <c r="J24" s="220">
        <f>IFERROR(ROUND(G24*0.363636+H24*0.454545+I24*0.181818,2),"")</f>
        <v/>
      </c>
      <c r="K24" s="222">
        <f>IF(J24="","",IF(J24&gt;=5,"APTO","NO APTO"))</f>
        <v/>
      </c>
    </row>
    <row r="25" ht="20" customHeight="1">
      <c r="B25" s="207" t="n">
        <v>15</v>
      </c>
      <c r="C25" s="208">
        <f>IFERROR('PAR · Alumnos'!C24&amp;IF('PAR · Alumnos'!D24&lt;&gt;"",", "&amp;'PAR · Alumnos'!D24,""),"")</f>
        <v/>
      </c>
      <c r="D25" s="217"/>
      <c r="E25" s="217"/>
      <c r="F25" s="217"/>
      <c r="G25" s="228">
        <f>IFERROR('PAR · Reg. Notas'!Q25,"")</f>
        <v/>
      </c>
      <c r="H25" s="229">
        <f>IFERROR('PAR · Reg. Notas'!R25,"")</f>
        <v/>
      </c>
      <c r="I25" s="230">
        <f>IFERROR('PAR · Reg. Notas'!S25,"")</f>
        <v/>
      </c>
      <c r="J25" s="220">
        <f>IFERROR(ROUND(G25*0.363636+H25*0.454545+I25*0.181818,2),"")</f>
        <v/>
      </c>
      <c r="K25" s="221">
        <f>IF(J25="","",IF(J25&gt;=5,"APTO","NO APTO"))</f>
        <v/>
      </c>
    </row>
    <row r="26" ht="20" customHeight="1">
      <c r="B26" s="207" t="n">
        <v>16</v>
      </c>
      <c r="C26" s="208">
        <f>IFERROR('PAR · Alumnos'!C25&amp;IF('PAR · Alumnos'!D25&lt;&gt;"",", "&amp;'PAR · Alumnos'!D25,""),"")</f>
        <v/>
      </c>
      <c r="D26" s="217"/>
      <c r="E26" s="217"/>
      <c r="F26" s="217"/>
      <c r="G26" s="228">
        <f>IFERROR('PAR · Reg. Notas'!Q26,"")</f>
        <v/>
      </c>
      <c r="H26" s="229">
        <f>IFERROR('PAR · Reg. Notas'!R26,"")</f>
        <v/>
      </c>
      <c r="I26" s="230">
        <f>IFERROR('PAR · Reg. Notas'!S26,"")</f>
        <v/>
      </c>
      <c r="J26" s="220">
        <f>IFERROR(ROUND(G26*0.363636+H26*0.454545+I26*0.181818,2),"")</f>
        <v/>
      </c>
      <c r="K26" s="222">
        <f>IF(J26="","",IF(J26&gt;=5,"APTO","NO APTO"))</f>
        <v/>
      </c>
    </row>
    <row r="27" ht="20" customHeight="1">
      <c r="B27" s="207" t="n">
        <v>17</v>
      </c>
      <c r="C27" s="208">
        <f>IFERROR('PAR · Alumnos'!C26&amp;IF('PAR · Alumnos'!D26&lt;&gt;"",", "&amp;'PAR · Alumnos'!D26,""),"")</f>
        <v/>
      </c>
      <c r="D27" s="217"/>
      <c r="E27" s="217"/>
      <c r="F27" s="217"/>
      <c r="G27" s="228">
        <f>IFERROR('PAR · Reg. Notas'!Q27,"")</f>
        <v/>
      </c>
      <c r="H27" s="229">
        <f>IFERROR('PAR · Reg. Notas'!R27,"")</f>
        <v/>
      </c>
      <c r="I27" s="230">
        <f>IFERROR('PAR · Reg. Notas'!S27,"")</f>
        <v/>
      </c>
      <c r="J27" s="220">
        <f>IFERROR(ROUND(G27*0.363636+H27*0.454545+I27*0.181818,2),"")</f>
        <v/>
      </c>
      <c r="K27" s="221">
        <f>IF(J27="","",IF(J27&gt;=5,"APTO","NO APTO"))</f>
        <v/>
      </c>
    </row>
    <row r="28" ht="20" customHeight="1">
      <c r="B28" s="207" t="n">
        <v>18</v>
      </c>
      <c r="C28" s="208">
        <f>IFERROR('PAR · Alumnos'!C27&amp;IF('PAR · Alumnos'!D27&lt;&gt;"",", "&amp;'PAR · Alumnos'!D27,""),"")</f>
        <v/>
      </c>
      <c r="D28" s="217"/>
      <c r="E28" s="217"/>
      <c r="F28" s="217"/>
      <c r="G28" s="228">
        <f>IFERROR('PAR · Reg. Notas'!Q28,"")</f>
        <v/>
      </c>
      <c r="H28" s="229">
        <f>IFERROR('PAR · Reg. Notas'!R28,"")</f>
        <v/>
      </c>
      <c r="I28" s="230">
        <f>IFERROR('PAR · Reg. Notas'!S28,"")</f>
        <v/>
      </c>
      <c r="J28" s="220">
        <f>IFERROR(ROUND(G28*0.363636+H28*0.454545+I28*0.181818,2),"")</f>
        <v/>
      </c>
      <c r="K28" s="222">
        <f>IF(J28="","",IF(J28&gt;=5,"APTO","NO APTO"))</f>
        <v/>
      </c>
    </row>
    <row r="29" ht="20" customHeight="1">
      <c r="B29" s="207" t="n">
        <v>19</v>
      </c>
      <c r="C29" s="208">
        <f>IFERROR('PAR · Alumnos'!C28&amp;IF('PAR · Alumnos'!D28&lt;&gt;"",", "&amp;'PAR · Alumnos'!D28,""),"")</f>
        <v/>
      </c>
      <c r="D29" s="217"/>
      <c r="E29" s="217"/>
      <c r="F29" s="217"/>
      <c r="G29" s="228">
        <f>IFERROR('PAR · Reg. Notas'!Q29,"")</f>
        <v/>
      </c>
      <c r="H29" s="229">
        <f>IFERROR('PAR · Reg. Notas'!R29,"")</f>
        <v/>
      </c>
      <c r="I29" s="230">
        <f>IFERROR('PAR · Reg. Notas'!S29,"")</f>
        <v/>
      </c>
      <c r="J29" s="220">
        <f>IFERROR(ROUND(G29*0.363636+H29*0.454545+I29*0.181818,2),"")</f>
        <v/>
      </c>
      <c r="K29" s="221">
        <f>IF(J29="","",IF(J29&gt;=5,"APTO","NO APTO"))</f>
        <v/>
      </c>
    </row>
    <row r="30" ht="20" customHeight="1">
      <c r="B30" s="207" t="n">
        <v>20</v>
      </c>
      <c r="C30" s="208">
        <f>IFERROR('PAR · Alumnos'!C29&amp;IF('PAR · Alumnos'!D29&lt;&gt;"",", "&amp;'PAR · Alumnos'!D29,""),"")</f>
        <v/>
      </c>
      <c r="D30" s="217"/>
      <c r="E30" s="217"/>
      <c r="F30" s="217"/>
      <c r="G30" s="228">
        <f>IFERROR('PAR · Reg. Notas'!Q30,"")</f>
        <v/>
      </c>
      <c r="H30" s="229">
        <f>IFERROR('PAR · Reg. Notas'!R30,"")</f>
        <v/>
      </c>
      <c r="I30" s="230">
        <f>IFERROR('PAR · Reg. Notas'!S30,"")</f>
        <v/>
      </c>
      <c r="J30" s="220">
        <f>IFERROR(ROUND(G30*0.363636+H30*0.454545+I30*0.181818,2),"")</f>
        <v/>
      </c>
      <c r="K30" s="222">
        <f>IF(J30="","",IF(J30&gt;=5,"APTO","NO APTO"))</f>
        <v/>
      </c>
    </row>
    <row r="31" ht="20" customHeight="1">
      <c r="B31" s="207" t="n">
        <v>21</v>
      </c>
      <c r="C31" s="208">
        <f>IFERROR('PAR · Alumnos'!C30&amp;IF('PAR · Alumnos'!D30&lt;&gt;"",", "&amp;'PAR · Alumnos'!D30,""),"")</f>
        <v/>
      </c>
      <c r="D31" s="217"/>
      <c r="E31" s="217"/>
      <c r="F31" s="217"/>
      <c r="G31" s="228">
        <f>IFERROR('PAR · Reg. Notas'!Q31,"")</f>
        <v/>
      </c>
      <c r="H31" s="229">
        <f>IFERROR('PAR · Reg. Notas'!R31,"")</f>
        <v/>
      </c>
      <c r="I31" s="230">
        <f>IFERROR('PAR · Reg. Notas'!S31,"")</f>
        <v/>
      </c>
      <c r="J31" s="220">
        <f>IFERROR(ROUND(G31*0.363636+H31*0.454545+I31*0.181818,2),"")</f>
        <v/>
      </c>
      <c r="K31" s="221">
        <f>IF(J31="","",IF(J31&gt;=5,"APTO","NO APTO"))</f>
        <v/>
      </c>
    </row>
    <row r="32" ht="20" customHeight="1">
      <c r="B32" s="207" t="n">
        <v>22</v>
      </c>
      <c r="C32" s="208">
        <f>IFERROR('PAR · Alumnos'!C31&amp;IF('PAR · Alumnos'!D31&lt;&gt;"",", "&amp;'PAR · Alumnos'!D31,""),"")</f>
        <v/>
      </c>
      <c r="D32" s="217"/>
      <c r="E32" s="217"/>
      <c r="F32" s="217"/>
      <c r="G32" s="228">
        <f>IFERROR('PAR · Reg. Notas'!Q32,"")</f>
        <v/>
      </c>
      <c r="H32" s="229">
        <f>IFERROR('PAR · Reg. Notas'!R32,"")</f>
        <v/>
      </c>
      <c r="I32" s="230">
        <f>IFERROR('PAR · Reg. Notas'!S32,"")</f>
        <v/>
      </c>
      <c r="J32" s="220">
        <f>IFERROR(ROUND(G32*0.363636+H32*0.454545+I32*0.181818,2),"")</f>
        <v/>
      </c>
      <c r="K32" s="222">
        <f>IF(J32="","",IF(J32&gt;=5,"APTO","NO APTO"))</f>
        <v/>
      </c>
    </row>
    <row r="33" ht="20" customHeight="1">
      <c r="B33" s="207" t="n">
        <v>23</v>
      </c>
      <c r="C33" s="208">
        <f>IFERROR('PAR · Alumnos'!C32&amp;IF('PAR · Alumnos'!D32&lt;&gt;"",", "&amp;'PAR · Alumnos'!D32,""),"")</f>
        <v/>
      </c>
      <c r="D33" s="217"/>
      <c r="E33" s="217"/>
      <c r="F33" s="217"/>
      <c r="G33" s="228">
        <f>IFERROR('PAR · Reg. Notas'!Q33,"")</f>
        <v/>
      </c>
      <c r="H33" s="229">
        <f>IFERROR('PAR · Reg. Notas'!R33,"")</f>
        <v/>
      </c>
      <c r="I33" s="230">
        <f>IFERROR('PAR · Reg. Notas'!S33,"")</f>
        <v/>
      </c>
      <c r="J33" s="220">
        <f>IFERROR(ROUND(G33*0.363636+H33*0.454545+I33*0.181818,2),"")</f>
        <v/>
      </c>
      <c r="K33" s="221">
        <f>IF(J33="","",IF(J33&gt;=5,"APTO","NO APTO"))</f>
        <v/>
      </c>
    </row>
    <row r="34" ht="20" customHeight="1">
      <c r="B34" s="207" t="n">
        <v>24</v>
      </c>
      <c r="C34" s="208">
        <f>IFERROR('PAR · Alumnos'!C33&amp;IF('PAR · Alumnos'!D33&lt;&gt;"",", "&amp;'PAR · Alumnos'!D33,""),"")</f>
        <v/>
      </c>
      <c r="D34" s="217"/>
      <c r="E34" s="217"/>
      <c r="F34" s="217"/>
      <c r="G34" s="228">
        <f>IFERROR('PAR · Reg. Notas'!Q34,"")</f>
        <v/>
      </c>
      <c r="H34" s="229">
        <f>IFERROR('PAR · Reg. Notas'!R34,"")</f>
        <v/>
      </c>
      <c r="I34" s="230">
        <f>IFERROR('PAR · Reg. Notas'!S34,"")</f>
        <v/>
      </c>
      <c r="J34" s="220">
        <f>IFERROR(ROUND(G34*0.363636+H34*0.454545+I34*0.181818,2),"")</f>
        <v/>
      </c>
      <c r="K34" s="222">
        <f>IF(J34="","",IF(J34&gt;=5,"APTO","NO APTO"))</f>
        <v/>
      </c>
    </row>
    <row r="35" ht="20" customHeight="1">
      <c r="B35" s="207" t="n">
        <v>25</v>
      </c>
      <c r="C35" s="208">
        <f>IFERROR('PAR · Alumnos'!C34&amp;IF('PAR · Alumnos'!D34&lt;&gt;"",", "&amp;'PAR · Alumnos'!D34,""),"")</f>
        <v/>
      </c>
      <c r="D35" s="217"/>
      <c r="E35" s="217"/>
      <c r="F35" s="217"/>
      <c r="G35" s="228">
        <f>IFERROR('PAR · Reg. Notas'!Q35,"")</f>
        <v/>
      </c>
      <c r="H35" s="229">
        <f>IFERROR('PAR · Reg. Notas'!R35,"")</f>
        <v/>
      </c>
      <c r="I35" s="230">
        <f>IFERROR('PAR · Reg. Notas'!S35,"")</f>
        <v/>
      </c>
      <c r="J35" s="220">
        <f>IFERROR(ROUND(G35*0.363636+H35*0.454545+I35*0.181818,2),"")</f>
        <v/>
      </c>
      <c r="K35" s="221">
        <f>IF(J35="","",IF(J35&gt;=5,"APTO","NO APTO"))</f>
        <v/>
      </c>
    </row>
    <row r="36" ht="20" customHeight="1">
      <c r="B36" s="207" t="n">
        <v>26</v>
      </c>
      <c r="C36" s="208">
        <f>IFERROR('PAR · Alumnos'!C35&amp;IF('PAR · Alumnos'!D35&lt;&gt;"",", "&amp;'PAR · Alumnos'!D35,""),"")</f>
        <v/>
      </c>
      <c r="D36" s="217"/>
      <c r="E36" s="217"/>
      <c r="F36" s="217"/>
      <c r="G36" s="228">
        <f>IFERROR('PAR · Reg. Notas'!Q36,"")</f>
        <v/>
      </c>
      <c r="H36" s="229">
        <f>IFERROR('PAR · Reg. Notas'!R36,"")</f>
        <v/>
      </c>
      <c r="I36" s="230">
        <f>IFERROR('PAR · Reg. Notas'!S36,"")</f>
        <v/>
      </c>
      <c r="J36" s="220">
        <f>IFERROR(ROUND(G36*0.363636+H36*0.454545+I36*0.181818,2),"")</f>
        <v/>
      </c>
      <c r="K36" s="222">
        <f>IF(J36="","",IF(J36&gt;=5,"APTO","NO APTO"))</f>
        <v/>
      </c>
    </row>
    <row r="37" ht="20" customHeight="1">
      <c r="B37" s="207" t="n">
        <v>27</v>
      </c>
      <c r="C37" s="208">
        <f>IFERROR('PAR · Alumnos'!C36&amp;IF('PAR · Alumnos'!D36&lt;&gt;"",", "&amp;'PAR · Alumnos'!D36,""),"")</f>
        <v/>
      </c>
      <c r="D37" s="217"/>
      <c r="E37" s="217"/>
      <c r="F37" s="217"/>
      <c r="G37" s="228">
        <f>IFERROR('PAR · Reg. Notas'!Q37,"")</f>
        <v/>
      </c>
      <c r="H37" s="229">
        <f>IFERROR('PAR · Reg. Notas'!R37,"")</f>
        <v/>
      </c>
      <c r="I37" s="230">
        <f>IFERROR('PAR · Reg. Notas'!S37,"")</f>
        <v/>
      </c>
      <c r="J37" s="220">
        <f>IFERROR(ROUND(G37*0.363636+H37*0.454545+I37*0.181818,2),"")</f>
        <v/>
      </c>
      <c r="K37" s="221">
        <f>IF(J37="","",IF(J37&gt;=5,"APTO","NO APTO"))</f>
        <v/>
      </c>
    </row>
    <row r="38" ht="20" customHeight="1">
      <c r="B38" s="207" t="n">
        <v>28</v>
      </c>
      <c r="C38" s="208">
        <f>IFERROR('PAR · Alumnos'!C37&amp;IF('PAR · Alumnos'!D37&lt;&gt;"",", "&amp;'PAR · Alumnos'!D37,""),"")</f>
        <v/>
      </c>
      <c r="D38" s="217"/>
      <c r="E38" s="217"/>
      <c r="F38" s="217"/>
      <c r="G38" s="228">
        <f>IFERROR('PAR · Reg. Notas'!Q38,"")</f>
        <v/>
      </c>
      <c r="H38" s="229">
        <f>IFERROR('PAR · Reg. Notas'!R38,"")</f>
        <v/>
      </c>
      <c r="I38" s="230">
        <f>IFERROR('PAR · Reg. Notas'!S38,"")</f>
        <v/>
      </c>
      <c r="J38" s="220">
        <f>IFERROR(ROUND(G38*0.363636+H38*0.454545+I38*0.181818,2),"")</f>
        <v/>
      </c>
      <c r="K38" s="222">
        <f>IF(J38="","",IF(J38&gt;=5,"APTO","NO APTO"))</f>
        <v/>
      </c>
    </row>
    <row r="39" ht="20" customHeight="1">
      <c r="B39" s="207" t="n">
        <v>29</v>
      </c>
      <c r="C39" s="208">
        <f>IFERROR('PAR · Alumnos'!C38&amp;IF('PAR · Alumnos'!D38&lt;&gt;"",", "&amp;'PAR · Alumnos'!D38,""),"")</f>
        <v/>
      </c>
      <c r="D39" s="217"/>
      <c r="E39" s="217"/>
      <c r="F39" s="217"/>
      <c r="G39" s="228">
        <f>IFERROR('PAR · Reg. Notas'!Q39,"")</f>
        <v/>
      </c>
      <c r="H39" s="229">
        <f>IFERROR('PAR · Reg. Notas'!R39,"")</f>
        <v/>
      </c>
      <c r="I39" s="230">
        <f>IFERROR('PAR · Reg. Notas'!S39,"")</f>
        <v/>
      </c>
      <c r="J39" s="220">
        <f>IFERROR(ROUND(G39*0.363636+H39*0.454545+I39*0.181818,2),"")</f>
        <v/>
      </c>
      <c r="K39" s="221">
        <f>IF(J39="","",IF(J39&gt;=5,"APTO","NO APTO"))</f>
        <v/>
      </c>
    </row>
    <row r="40" ht="20" customHeight="1">
      <c r="B40" s="207" t="n">
        <v>30</v>
      </c>
      <c r="C40" s="208">
        <f>IFERROR('PAR · Alumnos'!C39&amp;IF('PAR · Alumnos'!D39&lt;&gt;"",", "&amp;'PAR · Alumnos'!D39,""),"")</f>
        <v/>
      </c>
      <c r="D40" s="217"/>
      <c r="E40" s="217"/>
      <c r="F40" s="217"/>
      <c r="G40" s="228">
        <f>IFERROR('PAR · Reg. Notas'!Q40,"")</f>
        <v/>
      </c>
      <c r="H40" s="229">
        <f>IFERROR('PAR · Reg. Notas'!R40,"")</f>
        <v/>
      </c>
      <c r="I40" s="230">
        <f>IFERROR('PAR · Reg. Notas'!S40,"")</f>
        <v/>
      </c>
      <c r="J40" s="220">
        <f>IFERROR(ROUND(G40*0.363636+H40*0.454545+I40*0.181818,2),"")</f>
        <v/>
      </c>
      <c r="K40" s="222">
        <f>IF(J40="","",IF(J40&gt;=5,"APTO","NO APTO"))</f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📝 Evaluación 3  ·  UT6, UT7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RAs evaluados: RA6 100.0%  (pesos normalizados al 100% de esta evaluación)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6">
        <f>HYPERLINK("#PAR · Actividades!A1","📝 Actividades")</f>
        <v/>
      </c>
      <c r="F5" s="6">
        <f>HYPERLINK("#PAR · Reg. Notas!A1","📊 Reg. Notas")</f>
        <v/>
      </c>
      <c r="G5" s="6">
        <f>HYPERLINK("#PAR · Resumen!A1","📈 Resumen")</f>
        <v/>
      </c>
      <c r="H5" s="6">
        <f>HYPERLINK("#PAR · Evaluación 1!A1","Eval 1")</f>
        <v/>
      </c>
      <c r="I5" s="6">
        <f>HYPERLINK("#PAR · Evaluación 2!A1","Eval 2")</f>
        <v/>
      </c>
      <c r="J5" s="5" t="inlineStr">
        <is>
          <t>Eval 3</t>
        </is>
      </c>
      <c r="K5" s="6">
        <f>HYPERLINK("#PAR · 1ªORD!A1","1ª ORD")</f>
        <v/>
      </c>
      <c r="L5" s="6">
        <f>HYPERLINK("#PAR · 2ªORD!A1","2ª ORD")</f>
        <v/>
      </c>
      <c r="M5" s="6">
        <f>HYPERLINK("#PAR · Rúbricas!A1","🎯 Rúbricas")</f>
        <v/>
      </c>
      <c r="N5" s="6">
        <f>HYPERLINK("#PAR · Informe Grupo!A1","📊 Inf.Grupo")</f>
        <v/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F8" s="231" t="inlineStr">
        <is>
          <t>RA6: 10% global → 100.0% en Eval 3</t>
        </is>
      </c>
    </row>
    <row r="10" ht="36" customHeight="1">
      <c r="B10" s="188" t="inlineStr">
        <is>
          <t>Nº</t>
        </is>
      </c>
      <c r="C10" s="188" t="inlineStr">
        <is>
          <t>Apellidos y Nombre</t>
        </is>
      </c>
      <c r="D10" s="103" t="inlineStr">
        <is>
          <t>UT6
(22h)</t>
        </is>
      </c>
      <c r="E10" s="103" t="inlineStr">
        <is>
          <t>UT7
(21h)</t>
        </is>
      </c>
      <c r="F10" s="234" t="inlineStr">
        <is>
          <t>🏢 RA6
(100.0%)
EMPRESA</t>
        </is>
      </c>
      <c r="G10" s="188" t="inlineStr">
        <is>
          <t>NOTA EVAL</t>
        </is>
      </c>
      <c r="H10" s="188" t="inlineStr">
        <is>
          <t>Resultado</t>
        </is>
      </c>
    </row>
    <row r="11" ht="20" customHeight="1">
      <c r="B11" s="207" t="n">
        <v>1</v>
      </c>
      <c r="C11" s="208">
        <f>IFERROR('PAR · Alumnos'!C10&amp;IF('PAR · Alumnos'!D10&lt;&gt;"",", "&amp;'PAR · Alumnos'!D10,""),"")</f>
        <v/>
      </c>
      <c r="D11" s="217"/>
      <c r="E11" s="217"/>
      <c r="F11" s="236">
        <f>IFERROR('PAR · Reg. Notas'!T11,"")</f>
        <v/>
      </c>
      <c r="G11" s="220">
        <f>IFERROR(ROUND(F11*1.000000,2),"")</f>
        <v/>
      </c>
      <c r="H11" s="221">
        <f>IF(G11="","",IF(G11&gt;=5,"APTO","NO APTO"))</f>
        <v/>
      </c>
    </row>
    <row r="12" ht="20" customHeight="1">
      <c r="B12" s="207" t="n">
        <v>2</v>
      </c>
      <c r="C12" s="208">
        <f>IFERROR('PAR · Alumnos'!C11&amp;IF('PAR · Alumnos'!D11&lt;&gt;"",", "&amp;'PAR · Alumnos'!D11,""),"")</f>
        <v/>
      </c>
      <c r="D12" s="217"/>
      <c r="E12" s="217"/>
      <c r="F12" s="236">
        <f>IFERROR('PAR · Reg. Notas'!T12,"")</f>
        <v/>
      </c>
      <c r="G12" s="220">
        <f>IFERROR(ROUND(F12*1.000000,2),"")</f>
        <v/>
      </c>
      <c r="H12" s="222">
        <f>IF(G12="","",IF(G12&gt;=5,"APTO","NO APTO"))</f>
        <v/>
      </c>
    </row>
    <row r="13" ht="20" customHeight="1">
      <c r="B13" s="207" t="n">
        <v>3</v>
      </c>
      <c r="C13" s="208">
        <f>IFERROR('PAR · Alumnos'!C12&amp;IF('PAR · Alumnos'!D12&lt;&gt;"",", "&amp;'PAR · Alumnos'!D12,""),"")</f>
        <v/>
      </c>
      <c r="D13" s="217"/>
      <c r="E13" s="217"/>
      <c r="F13" s="236">
        <f>IFERROR('PAR · Reg. Notas'!T13,"")</f>
        <v/>
      </c>
      <c r="G13" s="220">
        <f>IFERROR(ROUND(F13*1.000000,2),"")</f>
        <v/>
      </c>
      <c r="H13" s="221">
        <f>IF(G13="","",IF(G13&gt;=5,"APTO","NO APTO"))</f>
        <v/>
      </c>
    </row>
    <row r="14" ht="20" customHeight="1">
      <c r="B14" s="207" t="n">
        <v>4</v>
      </c>
      <c r="C14" s="208">
        <f>IFERROR('PAR · Alumnos'!C13&amp;IF('PAR · Alumnos'!D13&lt;&gt;"",", "&amp;'PAR · Alumnos'!D13,""),"")</f>
        <v/>
      </c>
      <c r="D14" s="217"/>
      <c r="E14" s="217"/>
      <c r="F14" s="236">
        <f>IFERROR('PAR · Reg. Notas'!T14,"")</f>
        <v/>
      </c>
      <c r="G14" s="220">
        <f>IFERROR(ROUND(F14*1.000000,2),"")</f>
        <v/>
      </c>
      <c r="H14" s="222">
        <f>IF(G14="","",IF(G14&gt;=5,"APTO","NO APTO"))</f>
        <v/>
      </c>
    </row>
    <row r="15" ht="20" customHeight="1">
      <c r="B15" s="207" t="n">
        <v>5</v>
      </c>
      <c r="C15" s="208">
        <f>IFERROR('PAR · Alumnos'!C14&amp;IF('PAR · Alumnos'!D14&lt;&gt;"",", "&amp;'PAR · Alumnos'!D14,""),"")</f>
        <v/>
      </c>
      <c r="D15" s="217"/>
      <c r="E15" s="217"/>
      <c r="F15" s="236">
        <f>IFERROR('PAR · Reg. Notas'!T15,"")</f>
        <v/>
      </c>
      <c r="G15" s="220">
        <f>IFERROR(ROUND(F15*1.000000,2),"")</f>
        <v/>
      </c>
      <c r="H15" s="221">
        <f>IF(G15="","",IF(G15&gt;=5,"APTO","NO APTO"))</f>
        <v/>
      </c>
    </row>
    <row r="16" ht="20" customHeight="1">
      <c r="B16" s="207" t="n">
        <v>6</v>
      </c>
      <c r="C16" s="208">
        <f>IFERROR('PAR · Alumnos'!C15&amp;IF('PAR · Alumnos'!D15&lt;&gt;"",", "&amp;'PAR · Alumnos'!D15,""),"")</f>
        <v/>
      </c>
      <c r="D16" s="217"/>
      <c r="E16" s="217"/>
      <c r="F16" s="236">
        <f>IFERROR('PAR · Reg. Notas'!T16,"")</f>
        <v/>
      </c>
      <c r="G16" s="220">
        <f>IFERROR(ROUND(F16*1.000000,2),"")</f>
        <v/>
      </c>
      <c r="H16" s="222">
        <f>IF(G16="","",IF(G16&gt;=5,"APTO","NO APTO"))</f>
        <v/>
      </c>
    </row>
    <row r="17" ht="20" customHeight="1">
      <c r="B17" s="207" t="n">
        <v>7</v>
      </c>
      <c r="C17" s="208">
        <f>IFERROR('PAR · Alumnos'!C16&amp;IF('PAR · Alumnos'!D16&lt;&gt;"",", "&amp;'PAR · Alumnos'!D16,""),"")</f>
        <v/>
      </c>
      <c r="D17" s="217"/>
      <c r="E17" s="217"/>
      <c r="F17" s="236">
        <f>IFERROR('PAR · Reg. Notas'!T17,"")</f>
        <v/>
      </c>
      <c r="G17" s="220">
        <f>IFERROR(ROUND(F17*1.000000,2),"")</f>
        <v/>
      </c>
      <c r="H17" s="221">
        <f>IF(G17="","",IF(G17&gt;=5,"APTO","NO APTO"))</f>
        <v/>
      </c>
    </row>
    <row r="18" ht="20" customHeight="1">
      <c r="B18" s="207" t="n">
        <v>8</v>
      </c>
      <c r="C18" s="208">
        <f>IFERROR('PAR · Alumnos'!C17&amp;IF('PAR · Alumnos'!D17&lt;&gt;"",", "&amp;'PAR · Alumnos'!D17,""),"")</f>
        <v/>
      </c>
      <c r="D18" s="217"/>
      <c r="E18" s="217"/>
      <c r="F18" s="236">
        <f>IFERROR('PAR · Reg. Notas'!T18,"")</f>
        <v/>
      </c>
      <c r="G18" s="220">
        <f>IFERROR(ROUND(F18*1.000000,2),"")</f>
        <v/>
      </c>
      <c r="H18" s="222">
        <f>IF(G18="","",IF(G18&gt;=5,"APTO","NO APTO"))</f>
        <v/>
      </c>
    </row>
    <row r="19" ht="20" customHeight="1">
      <c r="B19" s="207" t="n">
        <v>9</v>
      </c>
      <c r="C19" s="208">
        <f>IFERROR('PAR · Alumnos'!C18&amp;IF('PAR · Alumnos'!D18&lt;&gt;"",", "&amp;'PAR · Alumnos'!D18,""),"")</f>
        <v/>
      </c>
      <c r="D19" s="217"/>
      <c r="E19" s="217"/>
      <c r="F19" s="236">
        <f>IFERROR('PAR · Reg. Notas'!T19,"")</f>
        <v/>
      </c>
      <c r="G19" s="220">
        <f>IFERROR(ROUND(F19*1.000000,2),"")</f>
        <v/>
      </c>
      <c r="H19" s="221">
        <f>IF(G19="","",IF(G19&gt;=5,"APTO","NO APTO"))</f>
        <v/>
      </c>
    </row>
    <row r="20" ht="20" customHeight="1">
      <c r="B20" s="207" t="n">
        <v>10</v>
      </c>
      <c r="C20" s="208">
        <f>IFERROR('PAR · Alumnos'!C19&amp;IF('PAR · Alumnos'!D19&lt;&gt;"",", "&amp;'PAR · Alumnos'!D19,""),"")</f>
        <v/>
      </c>
      <c r="D20" s="217"/>
      <c r="E20" s="217"/>
      <c r="F20" s="236">
        <f>IFERROR('PAR · Reg. Notas'!T20,"")</f>
        <v/>
      </c>
      <c r="G20" s="220">
        <f>IFERROR(ROUND(F20*1.000000,2),"")</f>
        <v/>
      </c>
      <c r="H20" s="222">
        <f>IF(G20="","",IF(G20&gt;=5,"APTO","NO APTO"))</f>
        <v/>
      </c>
    </row>
    <row r="21" ht="20" customHeight="1">
      <c r="B21" s="207" t="n">
        <v>11</v>
      </c>
      <c r="C21" s="208">
        <f>IFERROR('PAR · Alumnos'!C20&amp;IF('PAR · Alumnos'!D20&lt;&gt;"",", "&amp;'PAR · Alumnos'!D20,""),"")</f>
        <v/>
      </c>
      <c r="D21" s="217"/>
      <c r="E21" s="217"/>
      <c r="F21" s="236">
        <f>IFERROR('PAR · Reg. Notas'!T21,"")</f>
        <v/>
      </c>
      <c r="G21" s="220">
        <f>IFERROR(ROUND(F21*1.000000,2),"")</f>
        <v/>
      </c>
      <c r="H21" s="221">
        <f>IF(G21="","",IF(G21&gt;=5,"APTO","NO APTO"))</f>
        <v/>
      </c>
    </row>
    <row r="22" ht="20" customHeight="1">
      <c r="B22" s="207" t="n">
        <v>12</v>
      </c>
      <c r="C22" s="208">
        <f>IFERROR('PAR · Alumnos'!C21&amp;IF('PAR · Alumnos'!D21&lt;&gt;"",", "&amp;'PAR · Alumnos'!D21,""),"")</f>
        <v/>
      </c>
      <c r="D22" s="217"/>
      <c r="E22" s="217"/>
      <c r="F22" s="236">
        <f>IFERROR('PAR · Reg. Notas'!T22,"")</f>
        <v/>
      </c>
      <c r="G22" s="220">
        <f>IFERROR(ROUND(F22*1.000000,2),"")</f>
        <v/>
      </c>
      <c r="H22" s="222">
        <f>IF(G22="","",IF(G22&gt;=5,"APTO","NO APTO"))</f>
        <v/>
      </c>
    </row>
    <row r="23" ht="20" customHeight="1">
      <c r="B23" s="207" t="n">
        <v>13</v>
      </c>
      <c r="C23" s="208">
        <f>IFERROR('PAR · Alumnos'!C22&amp;IF('PAR · Alumnos'!D22&lt;&gt;"",", "&amp;'PAR · Alumnos'!D22,""),"")</f>
        <v/>
      </c>
      <c r="D23" s="217"/>
      <c r="E23" s="217"/>
      <c r="F23" s="236">
        <f>IFERROR('PAR · Reg. Notas'!T23,"")</f>
        <v/>
      </c>
      <c r="G23" s="220">
        <f>IFERROR(ROUND(F23*1.000000,2),"")</f>
        <v/>
      </c>
      <c r="H23" s="221">
        <f>IF(G23="","",IF(G23&gt;=5,"APTO","NO APTO"))</f>
        <v/>
      </c>
    </row>
    <row r="24" ht="20" customHeight="1">
      <c r="B24" s="207" t="n">
        <v>14</v>
      </c>
      <c r="C24" s="208">
        <f>IFERROR('PAR · Alumnos'!C23&amp;IF('PAR · Alumnos'!D23&lt;&gt;"",", "&amp;'PAR · Alumnos'!D23,""),"")</f>
        <v/>
      </c>
      <c r="D24" s="217"/>
      <c r="E24" s="217"/>
      <c r="F24" s="236">
        <f>IFERROR('PAR · Reg. Notas'!T24,"")</f>
        <v/>
      </c>
      <c r="G24" s="220">
        <f>IFERROR(ROUND(F24*1.000000,2),"")</f>
        <v/>
      </c>
      <c r="H24" s="222">
        <f>IF(G24="","",IF(G24&gt;=5,"APTO","NO APTO"))</f>
        <v/>
      </c>
    </row>
    <row r="25" ht="20" customHeight="1">
      <c r="B25" s="207" t="n">
        <v>15</v>
      </c>
      <c r="C25" s="208">
        <f>IFERROR('PAR · Alumnos'!C24&amp;IF('PAR · Alumnos'!D24&lt;&gt;"",", "&amp;'PAR · Alumnos'!D24,""),"")</f>
        <v/>
      </c>
      <c r="D25" s="217"/>
      <c r="E25" s="217"/>
      <c r="F25" s="236">
        <f>IFERROR('PAR · Reg. Notas'!T25,"")</f>
        <v/>
      </c>
      <c r="G25" s="220">
        <f>IFERROR(ROUND(F25*1.000000,2),"")</f>
        <v/>
      </c>
      <c r="H25" s="221">
        <f>IF(G25="","",IF(G25&gt;=5,"APTO","NO APTO"))</f>
        <v/>
      </c>
    </row>
    <row r="26" ht="20" customHeight="1">
      <c r="B26" s="207" t="n">
        <v>16</v>
      </c>
      <c r="C26" s="208">
        <f>IFERROR('PAR · Alumnos'!C25&amp;IF('PAR · Alumnos'!D25&lt;&gt;"",", "&amp;'PAR · Alumnos'!D25,""),"")</f>
        <v/>
      </c>
      <c r="D26" s="217"/>
      <c r="E26" s="217"/>
      <c r="F26" s="236">
        <f>IFERROR('PAR · Reg. Notas'!T26,"")</f>
        <v/>
      </c>
      <c r="G26" s="220">
        <f>IFERROR(ROUND(F26*1.000000,2),"")</f>
        <v/>
      </c>
      <c r="H26" s="222">
        <f>IF(G26="","",IF(G26&gt;=5,"APTO","NO APTO"))</f>
        <v/>
      </c>
    </row>
    <row r="27" ht="20" customHeight="1">
      <c r="B27" s="207" t="n">
        <v>17</v>
      </c>
      <c r="C27" s="208">
        <f>IFERROR('PAR · Alumnos'!C26&amp;IF('PAR · Alumnos'!D26&lt;&gt;"",", "&amp;'PAR · Alumnos'!D26,""),"")</f>
        <v/>
      </c>
      <c r="D27" s="217"/>
      <c r="E27" s="217"/>
      <c r="F27" s="236">
        <f>IFERROR('PAR · Reg. Notas'!T27,"")</f>
        <v/>
      </c>
      <c r="G27" s="220">
        <f>IFERROR(ROUND(F27*1.000000,2),"")</f>
        <v/>
      </c>
      <c r="H27" s="221">
        <f>IF(G27="","",IF(G27&gt;=5,"APTO","NO APTO"))</f>
        <v/>
      </c>
    </row>
    <row r="28" ht="20" customHeight="1">
      <c r="B28" s="207" t="n">
        <v>18</v>
      </c>
      <c r="C28" s="208">
        <f>IFERROR('PAR · Alumnos'!C27&amp;IF('PAR · Alumnos'!D27&lt;&gt;"",", "&amp;'PAR · Alumnos'!D27,""),"")</f>
        <v/>
      </c>
      <c r="D28" s="217"/>
      <c r="E28" s="217"/>
      <c r="F28" s="236">
        <f>IFERROR('PAR · Reg. Notas'!T28,"")</f>
        <v/>
      </c>
      <c r="G28" s="220">
        <f>IFERROR(ROUND(F28*1.000000,2),"")</f>
        <v/>
      </c>
      <c r="H28" s="222">
        <f>IF(G28="","",IF(G28&gt;=5,"APTO","NO APTO"))</f>
        <v/>
      </c>
    </row>
    <row r="29" ht="20" customHeight="1">
      <c r="B29" s="207" t="n">
        <v>19</v>
      </c>
      <c r="C29" s="208">
        <f>IFERROR('PAR · Alumnos'!C28&amp;IF('PAR · Alumnos'!D28&lt;&gt;"",", "&amp;'PAR · Alumnos'!D28,""),"")</f>
        <v/>
      </c>
      <c r="D29" s="217"/>
      <c r="E29" s="217"/>
      <c r="F29" s="236">
        <f>IFERROR('PAR · Reg. Notas'!T29,"")</f>
        <v/>
      </c>
      <c r="G29" s="220">
        <f>IFERROR(ROUND(F29*1.000000,2),"")</f>
        <v/>
      </c>
      <c r="H29" s="221">
        <f>IF(G29="","",IF(G29&gt;=5,"APTO","NO APTO"))</f>
        <v/>
      </c>
    </row>
    <row r="30" ht="20" customHeight="1">
      <c r="B30" s="207" t="n">
        <v>20</v>
      </c>
      <c r="C30" s="208">
        <f>IFERROR('PAR · Alumnos'!C29&amp;IF('PAR · Alumnos'!D29&lt;&gt;"",", "&amp;'PAR · Alumnos'!D29,""),"")</f>
        <v/>
      </c>
      <c r="D30" s="217"/>
      <c r="E30" s="217"/>
      <c r="F30" s="236">
        <f>IFERROR('PAR · Reg. Notas'!T30,"")</f>
        <v/>
      </c>
      <c r="G30" s="220">
        <f>IFERROR(ROUND(F30*1.000000,2),"")</f>
        <v/>
      </c>
      <c r="H30" s="222">
        <f>IF(G30="","",IF(G30&gt;=5,"APTO","NO APTO"))</f>
        <v/>
      </c>
    </row>
    <row r="31" ht="20" customHeight="1">
      <c r="B31" s="207" t="n">
        <v>21</v>
      </c>
      <c r="C31" s="208">
        <f>IFERROR('PAR · Alumnos'!C30&amp;IF('PAR · Alumnos'!D30&lt;&gt;"",", "&amp;'PAR · Alumnos'!D30,""),"")</f>
        <v/>
      </c>
      <c r="D31" s="217"/>
      <c r="E31" s="217"/>
      <c r="F31" s="236">
        <f>IFERROR('PAR · Reg. Notas'!T31,"")</f>
        <v/>
      </c>
      <c r="G31" s="220">
        <f>IFERROR(ROUND(F31*1.000000,2),"")</f>
        <v/>
      </c>
      <c r="H31" s="221">
        <f>IF(G31="","",IF(G31&gt;=5,"APTO","NO APTO"))</f>
        <v/>
      </c>
    </row>
    <row r="32" ht="20" customHeight="1">
      <c r="B32" s="207" t="n">
        <v>22</v>
      </c>
      <c r="C32" s="208">
        <f>IFERROR('PAR · Alumnos'!C31&amp;IF('PAR · Alumnos'!D31&lt;&gt;"",", "&amp;'PAR · Alumnos'!D31,""),"")</f>
        <v/>
      </c>
      <c r="D32" s="217"/>
      <c r="E32" s="217"/>
      <c r="F32" s="236">
        <f>IFERROR('PAR · Reg. Notas'!T32,"")</f>
        <v/>
      </c>
      <c r="G32" s="220">
        <f>IFERROR(ROUND(F32*1.000000,2),"")</f>
        <v/>
      </c>
      <c r="H32" s="222">
        <f>IF(G32="","",IF(G32&gt;=5,"APTO","NO APTO"))</f>
        <v/>
      </c>
    </row>
    <row r="33" ht="20" customHeight="1">
      <c r="B33" s="207" t="n">
        <v>23</v>
      </c>
      <c r="C33" s="208">
        <f>IFERROR('PAR · Alumnos'!C32&amp;IF('PAR · Alumnos'!D32&lt;&gt;"",", "&amp;'PAR · Alumnos'!D32,""),"")</f>
        <v/>
      </c>
      <c r="D33" s="217"/>
      <c r="E33" s="217"/>
      <c r="F33" s="236">
        <f>IFERROR('PAR · Reg. Notas'!T33,"")</f>
        <v/>
      </c>
      <c r="G33" s="220">
        <f>IFERROR(ROUND(F33*1.000000,2),"")</f>
        <v/>
      </c>
      <c r="H33" s="221">
        <f>IF(G33="","",IF(G33&gt;=5,"APTO","NO APTO"))</f>
        <v/>
      </c>
    </row>
    <row r="34" ht="20" customHeight="1">
      <c r="B34" s="207" t="n">
        <v>24</v>
      </c>
      <c r="C34" s="208">
        <f>IFERROR('PAR · Alumnos'!C33&amp;IF('PAR · Alumnos'!D33&lt;&gt;"",", "&amp;'PAR · Alumnos'!D33,""),"")</f>
        <v/>
      </c>
      <c r="D34" s="217"/>
      <c r="E34" s="217"/>
      <c r="F34" s="236">
        <f>IFERROR('PAR · Reg. Notas'!T34,"")</f>
        <v/>
      </c>
      <c r="G34" s="220">
        <f>IFERROR(ROUND(F34*1.000000,2),"")</f>
        <v/>
      </c>
      <c r="H34" s="222">
        <f>IF(G34="","",IF(G34&gt;=5,"APTO","NO APTO"))</f>
        <v/>
      </c>
    </row>
    <row r="35" ht="20" customHeight="1">
      <c r="B35" s="207" t="n">
        <v>25</v>
      </c>
      <c r="C35" s="208">
        <f>IFERROR('PAR · Alumnos'!C34&amp;IF('PAR · Alumnos'!D34&lt;&gt;"",", "&amp;'PAR · Alumnos'!D34,""),"")</f>
        <v/>
      </c>
      <c r="D35" s="217"/>
      <c r="E35" s="217"/>
      <c r="F35" s="236">
        <f>IFERROR('PAR · Reg. Notas'!T35,"")</f>
        <v/>
      </c>
      <c r="G35" s="220">
        <f>IFERROR(ROUND(F35*1.000000,2),"")</f>
        <v/>
      </c>
      <c r="H35" s="221">
        <f>IF(G35="","",IF(G35&gt;=5,"APTO","NO APTO"))</f>
        <v/>
      </c>
    </row>
    <row r="36" ht="20" customHeight="1">
      <c r="B36" s="207" t="n">
        <v>26</v>
      </c>
      <c r="C36" s="208">
        <f>IFERROR('PAR · Alumnos'!C35&amp;IF('PAR · Alumnos'!D35&lt;&gt;"",", "&amp;'PAR · Alumnos'!D35,""),"")</f>
        <v/>
      </c>
      <c r="D36" s="217"/>
      <c r="E36" s="217"/>
      <c r="F36" s="236">
        <f>IFERROR('PAR · Reg. Notas'!T36,"")</f>
        <v/>
      </c>
      <c r="G36" s="220">
        <f>IFERROR(ROUND(F36*1.000000,2),"")</f>
        <v/>
      </c>
      <c r="H36" s="222">
        <f>IF(G36="","",IF(G36&gt;=5,"APTO","NO APTO"))</f>
        <v/>
      </c>
    </row>
    <row r="37" ht="20" customHeight="1">
      <c r="B37" s="207" t="n">
        <v>27</v>
      </c>
      <c r="C37" s="208">
        <f>IFERROR('PAR · Alumnos'!C36&amp;IF('PAR · Alumnos'!D36&lt;&gt;"",", "&amp;'PAR · Alumnos'!D36,""),"")</f>
        <v/>
      </c>
      <c r="D37" s="217"/>
      <c r="E37" s="217"/>
      <c r="F37" s="236">
        <f>IFERROR('PAR · Reg. Notas'!T37,"")</f>
        <v/>
      </c>
      <c r="G37" s="220">
        <f>IFERROR(ROUND(F37*1.000000,2),"")</f>
        <v/>
      </c>
      <c r="H37" s="221">
        <f>IF(G37="","",IF(G37&gt;=5,"APTO","NO APTO"))</f>
        <v/>
      </c>
    </row>
    <row r="38" ht="20" customHeight="1">
      <c r="B38" s="207" t="n">
        <v>28</v>
      </c>
      <c r="C38" s="208">
        <f>IFERROR('PAR · Alumnos'!C37&amp;IF('PAR · Alumnos'!D37&lt;&gt;"",", "&amp;'PAR · Alumnos'!D37,""),"")</f>
        <v/>
      </c>
      <c r="D38" s="217"/>
      <c r="E38" s="217"/>
      <c r="F38" s="236">
        <f>IFERROR('PAR · Reg. Notas'!T38,"")</f>
        <v/>
      </c>
      <c r="G38" s="220">
        <f>IFERROR(ROUND(F38*1.000000,2),"")</f>
        <v/>
      </c>
      <c r="H38" s="222">
        <f>IF(G38="","",IF(G38&gt;=5,"APTO","NO APTO"))</f>
        <v/>
      </c>
    </row>
    <row r="39" ht="20" customHeight="1">
      <c r="B39" s="207" t="n">
        <v>29</v>
      </c>
      <c r="C39" s="208">
        <f>IFERROR('PAR · Alumnos'!C38&amp;IF('PAR · Alumnos'!D38&lt;&gt;"",", "&amp;'PAR · Alumnos'!D38,""),"")</f>
        <v/>
      </c>
      <c r="D39" s="217"/>
      <c r="E39" s="217"/>
      <c r="F39" s="236">
        <f>IFERROR('PAR · Reg. Notas'!T39,"")</f>
        <v/>
      </c>
      <c r="G39" s="220">
        <f>IFERROR(ROUND(F39*1.000000,2),"")</f>
        <v/>
      </c>
      <c r="H39" s="221">
        <f>IF(G39="","",IF(G39&gt;=5,"APTO","NO APTO"))</f>
        <v/>
      </c>
    </row>
    <row r="40" ht="20" customHeight="1">
      <c r="B40" s="207" t="n">
        <v>30</v>
      </c>
      <c r="C40" s="208">
        <f>IFERROR('PAR · Alumnos'!C39&amp;IF('PAR · Alumnos'!D39&lt;&gt;"",", "&amp;'PAR · Alumnos'!D39,""),"")</f>
        <v/>
      </c>
      <c r="D40" s="217"/>
      <c r="E40" s="217"/>
      <c r="F40" s="236">
        <f>IFERROR('PAR · Reg. Notas'!T40,"")</f>
        <v/>
      </c>
      <c r="G40" s="220">
        <f>IFERROR(ROUND(F40*1.000000,2),"")</f>
        <v/>
      </c>
      <c r="H40" s="222">
        <f>IF(G40="","",IF(G40&gt;=5,"APTO","NO APTO"))</f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12" customWidth="1" min="11" max="11"/>
    <col width="20" customWidth="1" min="12" max="12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🎓 Calificación Final — 1ª Convocatoria Ordinaria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Nota final ponderada por Resultados de Aprendizaje · PAR 1º ASIR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6">
        <f>HYPERLINK("#PAR · Actividades!A1","📝 Actividades")</f>
        <v/>
      </c>
      <c r="F5" s="6">
        <f>HYPERLINK("#PAR · Reg. Notas!A1","📊 Reg. Notas")</f>
        <v/>
      </c>
      <c r="G5" s="6">
        <f>HYPERLINK("#PAR · Resumen!A1","📈 Resumen")</f>
        <v/>
      </c>
      <c r="H5" s="6">
        <f>HYPERLINK("#PAR · Evaluación 1!A1","Eval 1")</f>
        <v/>
      </c>
      <c r="I5" s="6">
        <f>HYPERLINK("#PAR · Evaluación 2!A1","Eval 2")</f>
        <v/>
      </c>
      <c r="J5" s="6">
        <f>HYPERLINK("#PAR · Evaluación 3!A1","Eval 3")</f>
        <v/>
      </c>
      <c r="K5" s="5" t="inlineStr">
        <is>
          <t>1ª ORD</t>
        </is>
      </c>
      <c r="L5" s="6">
        <f>HYPERLINK("#PAR · 2ªORD!A1","2ª ORD")</f>
        <v/>
      </c>
      <c r="M5" s="6">
        <f>HYPERLINK("#PAR · Rúbricas!A1","🎯 Rúbricas")</f>
        <v/>
      </c>
      <c r="N5" s="6">
        <f>HYPERLINK("#PAR · Informe Grupo!A1","📊 Inf.Grupo")</f>
        <v/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B8" s="237" t="inlineStr">
        <is>
          <t>Evaluación:</t>
        </is>
      </c>
      <c r="D8" s="238" t="inlineStr">
        <is>
          <t>EV1</t>
        </is>
      </c>
      <c r="E8" s="238" t="inlineStr">
        <is>
          <t>EV1</t>
        </is>
      </c>
      <c r="F8" s="205" t="inlineStr">
        <is>
          <t>EV2</t>
        </is>
      </c>
      <c r="G8" s="205" t="inlineStr">
        <is>
          <t>EV2</t>
        </is>
      </c>
      <c r="H8" s="205" t="inlineStr">
        <is>
          <t>EV2</t>
        </is>
      </c>
      <c r="I8" s="239" t="inlineStr">
        <is>
          <t>EV3</t>
        </is>
      </c>
    </row>
    <row r="9" ht="14" customHeight="1">
      <c r="B9" s="240" t="inlineStr">
        <is>
          <t>Ponderación:</t>
        </is>
      </c>
      <c r="D9" s="241" t="inlineStr">
        <is>
          <t>15%</t>
        </is>
      </c>
      <c r="E9" s="242" t="inlineStr">
        <is>
          <t>20%</t>
        </is>
      </c>
      <c r="F9" s="243" t="inlineStr">
        <is>
          <t>20%</t>
        </is>
      </c>
      <c r="G9" s="244" t="inlineStr">
        <is>
          <t>25%</t>
        </is>
      </c>
      <c r="H9" s="245" t="inlineStr">
        <is>
          <t>10%</t>
        </is>
      </c>
      <c r="I9" s="246" t="inlineStr">
        <is>
          <t>10%</t>
        </is>
      </c>
      <c r="J9" s="231" t="inlineStr">
        <is>
          <t>≥5 → APTO</t>
        </is>
      </c>
    </row>
    <row r="10" ht="36" customHeight="1">
      <c r="B10" s="188" t="inlineStr">
        <is>
          <t>Nº</t>
        </is>
      </c>
      <c r="C10" s="188" t="inlineStr">
        <is>
          <t>Apellidos y Nombre</t>
        </is>
      </c>
      <c r="D10" s="216" t="inlineStr">
        <is>
          <t>RA1
(15%)</t>
        </is>
      </c>
      <c r="E10" s="103" t="inlineStr">
        <is>
          <t>RA2
(20%)</t>
        </is>
      </c>
      <c r="F10" s="226" t="inlineStr">
        <is>
          <t>RA3
(20%)</t>
        </is>
      </c>
      <c r="G10" s="227" t="inlineStr">
        <is>
          <t>RA4
(25%)</t>
        </is>
      </c>
      <c r="H10" s="206" t="inlineStr">
        <is>
          <t>RA5
(10%)</t>
        </is>
      </c>
      <c r="I10" s="234" t="inlineStr">
        <is>
          <t>🏢 RA6
(10%)
EMPRESA</t>
        </is>
      </c>
      <c r="J10" s="188" t="inlineStr">
        <is>
          <t>Nota Final</t>
        </is>
      </c>
      <c r="K10" s="188" t="inlineStr">
        <is>
          <t>Resultado</t>
        </is>
      </c>
      <c r="L10" s="188" t="inlineStr">
        <is>
          <t>Observaciones</t>
        </is>
      </c>
    </row>
    <row r="11" ht="20" customHeight="1">
      <c r="B11" s="184" t="n">
        <v>1</v>
      </c>
      <c r="C11" s="208">
        <f>IFERROR('PAR · Alumnos'!C10&amp;IF('PAR · Alumnos'!D10&lt;&gt;"",", "&amp;'PAR · Alumnos'!D10,""),"")</f>
        <v/>
      </c>
      <c r="D11" s="218">
        <f>IFERROR('PAR · Reg. Notas'!O11,"")</f>
        <v/>
      </c>
      <c r="E11" s="219">
        <f>IFERROR('PAR · Reg. Notas'!P11,"")</f>
        <v/>
      </c>
      <c r="F11" s="228">
        <f>IFERROR('PAR · Reg. Notas'!Q11,"")</f>
        <v/>
      </c>
      <c r="G11" s="229">
        <f>IFERROR('PAR · Reg. Notas'!R11,"")</f>
        <v/>
      </c>
      <c r="H11" s="230">
        <f>IFERROR('PAR · Reg. Notas'!S11,"")</f>
        <v/>
      </c>
      <c r="I11" s="236">
        <f>IFERROR('PAR · Reg. Notas'!T11,"")</f>
        <v/>
      </c>
      <c r="J11" s="249">
        <f>IFERROR(ROUND(D11*0.15+E11*0.2+F11*0.2+G11*0.25+H11*0.1+I11*0.1,2),"")</f>
        <v/>
      </c>
      <c r="K11" s="250">
        <f>IF(J11="","",IF(J11&gt;=5,"APTO","NO APTO"))</f>
        <v/>
      </c>
      <c r="L11" s="79"/>
    </row>
    <row r="12" ht="20" customHeight="1">
      <c r="B12" s="184" t="n">
        <v>2</v>
      </c>
      <c r="C12" s="208">
        <f>IFERROR('PAR · Alumnos'!C11&amp;IF('PAR · Alumnos'!D11&lt;&gt;"",", "&amp;'PAR · Alumnos'!D11,""),"")</f>
        <v/>
      </c>
      <c r="D12" s="218">
        <f>IFERROR('PAR · Reg. Notas'!O12,"")</f>
        <v/>
      </c>
      <c r="E12" s="219">
        <f>IFERROR('PAR · Reg. Notas'!P12,"")</f>
        <v/>
      </c>
      <c r="F12" s="228">
        <f>IFERROR('PAR · Reg. Notas'!Q12,"")</f>
        <v/>
      </c>
      <c r="G12" s="229">
        <f>IFERROR('PAR · Reg. Notas'!R12,"")</f>
        <v/>
      </c>
      <c r="H12" s="230">
        <f>IFERROR('PAR · Reg. Notas'!S12,"")</f>
        <v/>
      </c>
      <c r="I12" s="236">
        <f>IFERROR('PAR · Reg. Notas'!T12,"")</f>
        <v/>
      </c>
      <c r="J12" s="249">
        <f>IFERROR(ROUND(D12*0.15+E12*0.2+F12*0.2+G12*0.25+H12*0.1+I12*0.1,2),"")</f>
        <v/>
      </c>
      <c r="K12" s="251">
        <f>IF(J12="","",IF(J12&gt;=5,"APTO","NO APTO"))</f>
        <v/>
      </c>
      <c r="L12" s="78"/>
    </row>
    <row r="13" ht="20" customHeight="1">
      <c r="B13" s="184" t="n">
        <v>3</v>
      </c>
      <c r="C13" s="208">
        <f>IFERROR('PAR · Alumnos'!C12&amp;IF('PAR · Alumnos'!D12&lt;&gt;"",", "&amp;'PAR · Alumnos'!D12,""),"")</f>
        <v/>
      </c>
      <c r="D13" s="218">
        <f>IFERROR('PAR · Reg. Notas'!O13,"")</f>
        <v/>
      </c>
      <c r="E13" s="219">
        <f>IFERROR('PAR · Reg. Notas'!P13,"")</f>
        <v/>
      </c>
      <c r="F13" s="228">
        <f>IFERROR('PAR · Reg. Notas'!Q13,"")</f>
        <v/>
      </c>
      <c r="G13" s="229">
        <f>IFERROR('PAR · Reg. Notas'!R13,"")</f>
        <v/>
      </c>
      <c r="H13" s="230">
        <f>IFERROR('PAR · Reg. Notas'!S13,"")</f>
        <v/>
      </c>
      <c r="I13" s="236">
        <f>IFERROR('PAR · Reg. Notas'!T13,"")</f>
        <v/>
      </c>
      <c r="J13" s="249">
        <f>IFERROR(ROUND(D13*0.15+E13*0.2+F13*0.2+G13*0.25+H13*0.1+I13*0.1,2),"")</f>
        <v/>
      </c>
      <c r="K13" s="250">
        <f>IF(J13="","",IF(J13&gt;=5,"APTO","NO APTO"))</f>
        <v/>
      </c>
      <c r="L13" s="79"/>
    </row>
    <row r="14" ht="20" customHeight="1">
      <c r="B14" s="184" t="n">
        <v>4</v>
      </c>
      <c r="C14" s="208">
        <f>IFERROR('PAR · Alumnos'!C13&amp;IF('PAR · Alumnos'!D13&lt;&gt;"",", "&amp;'PAR · Alumnos'!D13,""),"")</f>
        <v/>
      </c>
      <c r="D14" s="218">
        <f>IFERROR('PAR · Reg. Notas'!O14,"")</f>
        <v/>
      </c>
      <c r="E14" s="219">
        <f>IFERROR('PAR · Reg. Notas'!P14,"")</f>
        <v/>
      </c>
      <c r="F14" s="228">
        <f>IFERROR('PAR · Reg. Notas'!Q14,"")</f>
        <v/>
      </c>
      <c r="G14" s="229">
        <f>IFERROR('PAR · Reg. Notas'!R14,"")</f>
        <v/>
      </c>
      <c r="H14" s="230">
        <f>IFERROR('PAR · Reg. Notas'!S14,"")</f>
        <v/>
      </c>
      <c r="I14" s="236">
        <f>IFERROR('PAR · Reg. Notas'!T14,"")</f>
        <v/>
      </c>
      <c r="J14" s="249">
        <f>IFERROR(ROUND(D14*0.15+E14*0.2+F14*0.2+G14*0.25+H14*0.1+I14*0.1,2),"")</f>
        <v/>
      </c>
      <c r="K14" s="251">
        <f>IF(J14="","",IF(J14&gt;=5,"APTO","NO APTO"))</f>
        <v/>
      </c>
      <c r="L14" s="78"/>
    </row>
    <row r="15" ht="20" customHeight="1">
      <c r="B15" s="184" t="n">
        <v>5</v>
      </c>
      <c r="C15" s="208">
        <f>IFERROR('PAR · Alumnos'!C14&amp;IF('PAR · Alumnos'!D14&lt;&gt;"",", "&amp;'PAR · Alumnos'!D14,""),"")</f>
        <v/>
      </c>
      <c r="D15" s="218">
        <f>IFERROR('PAR · Reg. Notas'!O15,"")</f>
        <v/>
      </c>
      <c r="E15" s="219">
        <f>IFERROR('PAR · Reg. Notas'!P15,"")</f>
        <v/>
      </c>
      <c r="F15" s="228">
        <f>IFERROR('PAR · Reg. Notas'!Q15,"")</f>
        <v/>
      </c>
      <c r="G15" s="229">
        <f>IFERROR('PAR · Reg. Notas'!R15,"")</f>
        <v/>
      </c>
      <c r="H15" s="230">
        <f>IFERROR('PAR · Reg. Notas'!S15,"")</f>
        <v/>
      </c>
      <c r="I15" s="236">
        <f>IFERROR('PAR · Reg. Notas'!T15,"")</f>
        <v/>
      </c>
      <c r="J15" s="249">
        <f>IFERROR(ROUND(D15*0.15+E15*0.2+F15*0.2+G15*0.25+H15*0.1+I15*0.1,2),"")</f>
        <v/>
      </c>
      <c r="K15" s="250">
        <f>IF(J15="","",IF(J15&gt;=5,"APTO","NO APTO"))</f>
        <v/>
      </c>
      <c r="L15" s="79"/>
    </row>
    <row r="16" ht="20" customHeight="1">
      <c r="B16" s="184" t="n">
        <v>6</v>
      </c>
      <c r="C16" s="208">
        <f>IFERROR('PAR · Alumnos'!C15&amp;IF('PAR · Alumnos'!D15&lt;&gt;"",", "&amp;'PAR · Alumnos'!D15,""),"")</f>
        <v/>
      </c>
      <c r="D16" s="218">
        <f>IFERROR('PAR · Reg. Notas'!O16,"")</f>
        <v/>
      </c>
      <c r="E16" s="219">
        <f>IFERROR('PAR · Reg. Notas'!P16,"")</f>
        <v/>
      </c>
      <c r="F16" s="228">
        <f>IFERROR('PAR · Reg. Notas'!Q16,"")</f>
        <v/>
      </c>
      <c r="G16" s="229">
        <f>IFERROR('PAR · Reg. Notas'!R16,"")</f>
        <v/>
      </c>
      <c r="H16" s="230">
        <f>IFERROR('PAR · Reg. Notas'!S16,"")</f>
        <v/>
      </c>
      <c r="I16" s="236">
        <f>IFERROR('PAR · Reg. Notas'!T16,"")</f>
        <v/>
      </c>
      <c r="J16" s="249">
        <f>IFERROR(ROUND(D16*0.15+E16*0.2+F16*0.2+G16*0.25+H16*0.1+I16*0.1,2),"")</f>
        <v/>
      </c>
      <c r="K16" s="251">
        <f>IF(J16="","",IF(J16&gt;=5,"APTO","NO APTO"))</f>
        <v/>
      </c>
      <c r="L16" s="78"/>
    </row>
    <row r="17" ht="20" customHeight="1">
      <c r="B17" s="184" t="n">
        <v>7</v>
      </c>
      <c r="C17" s="208">
        <f>IFERROR('PAR · Alumnos'!C16&amp;IF('PAR · Alumnos'!D16&lt;&gt;"",", "&amp;'PAR · Alumnos'!D16,""),"")</f>
        <v/>
      </c>
      <c r="D17" s="218">
        <f>IFERROR('PAR · Reg. Notas'!O17,"")</f>
        <v/>
      </c>
      <c r="E17" s="219">
        <f>IFERROR('PAR · Reg. Notas'!P17,"")</f>
        <v/>
      </c>
      <c r="F17" s="228">
        <f>IFERROR('PAR · Reg. Notas'!Q17,"")</f>
        <v/>
      </c>
      <c r="G17" s="229">
        <f>IFERROR('PAR · Reg. Notas'!R17,"")</f>
        <v/>
      </c>
      <c r="H17" s="230">
        <f>IFERROR('PAR · Reg. Notas'!S17,"")</f>
        <v/>
      </c>
      <c r="I17" s="236">
        <f>IFERROR('PAR · Reg. Notas'!T17,"")</f>
        <v/>
      </c>
      <c r="J17" s="249">
        <f>IFERROR(ROUND(D17*0.15+E17*0.2+F17*0.2+G17*0.25+H17*0.1+I17*0.1,2),"")</f>
        <v/>
      </c>
      <c r="K17" s="250">
        <f>IF(J17="","",IF(J17&gt;=5,"APTO","NO APTO"))</f>
        <v/>
      </c>
      <c r="L17" s="79"/>
    </row>
    <row r="18" ht="20" customHeight="1">
      <c r="B18" s="184" t="n">
        <v>8</v>
      </c>
      <c r="C18" s="208">
        <f>IFERROR('PAR · Alumnos'!C17&amp;IF('PAR · Alumnos'!D17&lt;&gt;"",", "&amp;'PAR · Alumnos'!D17,""),"")</f>
        <v/>
      </c>
      <c r="D18" s="218">
        <f>IFERROR('PAR · Reg. Notas'!O18,"")</f>
        <v/>
      </c>
      <c r="E18" s="219">
        <f>IFERROR('PAR · Reg. Notas'!P18,"")</f>
        <v/>
      </c>
      <c r="F18" s="228">
        <f>IFERROR('PAR · Reg. Notas'!Q18,"")</f>
        <v/>
      </c>
      <c r="G18" s="229">
        <f>IFERROR('PAR · Reg. Notas'!R18,"")</f>
        <v/>
      </c>
      <c r="H18" s="230">
        <f>IFERROR('PAR · Reg. Notas'!S18,"")</f>
        <v/>
      </c>
      <c r="I18" s="236">
        <f>IFERROR('PAR · Reg. Notas'!T18,"")</f>
        <v/>
      </c>
      <c r="J18" s="249">
        <f>IFERROR(ROUND(D18*0.15+E18*0.2+F18*0.2+G18*0.25+H18*0.1+I18*0.1,2),"")</f>
        <v/>
      </c>
      <c r="K18" s="251">
        <f>IF(J18="","",IF(J18&gt;=5,"APTO","NO APTO"))</f>
        <v/>
      </c>
      <c r="L18" s="78"/>
    </row>
    <row r="19" ht="20" customHeight="1">
      <c r="B19" s="184" t="n">
        <v>9</v>
      </c>
      <c r="C19" s="208">
        <f>IFERROR('PAR · Alumnos'!C18&amp;IF('PAR · Alumnos'!D18&lt;&gt;"",", "&amp;'PAR · Alumnos'!D18,""),"")</f>
        <v/>
      </c>
      <c r="D19" s="218">
        <f>IFERROR('PAR · Reg. Notas'!O19,"")</f>
        <v/>
      </c>
      <c r="E19" s="219">
        <f>IFERROR('PAR · Reg. Notas'!P19,"")</f>
        <v/>
      </c>
      <c r="F19" s="228">
        <f>IFERROR('PAR · Reg. Notas'!Q19,"")</f>
        <v/>
      </c>
      <c r="G19" s="229">
        <f>IFERROR('PAR · Reg. Notas'!R19,"")</f>
        <v/>
      </c>
      <c r="H19" s="230">
        <f>IFERROR('PAR · Reg. Notas'!S19,"")</f>
        <v/>
      </c>
      <c r="I19" s="236">
        <f>IFERROR('PAR · Reg. Notas'!T19,"")</f>
        <v/>
      </c>
      <c r="J19" s="249">
        <f>IFERROR(ROUND(D19*0.15+E19*0.2+F19*0.2+G19*0.25+H19*0.1+I19*0.1,2),"")</f>
        <v/>
      </c>
      <c r="K19" s="250">
        <f>IF(J19="","",IF(J19&gt;=5,"APTO","NO APTO"))</f>
        <v/>
      </c>
      <c r="L19" s="79"/>
    </row>
    <row r="20" ht="20" customHeight="1">
      <c r="B20" s="184" t="n">
        <v>10</v>
      </c>
      <c r="C20" s="208">
        <f>IFERROR('PAR · Alumnos'!C19&amp;IF('PAR · Alumnos'!D19&lt;&gt;"",", "&amp;'PAR · Alumnos'!D19,""),"")</f>
        <v/>
      </c>
      <c r="D20" s="218">
        <f>IFERROR('PAR · Reg. Notas'!O20,"")</f>
        <v/>
      </c>
      <c r="E20" s="219">
        <f>IFERROR('PAR · Reg. Notas'!P20,"")</f>
        <v/>
      </c>
      <c r="F20" s="228">
        <f>IFERROR('PAR · Reg. Notas'!Q20,"")</f>
        <v/>
      </c>
      <c r="G20" s="229">
        <f>IFERROR('PAR · Reg. Notas'!R20,"")</f>
        <v/>
      </c>
      <c r="H20" s="230">
        <f>IFERROR('PAR · Reg. Notas'!S20,"")</f>
        <v/>
      </c>
      <c r="I20" s="236">
        <f>IFERROR('PAR · Reg. Notas'!T20,"")</f>
        <v/>
      </c>
      <c r="J20" s="249">
        <f>IFERROR(ROUND(D20*0.15+E20*0.2+F20*0.2+G20*0.25+H20*0.1+I20*0.1,2),"")</f>
        <v/>
      </c>
      <c r="K20" s="251">
        <f>IF(J20="","",IF(J20&gt;=5,"APTO","NO APTO"))</f>
        <v/>
      </c>
      <c r="L20" s="78"/>
    </row>
    <row r="21" ht="20" customHeight="1">
      <c r="B21" s="184" t="n">
        <v>11</v>
      </c>
      <c r="C21" s="208">
        <f>IFERROR('PAR · Alumnos'!C20&amp;IF('PAR · Alumnos'!D20&lt;&gt;"",", "&amp;'PAR · Alumnos'!D20,""),"")</f>
        <v/>
      </c>
      <c r="D21" s="218">
        <f>IFERROR('PAR · Reg. Notas'!O21,"")</f>
        <v/>
      </c>
      <c r="E21" s="219">
        <f>IFERROR('PAR · Reg. Notas'!P21,"")</f>
        <v/>
      </c>
      <c r="F21" s="228">
        <f>IFERROR('PAR · Reg. Notas'!Q21,"")</f>
        <v/>
      </c>
      <c r="G21" s="229">
        <f>IFERROR('PAR · Reg. Notas'!R21,"")</f>
        <v/>
      </c>
      <c r="H21" s="230">
        <f>IFERROR('PAR · Reg. Notas'!S21,"")</f>
        <v/>
      </c>
      <c r="I21" s="236">
        <f>IFERROR('PAR · Reg. Notas'!T21,"")</f>
        <v/>
      </c>
      <c r="J21" s="249">
        <f>IFERROR(ROUND(D21*0.15+E21*0.2+F21*0.2+G21*0.25+H21*0.1+I21*0.1,2),"")</f>
        <v/>
      </c>
      <c r="K21" s="250">
        <f>IF(J21="","",IF(J21&gt;=5,"APTO","NO APTO"))</f>
        <v/>
      </c>
      <c r="L21" s="79"/>
    </row>
    <row r="22" ht="20" customHeight="1">
      <c r="B22" s="184" t="n">
        <v>12</v>
      </c>
      <c r="C22" s="208">
        <f>IFERROR('PAR · Alumnos'!C21&amp;IF('PAR · Alumnos'!D21&lt;&gt;"",", "&amp;'PAR · Alumnos'!D21,""),"")</f>
        <v/>
      </c>
      <c r="D22" s="218">
        <f>IFERROR('PAR · Reg. Notas'!O22,"")</f>
        <v/>
      </c>
      <c r="E22" s="219">
        <f>IFERROR('PAR · Reg. Notas'!P22,"")</f>
        <v/>
      </c>
      <c r="F22" s="228">
        <f>IFERROR('PAR · Reg. Notas'!Q22,"")</f>
        <v/>
      </c>
      <c r="G22" s="229">
        <f>IFERROR('PAR · Reg. Notas'!R22,"")</f>
        <v/>
      </c>
      <c r="H22" s="230">
        <f>IFERROR('PAR · Reg. Notas'!S22,"")</f>
        <v/>
      </c>
      <c r="I22" s="236">
        <f>IFERROR('PAR · Reg. Notas'!T22,"")</f>
        <v/>
      </c>
      <c r="J22" s="249">
        <f>IFERROR(ROUND(D22*0.15+E22*0.2+F22*0.2+G22*0.25+H22*0.1+I22*0.1,2),"")</f>
        <v/>
      </c>
      <c r="K22" s="251">
        <f>IF(J22="","",IF(J22&gt;=5,"APTO","NO APTO"))</f>
        <v/>
      </c>
      <c r="L22" s="78"/>
    </row>
    <row r="23" ht="20" customHeight="1">
      <c r="B23" s="184" t="n">
        <v>13</v>
      </c>
      <c r="C23" s="208">
        <f>IFERROR('PAR · Alumnos'!C22&amp;IF('PAR · Alumnos'!D22&lt;&gt;"",", "&amp;'PAR · Alumnos'!D22,""),"")</f>
        <v/>
      </c>
      <c r="D23" s="218">
        <f>IFERROR('PAR · Reg. Notas'!O23,"")</f>
        <v/>
      </c>
      <c r="E23" s="219">
        <f>IFERROR('PAR · Reg. Notas'!P23,"")</f>
        <v/>
      </c>
      <c r="F23" s="228">
        <f>IFERROR('PAR · Reg. Notas'!Q23,"")</f>
        <v/>
      </c>
      <c r="G23" s="229">
        <f>IFERROR('PAR · Reg. Notas'!R23,"")</f>
        <v/>
      </c>
      <c r="H23" s="230">
        <f>IFERROR('PAR · Reg. Notas'!S23,"")</f>
        <v/>
      </c>
      <c r="I23" s="236">
        <f>IFERROR('PAR · Reg. Notas'!T23,"")</f>
        <v/>
      </c>
      <c r="J23" s="249">
        <f>IFERROR(ROUND(D23*0.15+E23*0.2+F23*0.2+G23*0.25+H23*0.1+I23*0.1,2),"")</f>
        <v/>
      </c>
      <c r="K23" s="250">
        <f>IF(J23="","",IF(J23&gt;=5,"APTO","NO APTO"))</f>
        <v/>
      </c>
      <c r="L23" s="79"/>
    </row>
    <row r="24" ht="20" customHeight="1">
      <c r="B24" s="184" t="n">
        <v>14</v>
      </c>
      <c r="C24" s="208">
        <f>IFERROR('PAR · Alumnos'!C23&amp;IF('PAR · Alumnos'!D23&lt;&gt;"",", "&amp;'PAR · Alumnos'!D23,""),"")</f>
        <v/>
      </c>
      <c r="D24" s="218">
        <f>IFERROR('PAR · Reg. Notas'!O24,"")</f>
        <v/>
      </c>
      <c r="E24" s="219">
        <f>IFERROR('PAR · Reg. Notas'!P24,"")</f>
        <v/>
      </c>
      <c r="F24" s="228">
        <f>IFERROR('PAR · Reg. Notas'!Q24,"")</f>
        <v/>
      </c>
      <c r="G24" s="229">
        <f>IFERROR('PAR · Reg. Notas'!R24,"")</f>
        <v/>
      </c>
      <c r="H24" s="230">
        <f>IFERROR('PAR · Reg. Notas'!S24,"")</f>
        <v/>
      </c>
      <c r="I24" s="236">
        <f>IFERROR('PAR · Reg. Notas'!T24,"")</f>
        <v/>
      </c>
      <c r="J24" s="249">
        <f>IFERROR(ROUND(D24*0.15+E24*0.2+F24*0.2+G24*0.25+H24*0.1+I24*0.1,2),"")</f>
        <v/>
      </c>
      <c r="K24" s="251">
        <f>IF(J24="","",IF(J24&gt;=5,"APTO","NO APTO"))</f>
        <v/>
      </c>
      <c r="L24" s="78"/>
    </row>
    <row r="25" ht="20" customHeight="1">
      <c r="B25" s="184" t="n">
        <v>15</v>
      </c>
      <c r="C25" s="208">
        <f>IFERROR('PAR · Alumnos'!C24&amp;IF('PAR · Alumnos'!D24&lt;&gt;"",", "&amp;'PAR · Alumnos'!D24,""),"")</f>
        <v/>
      </c>
      <c r="D25" s="218">
        <f>IFERROR('PAR · Reg. Notas'!O25,"")</f>
        <v/>
      </c>
      <c r="E25" s="219">
        <f>IFERROR('PAR · Reg. Notas'!P25,"")</f>
        <v/>
      </c>
      <c r="F25" s="228">
        <f>IFERROR('PAR · Reg. Notas'!Q25,"")</f>
        <v/>
      </c>
      <c r="G25" s="229">
        <f>IFERROR('PAR · Reg. Notas'!R25,"")</f>
        <v/>
      </c>
      <c r="H25" s="230">
        <f>IFERROR('PAR · Reg. Notas'!S25,"")</f>
        <v/>
      </c>
      <c r="I25" s="236">
        <f>IFERROR('PAR · Reg. Notas'!T25,"")</f>
        <v/>
      </c>
      <c r="J25" s="249">
        <f>IFERROR(ROUND(D25*0.15+E25*0.2+F25*0.2+G25*0.25+H25*0.1+I25*0.1,2),"")</f>
        <v/>
      </c>
      <c r="K25" s="250">
        <f>IF(J25="","",IF(J25&gt;=5,"APTO","NO APTO"))</f>
        <v/>
      </c>
      <c r="L25" s="79"/>
    </row>
    <row r="26" ht="20" customHeight="1">
      <c r="B26" s="184" t="n">
        <v>16</v>
      </c>
      <c r="C26" s="208">
        <f>IFERROR('PAR · Alumnos'!C25&amp;IF('PAR · Alumnos'!D25&lt;&gt;"",", "&amp;'PAR · Alumnos'!D25,""),"")</f>
        <v/>
      </c>
      <c r="D26" s="218">
        <f>IFERROR('PAR · Reg. Notas'!O26,"")</f>
        <v/>
      </c>
      <c r="E26" s="219">
        <f>IFERROR('PAR · Reg. Notas'!P26,"")</f>
        <v/>
      </c>
      <c r="F26" s="228">
        <f>IFERROR('PAR · Reg. Notas'!Q26,"")</f>
        <v/>
      </c>
      <c r="G26" s="229">
        <f>IFERROR('PAR · Reg. Notas'!R26,"")</f>
        <v/>
      </c>
      <c r="H26" s="230">
        <f>IFERROR('PAR · Reg. Notas'!S26,"")</f>
        <v/>
      </c>
      <c r="I26" s="236">
        <f>IFERROR('PAR · Reg. Notas'!T26,"")</f>
        <v/>
      </c>
      <c r="J26" s="249">
        <f>IFERROR(ROUND(D26*0.15+E26*0.2+F26*0.2+G26*0.25+H26*0.1+I26*0.1,2),"")</f>
        <v/>
      </c>
      <c r="K26" s="251">
        <f>IF(J26="","",IF(J26&gt;=5,"APTO","NO APTO"))</f>
        <v/>
      </c>
      <c r="L26" s="78"/>
    </row>
    <row r="27" ht="20" customHeight="1">
      <c r="B27" s="184" t="n">
        <v>17</v>
      </c>
      <c r="C27" s="208">
        <f>IFERROR('PAR · Alumnos'!C26&amp;IF('PAR · Alumnos'!D26&lt;&gt;"",", "&amp;'PAR · Alumnos'!D26,""),"")</f>
        <v/>
      </c>
      <c r="D27" s="218">
        <f>IFERROR('PAR · Reg. Notas'!O27,"")</f>
        <v/>
      </c>
      <c r="E27" s="219">
        <f>IFERROR('PAR · Reg. Notas'!P27,"")</f>
        <v/>
      </c>
      <c r="F27" s="228">
        <f>IFERROR('PAR · Reg. Notas'!Q27,"")</f>
        <v/>
      </c>
      <c r="G27" s="229">
        <f>IFERROR('PAR · Reg. Notas'!R27,"")</f>
        <v/>
      </c>
      <c r="H27" s="230">
        <f>IFERROR('PAR · Reg. Notas'!S27,"")</f>
        <v/>
      </c>
      <c r="I27" s="236">
        <f>IFERROR('PAR · Reg. Notas'!T27,"")</f>
        <v/>
      </c>
      <c r="J27" s="249">
        <f>IFERROR(ROUND(D27*0.15+E27*0.2+F27*0.2+G27*0.25+H27*0.1+I27*0.1,2),"")</f>
        <v/>
      </c>
      <c r="K27" s="250">
        <f>IF(J27="","",IF(J27&gt;=5,"APTO","NO APTO"))</f>
        <v/>
      </c>
      <c r="L27" s="79"/>
    </row>
    <row r="28" ht="20" customHeight="1">
      <c r="B28" s="184" t="n">
        <v>18</v>
      </c>
      <c r="C28" s="208">
        <f>IFERROR('PAR · Alumnos'!C27&amp;IF('PAR · Alumnos'!D27&lt;&gt;"",", "&amp;'PAR · Alumnos'!D27,""),"")</f>
        <v/>
      </c>
      <c r="D28" s="218">
        <f>IFERROR('PAR · Reg. Notas'!O28,"")</f>
        <v/>
      </c>
      <c r="E28" s="219">
        <f>IFERROR('PAR · Reg. Notas'!P28,"")</f>
        <v/>
      </c>
      <c r="F28" s="228">
        <f>IFERROR('PAR · Reg. Notas'!Q28,"")</f>
        <v/>
      </c>
      <c r="G28" s="229">
        <f>IFERROR('PAR · Reg. Notas'!R28,"")</f>
        <v/>
      </c>
      <c r="H28" s="230">
        <f>IFERROR('PAR · Reg. Notas'!S28,"")</f>
        <v/>
      </c>
      <c r="I28" s="236">
        <f>IFERROR('PAR · Reg. Notas'!T28,"")</f>
        <v/>
      </c>
      <c r="J28" s="249">
        <f>IFERROR(ROUND(D28*0.15+E28*0.2+F28*0.2+G28*0.25+H28*0.1+I28*0.1,2),"")</f>
        <v/>
      </c>
      <c r="K28" s="251">
        <f>IF(J28="","",IF(J28&gt;=5,"APTO","NO APTO"))</f>
        <v/>
      </c>
      <c r="L28" s="78"/>
    </row>
    <row r="29" ht="20" customHeight="1">
      <c r="B29" s="184" t="n">
        <v>19</v>
      </c>
      <c r="C29" s="208">
        <f>IFERROR('PAR · Alumnos'!C28&amp;IF('PAR · Alumnos'!D28&lt;&gt;"",", "&amp;'PAR · Alumnos'!D28,""),"")</f>
        <v/>
      </c>
      <c r="D29" s="218">
        <f>IFERROR('PAR · Reg. Notas'!O29,"")</f>
        <v/>
      </c>
      <c r="E29" s="219">
        <f>IFERROR('PAR · Reg. Notas'!P29,"")</f>
        <v/>
      </c>
      <c r="F29" s="228">
        <f>IFERROR('PAR · Reg. Notas'!Q29,"")</f>
        <v/>
      </c>
      <c r="G29" s="229">
        <f>IFERROR('PAR · Reg. Notas'!R29,"")</f>
        <v/>
      </c>
      <c r="H29" s="230">
        <f>IFERROR('PAR · Reg. Notas'!S29,"")</f>
        <v/>
      </c>
      <c r="I29" s="236">
        <f>IFERROR('PAR · Reg. Notas'!T29,"")</f>
        <v/>
      </c>
      <c r="J29" s="249">
        <f>IFERROR(ROUND(D29*0.15+E29*0.2+F29*0.2+G29*0.25+H29*0.1+I29*0.1,2),"")</f>
        <v/>
      </c>
      <c r="K29" s="250">
        <f>IF(J29="","",IF(J29&gt;=5,"APTO","NO APTO"))</f>
        <v/>
      </c>
      <c r="L29" s="79"/>
    </row>
    <row r="30" ht="20" customHeight="1">
      <c r="B30" s="184" t="n">
        <v>20</v>
      </c>
      <c r="C30" s="208">
        <f>IFERROR('PAR · Alumnos'!C29&amp;IF('PAR · Alumnos'!D29&lt;&gt;"",", "&amp;'PAR · Alumnos'!D29,""),"")</f>
        <v/>
      </c>
      <c r="D30" s="218">
        <f>IFERROR('PAR · Reg. Notas'!O30,"")</f>
        <v/>
      </c>
      <c r="E30" s="219">
        <f>IFERROR('PAR · Reg. Notas'!P30,"")</f>
        <v/>
      </c>
      <c r="F30" s="228">
        <f>IFERROR('PAR · Reg. Notas'!Q30,"")</f>
        <v/>
      </c>
      <c r="G30" s="229">
        <f>IFERROR('PAR · Reg. Notas'!R30,"")</f>
        <v/>
      </c>
      <c r="H30" s="230">
        <f>IFERROR('PAR · Reg. Notas'!S30,"")</f>
        <v/>
      </c>
      <c r="I30" s="236">
        <f>IFERROR('PAR · Reg. Notas'!T30,"")</f>
        <v/>
      </c>
      <c r="J30" s="249">
        <f>IFERROR(ROUND(D30*0.15+E30*0.2+F30*0.2+G30*0.25+H30*0.1+I30*0.1,2),"")</f>
        <v/>
      </c>
      <c r="K30" s="251">
        <f>IF(J30="","",IF(J30&gt;=5,"APTO","NO APTO"))</f>
        <v/>
      </c>
      <c r="L30" s="78"/>
    </row>
    <row r="31" ht="20" customHeight="1">
      <c r="B31" s="184" t="n">
        <v>21</v>
      </c>
      <c r="C31" s="208">
        <f>IFERROR('PAR · Alumnos'!C30&amp;IF('PAR · Alumnos'!D30&lt;&gt;"",", "&amp;'PAR · Alumnos'!D30,""),"")</f>
        <v/>
      </c>
      <c r="D31" s="218">
        <f>IFERROR('PAR · Reg. Notas'!O31,"")</f>
        <v/>
      </c>
      <c r="E31" s="219">
        <f>IFERROR('PAR · Reg. Notas'!P31,"")</f>
        <v/>
      </c>
      <c r="F31" s="228">
        <f>IFERROR('PAR · Reg. Notas'!Q31,"")</f>
        <v/>
      </c>
      <c r="G31" s="229">
        <f>IFERROR('PAR · Reg. Notas'!R31,"")</f>
        <v/>
      </c>
      <c r="H31" s="230">
        <f>IFERROR('PAR · Reg. Notas'!S31,"")</f>
        <v/>
      </c>
      <c r="I31" s="236">
        <f>IFERROR('PAR · Reg. Notas'!T31,"")</f>
        <v/>
      </c>
      <c r="J31" s="249">
        <f>IFERROR(ROUND(D31*0.15+E31*0.2+F31*0.2+G31*0.25+H31*0.1+I31*0.1,2),"")</f>
        <v/>
      </c>
      <c r="K31" s="250">
        <f>IF(J31="","",IF(J31&gt;=5,"APTO","NO APTO"))</f>
        <v/>
      </c>
      <c r="L31" s="79"/>
    </row>
    <row r="32" ht="20" customHeight="1">
      <c r="B32" s="184" t="n">
        <v>22</v>
      </c>
      <c r="C32" s="208">
        <f>IFERROR('PAR · Alumnos'!C31&amp;IF('PAR · Alumnos'!D31&lt;&gt;"",", "&amp;'PAR · Alumnos'!D31,""),"")</f>
        <v/>
      </c>
      <c r="D32" s="218">
        <f>IFERROR('PAR · Reg. Notas'!O32,"")</f>
        <v/>
      </c>
      <c r="E32" s="219">
        <f>IFERROR('PAR · Reg. Notas'!P32,"")</f>
        <v/>
      </c>
      <c r="F32" s="228">
        <f>IFERROR('PAR · Reg. Notas'!Q32,"")</f>
        <v/>
      </c>
      <c r="G32" s="229">
        <f>IFERROR('PAR · Reg. Notas'!R32,"")</f>
        <v/>
      </c>
      <c r="H32" s="230">
        <f>IFERROR('PAR · Reg. Notas'!S32,"")</f>
        <v/>
      </c>
      <c r="I32" s="236">
        <f>IFERROR('PAR · Reg. Notas'!T32,"")</f>
        <v/>
      </c>
      <c r="J32" s="249">
        <f>IFERROR(ROUND(D32*0.15+E32*0.2+F32*0.2+G32*0.25+H32*0.1+I32*0.1,2),"")</f>
        <v/>
      </c>
      <c r="K32" s="251">
        <f>IF(J32="","",IF(J32&gt;=5,"APTO","NO APTO"))</f>
        <v/>
      </c>
      <c r="L32" s="78"/>
    </row>
    <row r="33" ht="20" customHeight="1">
      <c r="B33" s="184" t="n">
        <v>23</v>
      </c>
      <c r="C33" s="208">
        <f>IFERROR('PAR · Alumnos'!C32&amp;IF('PAR · Alumnos'!D32&lt;&gt;"",", "&amp;'PAR · Alumnos'!D32,""),"")</f>
        <v/>
      </c>
      <c r="D33" s="218">
        <f>IFERROR('PAR · Reg. Notas'!O33,"")</f>
        <v/>
      </c>
      <c r="E33" s="219">
        <f>IFERROR('PAR · Reg. Notas'!P33,"")</f>
        <v/>
      </c>
      <c r="F33" s="228">
        <f>IFERROR('PAR · Reg. Notas'!Q33,"")</f>
        <v/>
      </c>
      <c r="G33" s="229">
        <f>IFERROR('PAR · Reg. Notas'!R33,"")</f>
        <v/>
      </c>
      <c r="H33" s="230">
        <f>IFERROR('PAR · Reg. Notas'!S33,"")</f>
        <v/>
      </c>
      <c r="I33" s="236">
        <f>IFERROR('PAR · Reg. Notas'!T33,"")</f>
        <v/>
      </c>
      <c r="J33" s="249">
        <f>IFERROR(ROUND(D33*0.15+E33*0.2+F33*0.2+G33*0.25+H33*0.1+I33*0.1,2),"")</f>
        <v/>
      </c>
      <c r="K33" s="250">
        <f>IF(J33="","",IF(J33&gt;=5,"APTO","NO APTO"))</f>
        <v/>
      </c>
      <c r="L33" s="79"/>
    </row>
    <row r="34" ht="20" customHeight="1">
      <c r="B34" s="184" t="n">
        <v>24</v>
      </c>
      <c r="C34" s="208">
        <f>IFERROR('PAR · Alumnos'!C33&amp;IF('PAR · Alumnos'!D33&lt;&gt;"",", "&amp;'PAR · Alumnos'!D33,""),"")</f>
        <v/>
      </c>
      <c r="D34" s="218">
        <f>IFERROR('PAR · Reg. Notas'!O34,"")</f>
        <v/>
      </c>
      <c r="E34" s="219">
        <f>IFERROR('PAR · Reg. Notas'!P34,"")</f>
        <v/>
      </c>
      <c r="F34" s="228">
        <f>IFERROR('PAR · Reg. Notas'!Q34,"")</f>
        <v/>
      </c>
      <c r="G34" s="229">
        <f>IFERROR('PAR · Reg. Notas'!R34,"")</f>
        <v/>
      </c>
      <c r="H34" s="230">
        <f>IFERROR('PAR · Reg. Notas'!S34,"")</f>
        <v/>
      </c>
      <c r="I34" s="236">
        <f>IFERROR('PAR · Reg. Notas'!T34,"")</f>
        <v/>
      </c>
      <c r="J34" s="249">
        <f>IFERROR(ROUND(D34*0.15+E34*0.2+F34*0.2+G34*0.25+H34*0.1+I34*0.1,2),"")</f>
        <v/>
      </c>
      <c r="K34" s="251">
        <f>IF(J34="","",IF(J34&gt;=5,"APTO","NO APTO"))</f>
        <v/>
      </c>
      <c r="L34" s="78"/>
    </row>
    <row r="35" ht="20" customHeight="1">
      <c r="B35" s="184" t="n">
        <v>25</v>
      </c>
      <c r="C35" s="208">
        <f>IFERROR('PAR · Alumnos'!C34&amp;IF('PAR · Alumnos'!D34&lt;&gt;"",", "&amp;'PAR · Alumnos'!D34,""),"")</f>
        <v/>
      </c>
      <c r="D35" s="218">
        <f>IFERROR('PAR · Reg. Notas'!O35,"")</f>
        <v/>
      </c>
      <c r="E35" s="219">
        <f>IFERROR('PAR · Reg. Notas'!P35,"")</f>
        <v/>
      </c>
      <c r="F35" s="228">
        <f>IFERROR('PAR · Reg. Notas'!Q35,"")</f>
        <v/>
      </c>
      <c r="G35" s="229">
        <f>IFERROR('PAR · Reg. Notas'!R35,"")</f>
        <v/>
      </c>
      <c r="H35" s="230">
        <f>IFERROR('PAR · Reg. Notas'!S35,"")</f>
        <v/>
      </c>
      <c r="I35" s="236">
        <f>IFERROR('PAR · Reg. Notas'!T35,"")</f>
        <v/>
      </c>
      <c r="J35" s="249">
        <f>IFERROR(ROUND(D35*0.15+E35*0.2+F35*0.2+G35*0.25+H35*0.1+I35*0.1,2),"")</f>
        <v/>
      </c>
      <c r="K35" s="250">
        <f>IF(J35="","",IF(J35&gt;=5,"APTO","NO APTO"))</f>
        <v/>
      </c>
      <c r="L35" s="79"/>
    </row>
    <row r="36" ht="20" customHeight="1">
      <c r="B36" s="184" t="n">
        <v>26</v>
      </c>
      <c r="C36" s="208">
        <f>IFERROR('PAR · Alumnos'!C35&amp;IF('PAR · Alumnos'!D35&lt;&gt;"",", "&amp;'PAR · Alumnos'!D35,""),"")</f>
        <v/>
      </c>
      <c r="D36" s="218">
        <f>IFERROR('PAR · Reg. Notas'!O36,"")</f>
        <v/>
      </c>
      <c r="E36" s="219">
        <f>IFERROR('PAR · Reg. Notas'!P36,"")</f>
        <v/>
      </c>
      <c r="F36" s="228">
        <f>IFERROR('PAR · Reg. Notas'!Q36,"")</f>
        <v/>
      </c>
      <c r="G36" s="229">
        <f>IFERROR('PAR · Reg. Notas'!R36,"")</f>
        <v/>
      </c>
      <c r="H36" s="230">
        <f>IFERROR('PAR · Reg. Notas'!S36,"")</f>
        <v/>
      </c>
      <c r="I36" s="236">
        <f>IFERROR('PAR · Reg. Notas'!T36,"")</f>
        <v/>
      </c>
      <c r="J36" s="249">
        <f>IFERROR(ROUND(D36*0.15+E36*0.2+F36*0.2+G36*0.25+H36*0.1+I36*0.1,2),"")</f>
        <v/>
      </c>
      <c r="K36" s="251">
        <f>IF(J36="","",IF(J36&gt;=5,"APTO","NO APTO"))</f>
        <v/>
      </c>
      <c r="L36" s="78"/>
    </row>
    <row r="37" ht="20" customHeight="1">
      <c r="B37" s="184" t="n">
        <v>27</v>
      </c>
      <c r="C37" s="208">
        <f>IFERROR('PAR · Alumnos'!C36&amp;IF('PAR · Alumnos'!D36&lt;&gt;"",", "&amp;'PAR · Alumnos'!D36,""),"")</f>
        <v/>
      </c>
      <c r="D37" s="218">
        <f>IFERROR('PAR · Reg. Notas'!O37,"")</f>
        <v/>
      </c>
      <c r="E37" s="219">
        <f>IFERROR('PAR · Reg. Notas'!P37,"")</f>
        <v/>
      </c>
      <c r="F37" s="228">
        <f>IFERROR('PAR · Reg. Notas'!Q37,"")</f>
        <v/>
      </c>
      <c r="G37" s="229">
        <f>IFERROR('PAR · Reg. Notas'!R37,"")</f>
        <v/>
      </c>
      <c r="H37" s="230">
        <f>IFERROR('PAR · Reg. Notas'!S37,"")</f>
        <v/>
      </c>
      <c r="I37" s="236">
        <f>IFERROR('PAR · Reg. Notas'!T37,"")</f>
        <v/>
      </c>
      <c r="J37" s="249">
        <f>IFERROR(ROUND(D37*0.15+E37*0.2+F37*0.2+G37*0.25+H37*0.1+I37*0.1,2),"")</f>
        <v/>
      </c>
      <c r="K37" s="250">
        <f>IF(J37="","",IF(J37&gt;=5,"APTO","NO APTO"))</f>
        <v/>
      </c>
      <c r="L37" s="79"/>
    </row>
    <row r="38" ht="20" customHeight="1">
      <c r="B38" s="184" t="n">
        <v>28</v>
      </c>
      <c r="C38" s="208">
        <f>IFERROR('PAR · Alumnos'!C37&amp;IF('PAR · Alumnos'!D37&lt;&gt;"",", "&amp;'PAR · Alumnos'!D37,""),"")</f>
        <v/>
      </c>
      <c r="D38" s="218">
        <f>IFERROR('PAR · Reg. Notas'!O38,"")</f>
        <v/>
      </c>
      <c r="E38" s="219">
        <f>IFERROR('PAR · Reg. Notas'!P38,"")</f>
        <v/>
      </c>
      <c r="F38" s="228">
        <f>IFERROR('PAR · Reg. Notas'!Q38,"")</f>
        <v/>
      </c>
      <c r="G38" s="229">
        <f>IFERROR('PAR · Reg. Notas'!R38,"")</f>
        <v/>
      </c>
      <c r="H38" s="230">
        <f>IFERROR('PAR · Reg. Notas'!S38,"")</f>
        <v/>
      </c>
      <c r="I38" s="236">
        <f>IFERROR('PAR · Reg. Notas'!T38,"")</f>
        <v/>
      </c>
      <c r="J38" s="249">
        <f>IFERROR(ROUND(D38*0.15+E38*0.2+F38*0.2+G38*0.25+H38*0.1+I38*0.1,2),"")</f>
        <v/>
      </c>
      <c r="K38" s="251">
        <f>IF(J38="","",IF(J38&gt;=5,"APTO","NO APTO"))</f>
        <v/>
      </c>
      <c r="L38" s="78"/>
    </row>
    <row r="39" ht="20" customHeight="1">
      <c r="B39" s="184" t="n">
        <v>29</v>
      </c>
      <c r="C39" s="208">
        <f>IFERROR('PAR · Alumnos'!C38&amp;IF('PAR · Alumnos'!D38&lt;&gt;"",", "&amp;'PAR · Alumnos'!D38,""),"")</f>
        <v/>
      </c>
      <c r="D39" s="218">
        <f>IFERROR('PAR · Reg. Notas'!O39,"")</f>
        <v/>
      </c>
      <c r="E39" s="219">
        <f>IFERROR('PAR · Reg. Notas'!P39,"")</f>
        <v/>
      </c>
      <c r="F39" s="228">
        <f>IFERROR('PAR · Reg. Notas'!Q39,"")</f>
        <v/>
      </c>
      <c r="G39" s="229">
        <f>IFERROR('PAR · Reg. Notas'!R39,"")</f>
        <v/>
      </c>
      <c r="H39" s="230">
        <f>IFERROR('PAR · Reg. Notas'!S39,"")</f>
        <v/>
      </c>
      <c r="I39" s="236">
        <f>IFERROR('PAR · Reg. Notas'!T39,"")</f>
        <v/>
      </c>
      <c r="J39" s="249">
        <f>IFERROR(ROUND(D39*0.15+E39*0.2+F39*0.2+G39*0.25+H39*0.1+I39*0.1,2),"")</f>
        <v/>
      </c>
      <c r="K39" s="250">
        <f>IF(J39="","",IF(J39&gt;=5,"APTO","NO APTO"))</f>
        <v/>
      </c>
      <c r="L39" s="79"/>
    </row>
    <row r="40" ht="20" customHeight="1">
      <c r="B40" s="184" t="n">
        <v>30</v>
      </c>
      <c r="C40" s="208">
        <f>IFERROR('PAR · Alumnos'!C39&amp;IF('PAR · Alumnos'!D39&lt;&gt;"",", "&amp;'PAR · Alumnos'!D39,""),"")</f>
        <v/>
      </c>
      <c r="D40" s="218">
        <f>IFERROR('PAR · Reg. Notas'!O40,"")</f>
        <v/>
      </c>
      <c r="E40" s="219">
        <f>IFERROR('PAR · Reg. Notas'!P40,"")</f>
        <v/>
      </c>
      <c r="F40" s="228">
        <f>IFERROR('PAR · Reg. Notas'!Q40,"")</f>
        <v/>
      </c>
      <c r="G40" s="229">
        <f>IFERROR('PAR · Reg. Notas'!R40,"")</f>
        <v/>
      </c>
      <c r="H40" s="230">
        <f>IFERROR('PAR · Reg. Notas'!S40,"")</f>
        <v/>
      </c>
      <c r="I40" s="236">
        <f>IFERROR('PAR · Reg. Notas'!T40,"")</f>
        <v/>
      </c>
      <c r="J40" s="249">
        <f>IFERROR(ROUND(D40*0.15+E40*0.2+F40*0.2+G40*0.25+H40*0.1+I40*0.1,2),"")</f>
        <v/>
      </c>
      <c r="K40" s="251">
        <f>IF(J40="","",IF(J40&gt;=5,"APTO","NO APTO"))</f>
        <v/>
      </c>
      <c r="L40" s="78"/>
    </row>
    <row r="42" ht="22" customHeight="1">
      <c r="B42" s="14" t="inlineStr">
        <is>
          <t>GRUPO</t>
        </is>
      </c>
      <c r="C42" s="14"/>
      <c r="D42" s="127">
        <f>IFERROR(ROUND(AVERAGE(D11:D40),2),"")</f>
        <v/>
      </c>
      <c r="E42" s="147">
        <f>IFERROR(ROUND(AVERAGE(E11:E40),2),"")</f>
        <v/>
      </c>
      <c r="F42" s="157">
        <f>IFERROR(ROUND(AVERAGE(F11:F40),2),"")</f>
        <v/>
      </c>
      <c r="G42" s="252">
        <f>IFERROR(ROUND(AVERAGE(G11:G40),2),"")</f>
        <v/>
      </c>
      <c r="H42" s="253">
        <f>IFERROR(ROUND(AVERAGE(H11:H40),2),"")</f>
        <v/>
      </c>
      <c r="I42" s="254">
        <f>IFERROR(ROUND(AVERAGE(I11:I40),2),"")</f>
        <v/>
      </c>
      <c r="J42" s="14">
        <f>IFERROR(ROUND(AVERAGE(J11:J40),2),"")</f>
        <v/>
      </c>
      <c r="K42" s="14">
        <f>IFERROR(TEXT(COUNTIF(K11:K40,"APTO")/COUNTA(K11:K40),"0%"),"")</f>
        <v/>
      </c>
    </row>
    <row r="44" ht="14" customHeight="1">
      <c r="B44" s="177" t="inlineStr">
        <is>
          <t>🏢  EVALUACIÓN DUAL — Instrucciones y Justificación</t>
        </is>
      </c>
    </row>
    <row r="45" ht="90" customHeight="1">
      <c r="B45" s="178" t="inlineStr">
        <is>
          <t>RA6 — Resolución de problemas de red — se evalúa en modalidad DUAL de acuerdo con el artículo 42 de la Ley Orgánica 3/2022. El alumno/a resuelve incidencias reales en el entorno laboral bajo supervisión del tutor/a de empresa. Peso en nota final: 10%.</t>
        </is>
      </c>
    </row>
    <row r="46" ht="16" customHeight="1">
      <c r="B46" s="179" t="inlineStr">
        <is>
          <t>→ Introduce la nota de la empresa en la columna RA6 (columna I, fondo verde).  Peso en nota final: 10% = 0.1 puntos.  Base legal: Ley Orgánica 3/2022, art. 42.</t>
        </is>
      </c>
    </row>
  </sheetData>
  <mergeCells count="5">
    <mergeCell ref="B44:L44"/>
    <mergeCell ref="B46:L46"/>
    <mergeCell ref="B2:K2"/>
    <mergeCell ref="B45:L45"/>
    <mergeCell ref="B3:K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5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📋 Calificación Final — 2ª Convocatoria Extraordinaria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Solo alumnado NO APTO en 1ª Convocatoria · PAR 1º ASIR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6">
        <f>HYPERLINK("#PAR · Actividades!A1","📝 Actividades")</f>
        <v/>
      </c>
      <c r="F5" s="6">
        <f>HYPERLINK("#PAR · Reg. Notas!A1","📊 Reg. Notas")</f>
        <v/>
      </c>
      <c r="G5" s="6">
        <f>HYPERLINK("#PAR · Resumen!A1","📈 Resumen")</f>
        <v/>
      </c>
      <c r="H5" s="6">
        <f>HYPERLINK("#PAR · Evaluación 1!A1","Eval 1")</f>
        <v/>
      </c>
      <c r="I5" s="6">
        <f>HYPERLINK("#PAR · Evaluación 2!A1","Eval 2")</f>
        <v/>
      </c>
      <c r="J5" s="6">
        <f>HYPERLINK("#PAR · Evaluación 3!A1","Eval 3")</f>
        <v/>
      </c>
      <c r="K5" s="6">
        <f>HYPERLINK("#PAR · 1ªORD!A1","1ª ORD")</f>
        <v/>
      </c>
      <c r="L5" s="5" t="inlineStr">
        <is>
          <t>2ª ORD</t>
        </is>
      </c>
      <c r="M5" s="6">
        <f>HYPERLINK("#PAR · Rúbricas!A1","🎯 Rúbricas")</f>
        <v/>
      </c>
      <c r="N5" s="6">
        <f>HYPERLINK("#PAR · Informe Grupo!A1","📊 Inf.Grupo")</f>
        <v/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20" customHeight="1">
      <c r="B8" s="187" t="inlineStr">
        <is>
          <t>ℹ️  Registra únicamente el alumnado con resultado NO APTO en 1ª Convocatoria. Introduce el número de alumno/a (columna B) para que el nombre y la nota de 1ªORD se auto-rellenen. La nota extraordinaria sustituye la nota final del módulo.</t>
        </is>
      </c>
    </row>
    <row r="9" ht="12" customHeight="1">
      <c r="D9" s="257" t="inlineStr">
        <is>
          <t>← Auto desde 1ªORD col J</t>
        </is>
      </c>
    </row>
    <row r="10" ht="32" customHeight="1">
      <c r="B10" s="188" t="inlineStr">
        <is>
          <t>Nº
alumno</t>
        </is>
      </c>
      <c r="C10" s="188" t="inlineStr">
        <is>
          <t>Apellidos y Nombre</t>
        </is>
      </c>
      <c r="D10" s="258" t="inlineStr">
        <is>
          <t>Nota 1ªORD</t>
        </is>
      </c>
      <c r="E10" s="259" t="inlineStr">
        <is>
          <t>Nota 2ªORD
(Extraordinaria)</t>
        </is>
      </c>
      <c r="F10" s="188" t="inlineStr">
        <is>
          <t>Nota Final
(computa)</t>
        </is>
      </c>
      <c r="G10" s="188" t="inlineStr">
        <is>
          <t>Resultado</t>
        </is>
      </c>
      <c r="H10" s="188" t="inlineStr">
        <is>
          <t>Observaciones</t>
        </is>
      </c>
    </row>
    <row r="11" ht="20" customHeight="1">
      <c r="B11" s="260"/>
      <c r="C11" s="208">
        <f>IFERROR(IF(B11="","",INDEX('PAR · Alumnos'!C:C,9+B11)&amp;", "&amp;INDEX('PAR · Alumnos'!D:D,9+B11)),"")</f>
        <v/>
      </c>
      <c r="D11" s="261">
        <f>IFERROR(IF(B11="","",INDEX('PAR · 1ªORD'!J:J,10+B11)),"")</f>
        <v/>
      </c>
      <c r="E11" s="262"/>
      <c r="F11" s="249">
        <f>IF(E11="",IF(D11="","",D11),E11)</f>
        <v/>
      </c>
      <c r="G11" s="250">
        <f>IF(F11="","",IF(F11&gt;=5,"APTO","NO APTO"))</f>
        <v/>
      </c>
      <c r="H11" s="79"/>
    </row>
    <row r="12" ht="20" customHeight="1">
      <c r="B12" s="260"/>
      <c r="C12" s="208">
        <f>IFERROR(IF(B12="","",INDEX('PAR · Alumnos'!C:C,9+B12)&amp;", "&amp;INDEX('PAR · Alumnos'!D:D,9+B12)),"")</f>
        <v/>
      </c>
      <c r="D12" s="261">
        <f>IFERROR(IF(B12="","",INDEX('PAR · 1ªORD'!J:J,10+B12)),"")</f>
        <v/>
      </c>
      <c r="E12" s="262"/>
      <c r="F12" s="249">
        <f>IF(E12="",IF(D12="","",D12),E12)</f>
        <v/>
      </c>
      <c r="G12" s="251">
        <f>IF(F12="","",IF(F12&gt;=5,"APTO","NO APTO"))</f>
        <v/>
      </c>
      <c r="H12" s="78"/>
    </row>
    <row r="13" ht="20" customHeight="1">
      <c r="B13" s="260"/>
      <c r="C13" s="208">
        <f>IFERROR(IF(B13="","",INDEX('PAR · Alumnos'!C:C,9+B13)&amp;", "&amp;INDEX('PAR · Alumnos'!D:D,9+B13)),"")</f>
        <v/>
      </c>
      <c r="D13" s="261">
        <f>IFERROR(IF(B13="","",INDEX('PAR · 1ªORD'!J:J,10+B13)),"")</f>
        <v/>
      </c>
      <c r="E13" s="262"/>
      <c r="F13" s="249">
        <f>IF(E13="",IF(D13="","",D13),E13)</f>
        <v/>
      </c>
      <c r="G13" s="250">
        <f>IF(F13="","",IF(F13&gt;=5,"APTO","NO APTO"))</f>
        <v/>
      </c>
      <c r="H13" s="79"/>
    </row>
    <row r="14" ht="20" customHeight="1">
      <c r="B14" s="260"/>
      <c r="C14" s="208">
        <f>IFERROR(IF(B14="","",INDEX('PAR · Alumnos'!C:C,9+B14)&amp;", "&amp;INDEX('PAR · Alumnos'!D:D,9+B14)),"")</f>
        <v/>
      </c>
      <c r="D14" s="261">
        <f>IFERROR(IF(B14="","",INDEX('PAR · 1ªORD'!J:J,10+B14)),"")</f>
        <v/>
      </c>
      <c r="E14" s="262"/>
      <c r="F14" s="249">
        <f>IF(E14="",IF(D14="","",D14),E14)</f>
        <v/>
      </c>
      <c r="G14" s="251">
        <f>IF(F14="","",IF(F14&gt;=5,"APTO","NO APTO"))</f>
        <v/>
      </c>
      <c r="H14" s="78"/>
    </row>
    <row r="15" ht="20" customHeight="1">
      <c r="B15" s="260"/>
      <c r="C15" s="208">
        <f>IFERROR(IF(B15="","",INDEX('PAR · Alumnos'!C:C,9+B15)&amp;", "&amp;INDEX('PAR · Alumnos'!D:D,9+B15)),"")</f>
        <v/>
      </c>
      <c r="D15" s="261">
        <f>IFERROR(IF(B15="","",INDEX('PAR · 1ªORD'!J:J,10+B15)),"")</f>
        <v/>
      </c>
      <c r="E15" s="262"/>
      <c r="F15" s="249">
        <f>IF(E15="",IF(D15="","",D15),E15)</f>
        <v/>
      </c>
      <c r="G15" s="250">
        <f>IF(F15="","",IF(F15&gt;=5,"APTO","NO APTO"))</f>
        <v/>
      </c>
      <c r="H15" s="79"/>
    </row>
    <row r="16" ht="20" customHeight="1">
      <c r="B16" s="260"/>
      <c r="C16" s="208">
        <f>IFERROR(IF(B16="","",INDEX('PAR · Alumnos'!C:C,9+B16)&amp;", "&amp;INDEX('PAR · Alumnos'!D:D,9+B16)),"")</f>
        <v/>
      </c>
      <c r="D16" s="261">
        <f>IFERROR(IF(B16="","",INDEX('PAR · 1ªORD'!J:J,10+B16)),"")</f>
        <v/>
      </c>
      <c r="E16" s="262"/>
      <c r="F16" s="249">
        <f>IF(E16="",IF(D16="","",D16),E16)</f>
        <v/>
      </c>
      <c r="G16" s="251">
        <f>IF(F16="","",IF(F16&gt;=5,"APTO","NO APTO"))</f>
        <v/>
      </c>
      <c r="H16" s="78"/>
    </row>
    <row r="17" ht="20" customHeight="1">
      <c r="B17" s="260"/>
      <c r="C17" s="208">
        <f>IFERROR(IF(B17="","",INDEX('PAR · Alumnos'!C:C,9+B17)&amp;", "&amp;INDEX('PAR · Alumnos'!D:D,9+B17)),"")</f>
        <v/>
      </c>
      <c r="D17" s="261">
        <f>IFERROR(IF(B17="","",INDEX('PAR · 1ªORD'!J:J,10+B17)),"")</f>
        <v/>
      </c>
      <c r="E17" s="262"/>
      <c r="F17" s="249">
        <f>IF(E17="",IF(D17="","",D17),E17)</f>
        <v/>
      </c>
      <c r="G17" s="250">
        <f>IF(F17="","",IF(F17&gt;=5,"APTO","NO APTO"))</f>
        <v/>
      </c>
      <c r="H17" s="79"/>
    </row>
    <row r="18" ht="20" customHeight="1">
      <c r="B18" s="260"/>
      <c r="C18" s="208">
        <f>IFERROR(IF(B18="","",INDEX('PAR · Alumnos'!C:C,9+B18)&amp;", "&amp;INDEX('PAR · Alumnos'!D:D,9+B18)),"")</f>
        <v/>
      </c>
      <c r="D18" s="261">
        <f>IFERROR(IF(B18="","",INDEX('PAR · 1ªORD'!J:J,10+B18)),"")</f>
        <v/>
      </c>
      <c r="E18" s="262"/>
      <c r="F18" s="249">
        <f>IF(E18="",IF(D18="","",D18),E18)</f>
        <v/>
      </c>
      <c r="G18" s="251">
        <f>IF(F18="","",IF(F18&gt;=5,"APTO","NO APTO"))</f>
        <v/>
      </c>
      <c r="H18" s="78"/>
    </row>
    <row r="19" ht="20" customHeight="1">
      <c r="B19" s="260"/>
      <c r="C19" s="208">
        <f>IFERROR(IF(B19="","",INDEX('PAR · Alumnos'!C:C,9+B19)&amp;", "&amp;INDEX('PAR · Alumnos'!D:D,9+B19)),"")</f>
        <v/>
      </c>
      <c r="D19" s="261">
        <f>IFERROR(IF(B19="","",INDEX('PAR · 1ªORD'!J:J,10+B19)),"")</f>
        <v/>
      </c>
      <c r="E19" s="262"/>
      <c r="F19" s="249">
        <f>IF(E19="",IF(D19="","",D19),E19)</f>
        <v/>
      </c>
      <c r="G19" s="250">
        <f>IF(F19="","",IF(F19&gt;=5,"APTO","NO APTO"))</f>
        <v/>
      </c>
      <c r="H19" s="79"/>
    </row>
    <row r="20" ht="20" customHeight="1">
      <c r="B20" s="260"/>
      <c r="C20" s="208">
        <f>IFERROR(IF(B20="","",INDEX('PAR · Alumnos'!C:C,9+B20)&amp;", "&amp;INDEX('PAR · Alumnos'!D:D,9+B20)),"")</f>
        <v/>
      </c>
      <c r="D20" s="261">
        <f>IFERROR(IF(B20="","",INDEX('PAR · 1ªORD'!J:J,10+B20)),"")</f>
        <v/>
      </c>
      <c r="E20" s="262"/>
      <c r="F20" s="249">
        <f>IF(E20="",IF(D20="","",D20),E20)</f>
        <v/>
      </c>
      <c r="G20" s="251">
        <f>IF(F20="","",IF(F20&gt;=5,"APTO","NO APTO"))</f>
        <v/>
      </c>
      <c r="H20" s="78"/>
    </row>
    <row r="21" ht="20" customHeight="1">
      <c r="B21" s="260"/>
      <c r="C21" s="208">
        <f>IFERROR(IF(B21="","",INDEX('PAR · Alumnos'!C:C,9+B21)&amp;", "&amp;INDEX('PAR · Alumnos'!D:D,9+B21)),"")</f>
        <v/>
      </c>
      <c r="D21" s="261">
        <f>IFERROR(IF(B21="","",INDEX('PAR · 1ªORD'!J:J,10+B21)),"")</f>
        <v/>
      </c>
      <c r="E21" s="262"/>
      <c r="F21" s="249">
        <f>IF(E21="",IF(D21="","",D21),E21)</f>
        <v/>
      </c>
      <c r="G21" s="250">
        <f>IF(F21="","",IF(F21&gt;=5,"APTO","NO APTO"))</f>
        <v/>
      </c>
      <c r="H21" s="79"/>
    </row>
    <row r="22" ht="20" customHeight="1">
      <c r="B22" s="260"/>
      <c r="C22" s="208">
        <f>IFERROR(IF(B22="","",INDEX('PAR · Alumnos'!C:C,9+B22)&amp;", "&amp;INDEX('PAR · Alumnos'!D:D,9+B22)),"")</f>
        <v/>
      </c>
      <c r="D22" s="261">
        <f>IFERROR(IF(B22="","",INDEX('PAR · 1ªORD'!J:J,10+B22)),"")</f>
        <v/>
      </c>
      <c r="E22" s="262"/>
      <c r="F22" s="249">
        <f>IF(E22="",IF(D22="","",D22),E22)</f>
        <v/>
      </c>
      <c r="G22" s="251">
        <f>IF(F22="","",IF(F22&gt;=5,"APTO","NO APTO"))</f>
        <v/>
      </c>
      <c r="H22" s="78"/>
    </row>
    <row r="23" ht="20" customHeight="1">
      <c r="B23" s="260"/>
      <c r="C23" s="208">
        <f>IFERROR(IF(B23="","",INDEX('PAR · Alumnos'!C:C,9+B23)&amp;", "&amp;INDEX('PAR · Alumnos'!D:D,9+B23)),"")</f>
        <v/>
      </c>
      <c r="D23" s="261">
        <f>IFERROR(IF(B23="","",INDEX('PAR · 1ªORD'!J:J,10+B23)),"")</f>
        <v/>
      </c>
      <c r="E23" s="262"/>
      <c r="F23" s="249">
        <f>IF(E23="",IF(D23="","",D23),E23)</f>
        <v/>
      </c>
      <c r="G23" s="250">
        <f>IF(F23="","",IF(F23&gt;=5,"APTO","NO APTO"))</f>
        <v/>
      </c>
      <c r="H23" s="79"/>
    </row>
    <row r="24" ht="20" customHeight="1">
      <c r="B24" s="260"/>
      <c r="C24" s="208">
        <f>IFERROR(IF(B24="","",INDEX('PAR · Alumnos'!C:C,9+B24)&amp;", "&amp;INDEX('PAR · Alumnos'!D:D,9+B24)),"")</f>
        <v/>
      </c>
      <c r="D24" s="261">
        <f>IFERROR(IF(B24="","",INDEX('PAR · 1ªORD'!J:J,10+B24)),"")</f>
        <v/>
      </c>
      <c r="E24" s="262"/>
      <c r="F24" s="249">
        <f>IF(E24="",IF(D24="","",D24),E24)</f>
        <v/>
      </c>
      <c r="G24" s="251">
        <f>IF(F24="","",IF(F24&gt;=5,"APTO","NO APTO"))</f>
        <v/>
      </c>
      <c r="H24" s="78"/>
    </row>
    <row r="25" ht="20" customHeight="1">
      <c r="B25" s="260"/>
      <c r="C25" s="208">
        <f>IFERROR(IF(B25="","",INDEX('PAR · Alumnos'!C:C,9+B25)&amp;", "&amp;INDEX('PAR · Alumnos'!D:D,9+B25)),"")</f>
        <v/>
      </c>
      <c r="D25" s="261">
        <f>IFERROR(IF(B25="","",INDEX('PAR · 1ªORD'!J:J,10+B25)),"")</f>
        <v/>
      </c>
      <c r="E25" s="262"/>
      <c r="F25" s="249">
        <f>IF(E25="",IF(D25="","",D25),E25)</f>
        <v/>
      </c>
      <c r="G25" s="250">
        <f>IF(F25="","",IF(F25&gt;=5,"APTO","NO APTO"))</f>
        <v/>
      </c>
      <c r="H25" s="79"/>
    </row>
    <row r="26" ht="20" customHeight="1">
      <c r="B26" s="260"/>
      <c r="C26" s="208">
        <f>IFERROR(IF(B26="","",INDEX('PAR · Alumnos'!C:C,9+B26)&amp;", "&amp;INDEX('PAR · Alumnos'!D:D,9+B26)),"")</f>
        <v/>
      </c>
      <c r="D26" s="261">
        <f>IFERROR(IF(B26="","",INDEX('PAR · 1ªORD'!J:J,10+B26)),"")</f>
        <v/>
      </c>
      <c r="E26" s="262"/>
      <c r="F26" s="249">
        <f>IF(E26="",IF(D26="","",D26),E26)</f>
        <v/>
      </c>
      <c r="G26" s="251">
        <f>IF(F26="","",IF(F26&gt;=5,"APTO","NO APTO"))</f>
        <v/>
      </c>
      <c r="H26" s="78"/>
    </row>
    <row r="27" ht="20" customHeight="1">
      <c r="B27" s="260"/>
      <c r="C27" s="208">
        <f>IFERROR(IF(B27="","",INDEX('PAR · Alumnos'!C:C,9+B27)&amp;", "&amp;INDEX('PAR · Alumnos'!D:D,9+B27)),"")</f>
        <v/>
      </c>
      <c r="D27" s="261">
        <f>IFERROR(IF(B27="","",INDEX('PAR · 1ªORD'!J:J,10+B27)),"")</f>
        <v/>
      </c>
      <c r="E27" s="262"/>
      <c r="F27" s="249">
        <f>IF(E27="",IF(D27="","",D27),E27)</f>
        <v/>
      </c>
      <c r="G27" s="250">
        <f>IF(F27="","",IF(F27&gt;=5,"APTO","NO APTO"))</f>
        <v/>
      </c>
      <c r="H27" s="79"/>
    </row>
    <row r="28" ht="20" customHeight="1">
      <c r="B28" s="260"/>
      <c r="C28" s="208">
        <f>IFERROR(IF(B28="","",INDEX('PAR · Alumnos'!C:C,9+B28)&amp;", "&amp;INDEX('PAR · Alumnos'!D:D,9+B28)),"")</f>
        <v/>
      </c>
      <c r="D28" s="261">
        <f>IFERROR(IF(B28="","",INDEX('PAR · 1ªORD'!J:J,10+B28)),"")</f>
        <v/>
      </c>
      <c r="E28" s="262"/>
      <c r="F28" s="249">
        <f>IF(E28="",IF(D28="","",D28),E28)</f>
        <v/>
      </c>
      <c r="G28" s="251">
        <f>IF(F28="","",IF(F28&gt;=5,"APTO","NO APTO"))</f>
        <v/>
      </c>
      <c r="H28" s="78"/>
    </row>
    <row r="29" ht="20" customHeight="1">
      <c r="B29" s="260"/>
      <c r="C29" s="208">
        <f>IFERROR(IF(B29="","",INDEX('PAR · Alumnos'!C:C,9+B29)&amp;", "&amp;INDEX('PAR · Alumnos'!D:D,9+B29)),"")</f>
        <v/>
      </c>
      <c r="D29" s="261">
        <f>IFERROR(IF(B29="","",INDEX('PAR · 1ªORD'!J:J,10+B29)),"")</f>
        <v/>
      </c>
      <c r="E29" s="262"/>
      <c r="F29" s="249">
        <f>IF(E29="",IF(D29="","",D29),E29)</f>
        <v/>
      </c>
      <c r="G29" s="250">
        <f>IF(F29="","",IF(F29&gt;=5,"APTO","NO APTO"))</f>
        <v/>
      </c>
      <c r="H29" s="79"/>
    </row>
    <row r="30" ht="20" customHeight="1">
      <c r="B30" s="260"/>
      <c r="C30" s="208">
        <f>IFERROR(IF(B30="","",INDEX('PAR · Alumnos'!C:C,9+B30)&amp;", "&amp;INDEX('PAR · Alumnos'!D:D,9+B30)),"")</f>
        <v/>
      </c>
      <c r="D30" s="261">
        <f>IFERROR(IF(B30="","",INDEX('PAR · 1ªORD'!J:J,10+B30)),"")</f>
        <v/>
      </c>
      <c r="E30" s="262"/>
      <c r="F30" s="249">
        <f>IF(E30="",IF(D30="","",D30),E30)</f>
        <v/>
      </c>
      <c r="G30" s="251">
        <f>IF(F30="","",IF(F30&gt;=5,"APTO","NO APTO"))</f>
        <v/>
      </c>
      <c r="H30" s="78"/>
    </row>
    <row r="32" ht="16" customHeight="1">
      <c r="B32" s="263" t="inlineStr">
        <is>
          <t>★  Introduce el número de alumno/a (1-30) en columna B. El nombre y la nota de 1ªORD se cargarán automáticamente. El alumnado APTO en 1ª convocatoria no debe aparecer aquí.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C80"/>
  <sheetViews>
    <sheetView workbookViewId="0">
      <pane xSplit="1" ySplit="8" topLeftCell="B9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30" customWidth="1" min="4" max="4"/>
    <col width="30" customWidth="1" min="5" max="5"/>
    <col width="30" customWidth="1" min="6" max="6"/>
    <col width="9" customWidth="1" min="7" max="7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🎯 Rúbricas de Evaluación — PAR 1º ASIR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Indicadores de logro por Resultado de Aprendizaje · Planificación y Administración de Redes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6">
        <f>HYPERLINK("#PAR · Actividades!A1","📝 Actividades")</f>
        <v/>
      </c>
      <c r="F5" s="6">
        <f>HYPERLINK("#PAR · Reg. Notas!A1","📊 Reg. Notas")</f>
        <v/>
      </c>
      <c r="G5" s="6">
        <f>HYPERLINK("#PAR · Resumen!A1","📈 Resumen")</f>
        <v/>
      </c>
      <c r="H5" s="6">
        <f>HYPERLINK("#PAR · Evaluación 1!A1","Eval 1")</f>
        <v/>
      </c>
      <c r="I5" s="6">
        <f>HYPERLINK("#PAR · Evaluación 2!A1","Eval 2")</f>
        <v/>
      </c>
      <c r="J5" s="6">
        <f>HYPERLINK("#PAR · Evaluación 3!A1","Eval 3")</f>
        <v/>
      </c>
      <c r="K5" s="6">
        <f>HYPERLINK("#PAR · 1ªORD!A1","1ª ORD")</f>
        <v/>
      </c>
      <c r="L5" s="6">
        <f>HYPERLINK("#PAR · 2ªORD!A1","2ª ORD")</f>
        <v/>
      </c>
      <c r="M5" s="5" t="inlineStr">
        <is>
          <t>🎯 Rúbricas</t>
        </is>
      </c>
      <c r="N5" s="6">
        <f>HYPERLINK("#PAR · Informe Grupo!A1","📊 Inf.Grupo")</f>
        <v/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20" customHeight="1">
      <c r="B8" s="264" t="inlineStr">
        <is>
          <t>ℹ️  Rúbricas generadas automáticamente desde la Programación. Los descriptores son orientativos — edítalos para adaptarlos a tu módulo y actividades. Peso CE: distribución equitativa por defecto (modifica si lo necesitas).</t>
        </is>
      </c>
    </row>
    <row r="9" ht="20" customHeight="1">
      <c r="B9" s="265" t="inlineStr">
        <is>
          <t>RA1 · EV1 · Pond. 15%  —  Reconoce la estructura de las redes de datos describiendo sus elementos y funcionamiento.</t>
        </is>
      </c>
    </row>
    <row r="10" ht="36" customHeight="1">
      <c r="B10" s="36" t="inlineStr">
        <is>
          <t>CE / Indicador</t>
        </is>
      </c>
      <c r="C10" s="102" t="inlineStr">
        <is>
          <t>Nivel 1
No Alcanzado
(0 – 4)</t>
        </is>
      </c>
      <c r="D10" s="103" t="inlineStr">
        <is>
          <t>Nivel 2
En Proceso
(5 – 6)</t>
        </is>
      </c>
      <c r="E10" s="216" t="inlineStr">
        <is>
          <t>Nivel 3
Alcanzado
(7 – 8)</t>
        </is>
      </c>
      <c r="F10" s="101" t="inlineStr">
        <is>
          <t>Nivel 4
Sobresaliente
(9 – 10)</t>
        </is>
      </c>
      <c r="G10" s="36" t="inlineStr">
        <is>
          <t>Peso
en RA</t>
        </is>
      </c>
    </row>
    <row r="11" ht="52" customHeight="1">
      <c r="B11" s="189" t="inlineStr">
        <is>
          <t>CR1</t>
        </is>
      </c>
      <c r="C11" s="266" t="inlineStr">
        <is>
          <t>No identifica CR1 ni lo aplica en el contexto de Reconoce la estructura de las redes de datos .</t>
        </is>
      </c>
      <c r="D11" s="267" t="inlineStr">
        <is>
          <t>Identifica CR1 con ayuda; lo aplica con errores o de forma incompleta.</t>
        </is>
      </c>
      <c r="E11" s="268" t="inlineStr">
        <is>
          <t>Aplica CR1 de forma correcta y autónoma en situaciones habituales.</t>
        </is>
      </c>
      <c r="F11" s="269" t="inlineStr">
        <is>
          <t>Aplica CR1 con criterio propio en situaciones nuevas; propone mejoras.</t>
        </is>
      </c>
      <c r="G11" s="56" t="inlineStr">
        <is>
          <t>12.5%</t>
        </is>
      </c>
    </row>
    <row r="12" ht="52" customHeight="1">
      <c r="B12" s="189" t="inlineStr">
        <is>
          <t>CR2</t>
        </is>
      </c>
      <c r="C12" s="266" t="inlineStr">
        <is>
          <t>No identifica CR2 ni lo aplica en el contexto de Reconoce la estructura de las redes de datos .</t>
        </is>
      </c>
      <c r="D12" s="267" t="inlineStr">
        <is>
          <t>Identifica CR2 con ayuda; lo aplica con errores o de forma incompleta.</t>
        </is>
      </c>
      <c r="E12" s="268" t="inlineStr">
        <is>
          <t>Aplica CR2 de forma correcta y autónoma en situaciones habituales.</t>
        </is>
      </c>
      <c r="F12" s="269" t="inlineStr">
        <is>
          <t>Aplica CR2 con criterio propio en situaciones nuevas; propone mejoras.</t>
        </is>
      </c>
      <c r="G12" s="54" t="inlineStr">
        <is>
          <t>12.5%</t>
        </is>
      </c>
    </row>
    <row r="13" ht="52" customHeight="1">
      <c r="B13" s="189" t="inlineStr">
        <is>
          <t>CR3</t>
        </is>
      </c>
      <c r="C13" s="266" t="inlineStr">
        <is>
          <t>No identifica CR3 ni lo aplica en el contexto de Reconoce la estructura de las redes de datos .</t>
        </is>
      </c>
      <c r="D13" s="267" t="inlineStr">
        <is>
          <t>Identifica CR3 con ayuda; lo aplica con errores o de forma incompleta.</t>
        </is>
      </c>
      <c r="E13" s="268" t="inlineStr">
        <is>
          <t>Aplica CR3 de forma correcta y autónoma en situaciones habituales.</t>
        </is>
      </c>
      <c r="F13" s="269" t="inlineStr">
        <is>
          <t>Aplica CR3 con criterio propio en situaciones nuevas; propone mejoras.</t>
        </is>
      </c>
      <c r="G13" s="56" t="inlineStr">
        <is>
          <t>12.5%</t>
        </is>
      </c>
    </row>
    <row r="14" ht="52" customHeight="1">
      <c r="B14" s="189" t="inlineStr">
        <is>
          <t>CR4</t>
        </is>
      </c>
      <c r="C14" s="266" t="inlineStr">
        <is>
          <t>No identifica CR4 ni lo aplica en el contexto de Reconoce la estructura de las redes de datos .</t>
        </is>
      </c>
      <c r="D14" s="267" t="inlineStr">
        <is>
          <t>Identifica CR4 con ayuda; lo aplica con errores o de forma incompleta.</t>
        </is>
      </c>
      <c r="E14" s="268" t="inlineStr">
        <is>
          <t>Aplica CR4 de forma correcta y autónoma en situaciones habituales.</t>
        </is>
      </c>
      <c r="F14" s="269" t="inlineStr">
        <is>
          <t>Aplica CR4 con criterio propio en situaciones nuevas; propone mejoras.</t>
        </is>
      </c>
      <c r="G14" s="54" t="inlineStr">
        <is>
          <t>12.5%</t>
        </is>
      </c>
    </row>
    <row r="15" ht="52" customHeight="1">
      <c r="B15" s="189" t="inlineStr">
        <is>
          <t>CR5</t>
        </is>
      </c>
      <c r="C15" s="266" t="inlineStr">
        <is>
          <t>No identifica CR5 ni lo aplica en el contexto de Reconoce la estructura de las redes de datos .</t>
        </is>
      </c>
      <c r="D15" s="267" t="inlineStr">
        <is>
          <t>Identifica CR5 con ayuda; lo aplica con errores o de forma incompleta.</t>
        </is>
      </c>
      <c r="E15" s="268" t="inlineStr">
        <is>
          <t>Aplica CR5 de forma correcta y autónoma en situaciones habituales.</t>
        </is>
      </c>
      <c r="F15" s="269" t="inlineStr">
        <is>
          <t>Aplica CR5 con criterio propio en situaciones nuevas; propone mejoras.</t>
        </is>
      </c>
      <c r="G15" s="56" t="inlineStr">
        <is>
          <t>12.5%</t>
        </is>
      </c>
    </row>
    <row r="16" ht="52" customHeight="1">
      <c r="B16" s="189" t="inlineStr">
        <is>
          <t>CR6</t>
        </is>
      </c>
      <c r="C16" s="266" t="inlineStr">
        <is>
          <t>No identifica CR6 ni lo aplica en el contexto de Reconoce la estructura de las redes de datos .</t>
        </is>
      </c>
      <c r="D16" s="267" t="inlineStr">
        <is>
          <t>Identifica CR6 con ayuda; lo aplica con errores o de forma incompleta.</t>
        </is>
      </c>
      <c r="E16" s="268" t="inlineStr">
        <is>
          <t>Aplica CR6 de forma correcta y autónoma en situaciones habituales.</t>
        </is>
      </c>
      <c r="F16" s="269" t="inlineStr">
        <is>
          <t>Aplica CR6 con criterio propio en situaciones nuevas; propone mejoras.</t>
        </is>
      </c>
      <c r="G16" s="54" t="inlineStr">
        <is>
          <t>12.5%</t>
        </is>
      </c>
    </row>
    <row r="17" ht="52" customHeight="1">
      <c r="B17" s="189" t="inlineStr">
        <is>
          <t>CR7</t>
        </is>
      </c>
      <c r="C17" s="266" t="inlineStr">
        <is>
          <t>No identifica CR7 ni lo aplica en el contexto de Reconoce la estructura de las redes de datos .</t>
        </is>
      </c>
      <c r="D17" s="267" t="inlineStr">
        <is>
          <t>Identifica CR7 con ayuda; lo aplica con errores o de forma incompleta.</t>
        </is>
      </c>
      <c r="E17" s="268" t="inlineStr">
        <is>
          <t>Aplica CR7 de forma correcta y autónoma en situaciones habituales.</t>
        </is>
      </c>
      <c r="F17" s="269" t="inlineStr">
        <is>
          <t>Aplica CR7 con criterio propio en situaciones nuevas; propone mejoras.</t>
        </is>
      </c>
      <c r="G17" s="56" t="inlineStr">
        <is>
          <t>12.5%</t>
        </is>
      </c>
    </row>
    <row r="18" ht="52" customHeight="1">
      <c r="B18" s="189" t="inlineStr">
        <is>
          <t>CR8</t>
        </is>
      </c>
      <c r="C18" s="266" t="inlineStr">
        <is>
          <t>No identifica CR8 ni lo aplica en el contexto de Reconoce la estructura de las redes de datos .</t>
        </is>
      </c>
      <c r="D18" s="267" t="inlineStr">
        <is>
          <t>Identifica CR8 con ayuda; lo aplica con errores o de forma incompleta.</t>
        </is>
      </c>
      <c r="E18" s="268" t="inlineStr">
        <is>
          <t>Aplica CR8 de forma correcta y autónoma en situaciones habituales.</t>
        </is>
      </c>
      <c r="F18" s="269" t="inlineStr">
        <is>
          <t>Aplica CR8 con criterio propio en situaciones nuevas; propone mejoras.</t>
        </is>
      </c>
      <c r="G18" s="54" t="inlineStr">
        <is>
          <t>12.5%</t>
        </is>
      </c>
    </row>
    <row r="19" ht="16" customHeight="1">
      <c r="B19" s="270" t="inlineStr">
        <is>
          <t>Total: 8 indicadores · Nota RA: media ponderada de niveles × 2.5  (Nivel 1=0-4 · Nivel 2=5-6 · Nivel 3=7-8 · Nivel 4=9-10)</t>
        </is>
      </c>
      <c r="G19" s="127" t="inlineStr">
        <is>
          <t>100%</t>
        </is>
      </c>
    </row>
    <row r="20" ht="6" customHeight="1">
      <c r="B20" s="1"/>
      <c r="C20" s="1"/>
      <c r="D20" s="1"/>
      <c r="E20" s="1"/>
      <c r="F20" s="1"/>
      <c r="G20" s="1"/>
    </row>
    <row r="21" ht="20" customHeight="1">
      <c r="B21" s="271" t="inlineStr">
        <is>
          <t>RA2 · EV1 · Pond. 20%  —  Integra ordenadores y periféricos en redes cableadas e inalámbricas, evaluando su funcionamiento y prestaciones.</t>
        </is>
      </c>
    </row>
    <row r="22" ht="36" customHeight="1">
      <c r="B22" s="36" t="inlineStr">
        <is>
          <t>CE / Indicador</t>
        </is>
      </c>
      <c r="C22" s="102" t="inlineStr">
        <is>
          <t>Nivel 1
No Alcanzado
(0 – 4)</t>
        </is>
      </c>
      <c r="D22" s="103" t="inlineStr">
        <is>
          <t>Nivel 2
En Proceso
(5 – 6)</t>
        </is>
      </c>
      <c r="E22" s="216" t="inlineStr">
        <is>
          <t>Nivel 3
Alcanzado
(7 – 8)</t>
        </is>
      </c>
      <c r="F22" s="101" t="inlineStr">
        <is>
          <t>Nivel 4
Sobresaliente
(9 – 10)</t>
        </is>
      </c>
      <c r="G22" s="36" t="inlineStr">
        <is>
          <t>Peso
en RA</t>
        </is>
      </c>
    </row>
    <row r="23" ht="52" customHeight="1">
      <c r="B23" s="189" t="inlineStr">
        <is>
          <t>CR1</t>
        </is>
      </c>
      <c r="C23" s="266" t="inlineStr">
        <is>
          <t>No identifica CR1 ni lo aplica en el contexto de Integra ordenadores y periféricos en redes ca.</t>
        </is>
      </c>
      <c r="D23" s="267" t="inlineStr">
        <is>
          <t>Identifica CR1 con ayuda; lo aplica con errores o de forma incompleta.</t>
        </is>
      </c>
      <c r="E23" s="268" t="inlineStr">
        <is>
          <t>Aplica CR1 de forma correcta y autónoma en situaciones habituales.</t>
        </is>
      </c>
      <c r="F23" s="269" t="inlineStr">
        <is>
          <t>Aplica CR1 con criterio propio en situaciones nuevas; propone mejoras.</t>
        </is>
      </c>
      <c r="G23" s="62" t="inlineStr">
        <is>
          <t>14.3%</t>
        </is>
      </c>
    </row>
    <row r="24" ht="52" customHeight="1">
      <c r="B24" s="189" t="inlineStr">
        <is>
          <t>CR2</t>
        </is>
      </c>
      <c r="C24" s="266" t="inlineStr">
        <is>
          <t>No identifica CR2 ni lo aplica en el contexto de Integra ordenadores y periféricos en redes ca.</t>
        </is>
      </c>
      <c r="D24" s="267" t="inlineStr">
        <is>
          <t>Identifica CR2 con ayuda; lo aplica con errores o de forma incompleta.</t>
        </is>
      </c>
      <c r="E24" s="268" t="inlineStr">
        <is>
          <t>Aplica CR2 de forma correcta y autónoma en situaciones habituales.</t>
        </is>
      </c>
      <c r="F24" s="269" t="inlineStr">
        <is>
          <t>Aplica CR2 con criterio propio en situaciones nuevas; propone mejoras.</t>
        </is>
      </c>
      <c r="G24" s="54" t="inlineStr">
        <is>
          <t>14.3%</t>
        </is>
      </c>
    </row>
    <row r="25" ht="52" customHeight="1">
      <c r="B25" s="189" t="inlineStr">
        <is>
          <t>CR3</t>
        </is>
      </c>
      <c r="C25" s="266" t="inlineStr">
        <is>
          <t>No identifica CR3 ni lo aplica en el contexto de Integra ordenadores y periféricos en redes ca.</t>
        </is>
      </c>
      <c r="D25" s="267" t="inlineStr">
        <is>
          <t>Identifica CR3 con ayuda; lo aplica con errores o de forma incompleta.</t>
        </is>
      </c>
      <c r="E25" s="268" t="inlineStr">
        <is>
          <t>Aplica CR3 de forma correcta y autónoma en situaciones habituales.</t>
        </is>
      </c>
      <c r="F25" s="269" t="inlineStr">
        <is>
          <t>Aplica CR3 con criterio propio en situaciones nuevas; propone mejoras.</t>
        </is>
      </c>
      <c r="G25" s="62" t="inlineStr">
        <is>
          <t>14.3%</t>
        </is>
      </c>
    </row>
    <row r="26" ht="52" customHeight="1">
      <c r="B26" s="189" t="inlineStr">
        <is>
          <t>CR4</t>
        </is>
      </c>
      <c r="C26" s="266" t="inlineStr">
        <is>
          <t>No identifica CR4 ni lo aplica en el contexto de Integra ordenadores y periféricos en redes ca.</t>
        </is>
      </c>
      <c r="D26" s="267" t="inlineStr">
        <is>
          <t>Identifica CR4 con ayuda; lo aplica con errores o de forma incompleta.</t>
        </is>
      </c>
      <c r="E26" s="268" t="inlineStr">
        <is>
          <t>Aplica CR4 de forma correcta y autónoma en situaciones habituales.</t>
        </is>
      </c>
      <c r="F26" s="269" t="inlineStr">
        <is>
          <t>Aplica CR4 con criterio propio en situaciones nuevas; propone mejoras.</t>
        </is>
      </c>
      <c r="G26" s="54" t="inlineStr">
        <is>
          <t>14.3%</t>
        </is>
      </c>
    </row>
    <row r="27" ht="52" customHeight="1">
      <c r="B27" s="189" t="inlineStr">
        <is>
          <t>CR5</t>
        </is>
      </c>
      <c r="C27" s="266" t="inlineStr">
        <is>
          <t>No identifica CR5 ni lo aplica en el contexto de Integra ordenadores y periféricos en redes ca.</t>
        </is>
      </c>
      <c r="D27" s="267" t="inlineStr">
        <is>
          <t>Identifica CR5 con ayuda; lo aplica con errores o de forma incompleta.</t>
        </is>
      </c>
      <c r="E27" s="268" t="inlineStr">
        <is>
          <t>Aplica CR5 de forma correcta y autónoma en situaciones habituales.</t>
        </is>
      </c>
      <c r="F27" s="269" t="inlineStr">
        <is>
          <t>Aplica CR5 con criterio propio en situaciones nuevas; propone mejoras.</t>
        </is>
      </c>
      <c r="G27" s="62" t="inlineStr">
        <is>
          <t>14.3%</t>
        </is>
      </c>
    </row>
    <row r="28" ht="52" customHeight="1">
      <c r="B28" s="189" t="inlineStr">
        <is>
          <t>CR6</t>
        </is>
      </c>
      <c r="C28" s="266" t="inlineStr">
        <is>
          <t>No identifica CR6 ni lo aplica en el contexto de Integra ordenadores y periféricos en redes ca.</t>
        </is>
      </c>
      <c r="D28" s="267" t="inlineStr">
        <is>
          <t>Identifica CR6 con ayuda; lo aplica con errores o de forma incompleta.</t>
        </is>
      </c>
      <c r="E28" s="268" t="inlineStr">
        <is>
          <t>Aplica CR6 de forma correcta y autónoma en situaciones habituales.</t>
        </is>
      </c>
      <c r="F28" s="269" t="inlineStr">
        <is>
          <t>Aplica CR6 con criterio propio en situaciones nuevas; propone mejoras.</t>
        </is>
      </c>
      <c r="G28" s="54" t="inlineStr">
        <is>
          <t>14.3%</t>
        </is>
      </c>
    </row>
    <row r="29" ht="52" customHeight="1">
      <c r="B29" s="189" t="inlineStr">
        <is>
          <t>CR7</t>
        </is>
      </c>
      <c r="C29" s="266" t="inlineStr">
        <is>
          <t>No identifica CR7 ni lo aplica en el contexto de Integra ordenadores y periféricos en redes ca.</t>
        </is>
      </c>
      <c r="D29" s="267" t="inlineStr">
        <is>
          <t>Identifica CR7 con ayuda; lo aplica con errores o de forma incompleta.</t>
        </is>
      </c>
      <c r="E29" s="268" t="inlineStr">
        <is>
          <t>Aplica CR7 de forma correcta y autónoma en situaciones habituales.</t>
        </is>
      </c>
      <c r="F29" s="269" t="inlineStr">
        <is>
          <t>Aplica CR7 con criterio propio en situaciones nuevas; propone mejoras.</t>
        </is>
      </c>
      <c r="G29" s="62" t="inlineStr">
        <is>
          <t>14.3%</t>
        </is>
      </c>
    </row>
    <row r="30" ht="16" customHeight="1">
      <c r="B30" s="270" t="inlineStr">
        <is>
          <t>Total: 7 indicadores · Nota RA: media ponderada de niveles × 2.5  (Nivel 1=0-4 · Nivel 2=5-6 · Nivel 3=7-8 · Nivel 4=9-10)</t>
        </is>
      </c>
      <c r="G30" s="147" t="inlineStr">
        <is>
          <t>100%</t>
        </is>
      </c>
    </row>
    <row r="31" ht="6" customHeight="1">
      <c r="B31" s="1"/>
      <c r="C31" s="1"/>
      <c r="D31" s="1"/>
      <c r="E31" s="1"/>
      <c r="F31" s="1"/>
      <c r="G31" s="1"/>
    </row>
    <row r="32" ht="20" customHeight="1">
      <c r="B32" s="272" t="inlineStr">
        <is>
          <t>RA3 · EV2 · Pond. 20%  —  Administra conmutadores estableciendo opciones de configuración para su integración en la red.</t>
        </is>
      </c>
    </row>
    <row r="33" ht="36" customHeight="1">
      <c r="B33" s="36" t="inlineStr">
        <is>
          <t>CE / Indicador</t>
        </is>
      </c>
      <c r="C33" s="102" t="inlineStr">
        <is>
          <t>Nivel 1
No Alcanzado
(0 – 4)</t>
        </is>
      </c>
      <c r="D33" s="103" t="inlineStr">
        <is>
          <t>Nivel 2
En Proceso
(5 – 6)</t>
        </is>
      </c>
      <c r="E33" s="216" t="inlineStr">
        <is>
          <t>Nivel 3
Alcanzado
(7 – 8)</t>
        </is>
      </c>
      <c r="F33" s="101" t="inlineStr">
        <is>
          <t>Nivel 4
Sobresaliente
(9 – 10)</t>
        </is>
      </c>
      <c r="G33" s="36" t="inlineStr">
        <is>
          <t>Peso
en RA</t>
        </is>
      </c>
    </row>
    <row r="34" ht="52" customHeight="1">
      <c r="B34" s="189" t="inlineStr">
        <is>
          <t>CR1</t>
        </is>
      </c>
      <c r="C34" s="266" t="inlineStr">
        <is>
          <t>No identifica CR1 ni lo aplica en el contexto de Administra conmutadores estableciendo opcione.</t>
        </is>
      </c>
      <c r="D34" s="267" t="inlineStr">
        <is>
          <t>Identifica CR1 con ayuda; lo aplica con errores o de forma incompleta.</t>
        </is>
      </c>
      <c r="E34" s="268" t="inlineStr">
        <is>
          <t>Aplica CR1 de forma correcta y autónoma en situaciones habituales.</t>
        </is>
      </c>
      <c r="F34" s="269" t="inlineStr">
        <is>
          <t>Aplica CR1 con criterio propio en situaciones nuevas; propone mejoras.</t>
        </is>
      </c>
      <c r="G34" s="66" t="inlineStr">
        <is>
          <t>12.5%</t>
        </is>
      </c>
    </row>
    <row r="35" ht="52" customHeight="1">
      <c r="B35" s="189" t="inlineStr">
        <is>
          <t>CR2</t>
        </is>
      </c>
      <c r="C35" s="266" t="inlineStr">
        <is>
          <t>No identifica CR2 ni lo aplica en el contexto de Administra conmutadores estableciendo opcione.</t>
        </is>
      </c>
      <c r="D35" s="267" t="inlineStr">
        <is>
          <t>Identifica CR2 con ayuda; lo aplica con errores o de forma incompleta.</t>
        </is>
      </c>
      <c r="E35" s="268" t="inlineStr">
        <is>
          <t>Aplica CR2 de forma correcta y autónoma en situaciones habituales.</t>
        </is>
      </c>
      <c r="F35" s="269" t="inlineStr">
        <is>
          <t>Aplica CR2 con criterio propio en situaciones nuevas; propone mejoras.</t>
        </is>
      </c>
      <c r="G35" s="54" t="inlineStr">
        <is>
          <t>12.5%</t>
        </is>
      </c>
    </row>
    <row r="36" ht="52" customHeight="1">
      <c r="B36" s="189" t="inlineStr">
        <is>
          <t>CR3</t>
        </is>
      </c>
      <c r="C36" s="266" t="inlineStr">
        <is>
          <t>No identifica CR3 ni lo aplica en el contexto de Administra conmutadores estableciendo opcione.</t>
        </is>
      </c>
      <c r="D36" s="267" t="inlineStr">
        <is>
          <t>Identifica CR3 con ayuda; lo aplica con errores o de forma incompleta.</t>
        </is>
      </c>
      <c r="E36" s="268" t="inlineStr">
        <is>
          <t>Aplica CR3 de forma correcta y autónoma en situaciones habituales.</t>
        </is>
      </c>
      <c r="F36" s="269" t="inlineStr">
        <is>
          <t>Aplica CR3 con criterio propio en situaciones nuevas; propone mejoras.</t>
        </is>
      </c>
      <c r="G36" s="66" t="inlineStr">
        <is>
          <t>12.5%</t>
        </is>
      </c>
    </row>
    <row r="37" ht="52" customHeight="1">
      <c r="B37" s="189" t="inlineStr">
        <is>
          <t>CR4</t>
        </is>
      </c>
      <c r="C37" s="266" t="inlineStr">
        <is>
          <t>No identifica CR4 ni lo aplica en el contexto de Administra conmutadores estableciendo opcione.</t>
        </is>
      </c>
      <c r="D37" s="267" t="inlineStr">
        <is>
          <t>Identifica CR4 con ayuda; lo aplica con errores o de forma incompleta.</t>
        </is>
      </c>
      <c r="E37" s="268" t="inlineStr">
        <is>
          <t>Aplica CR4 de forma correcta y autónoma en situaciones habituales.</t>
        </is>
      </c>
      <c r="F37" s="269" t="inlineStr">
        <is>
          <t>Aplica CR4 con criterio propio en situaciones nuevas; propone mejoras.</t>
        </is>
      </c>
      <c r="G37" s="54" t="inlineStr">
        <is>
          <t>12.5%</t>
        </is>
      </c>
    </row>
    <row r="38" ht="52" customHeight="1">
      <c r="B38" s="189" t="inlineStr">
        <is>
          <t>CR5</t>
        </is>
      </c>
      <c r="C38" s="266" t="inlineStr">
        <is>
          <t>No identifica CR5 ni lo aplica en el contexto de Administra conmutadores estableciendo opcione.</t>
        </is>
      </c>
      <c r="D38" s="267" t="inlineStr">
        <is>
          <t>Identifica CR5 con ayuda; lo aplica con errores o de forma incompleta.</t>
        </is>
      </c>
      <c r="E38" s="268" t="inlineStr">
        <is>
          <t>Aplica CR5 de forma correcta y autónoma en situaciones habituales.</t>
        </is>
      </c>
      <c r="F38" s="269" t="inlineStr">
        <is>
          <t>Aplica CR5 con criterio propio en situaciones nuevas; propone mejoras.</t>
        </is>
      </c>
      <c r="G38" s="66" t="inlineStr">
        <is>
          <t>12.5%</t>
        </is>
      </c>
    </row>
    <row r="39" ht="52" customHeight="1">
      <c r="B39" s="189" t="inlineStr">
        <is>
          <t>CR6</t>
        </is>
      </c>
      <c r="C39" s="266" t="inlineStr">
        <is>
          <t>No identifica CR6 ni lo aplica en el contexto de Administra conmutadores estableciendo opcione.</t>
        </is>
      </c>
      <c r="D39" s="267" t="inlineStr">
        <is>
          <t>Identifica CR6 con ayuda; lo aplica con errores o de forma incompleta.</t>
        </is>
      </c>
      <c r="E39" s="268" t="inlineStr">
        <is>
          <t>Aplica CR6 de forma correcta y autónoma en situaciones habituales.</t>
        </is>
      </c>
      <c r="F39" s="269" t="inlineStr">
        <is>
          <t>Aplica CR6 con criterio propio en situaciones nuevas; propone mejoras.</t>
        </is>
      </c>
      <c r="G39" s="54" t="inlineStr">
        <is>
          <t>12.5%</t>
        </is>
      </c>
    </row>
    <row r="40" ht="52" customHeight="1">
      <c r="B40" s="189" t="inlineStr">
        <is>
          <t>CR7</t>
        </is>
      </c>
      <c r="C40" s="266" t="inlineStr">
        <is>
          <t>No identifica CR7 ni lo aplica en el contexto de Administra conmutadores estableciendo opcione.</t>
        </is>
      </c>
      <c r="D40" s="267" t="inlineStr">
        <is>
          <t>Identifica CR7 con ayuda; lo aplica con errores o de forma incompleta.</t>
        </is>
      </c>
      <c r="E40" s="268" t="inlineStr">
        <is>
          <t>Aplica CR7 de forma correcta y autónoma en situaciones habituales.</t>
        </is>
      </c>
      <c r="F40" s="269" t="inlineStr">
        <is>
          <t>Aplica CR7 con criterio propio en situaciones nuevas; propone mejoras.</t>
        </is>
      </c>
      <c r="G40" s="66" t="inlineStr">
        <is>
          <t>12.5%</t>
        </is>
      </c>
    </row>
    <row r="41" ht="52" customHeight="1">
      <c r="B41" s="189" t="inlineStr">
        <is>
          <t>CR8</t>
        </is>
      </c>
      <c r="C41" s="266" t="inlineStr">
        <is>
          <t>No identifica CR8 ni lo aplica en el contexto de Administra conmutadores estableciendo opcione.</t>
        </is>
      </c>
      <c r="D41" s="267" t="inlineStr">
        <is>
          <t>Identifica CR8 con ayuda; lo aplica con errores o de forma incompleta.</t>
        </is>
      </c>
      <c r="E41" s="268" t="inlineStr">
        <is>
          <t>Aplica CR8 de forma correcta y autónoma en situaciones habituales.</t>
        </is>
      </c>
      <c r="F41" s="269" t="inlineStr">
        <is>
          <t>Aplica CR8 con criterio propio en situaciones nuevas; propone mejoras.</t>
        </is>
      </c>
      <c r="G41" s="54" t="inlineStr">
        <is>
          <t>12.5%</t>
        </is>
      </c>
    </row>
    <row r="42" ht="16" customHeight="1">
      <c r="B42" s="270" t="inlineStr">
        <is>
          <t>Total: 8 indicadores · Nota RA: media ponderada de niveles × 2.5  (Nivel 1=0-4 · Nivel 2=5-6 · Nivel 3=7-8 · Nivel 4=9-10)</t>
        </is>
      </c>
      <c r="G42" s="157" t="inlineStr">
        <is>
          <t>100%</t>
        </is>
      </c>
    </row>
    <row r="43" ht="6" customHeight="1">
      <c r="B43" s="1"/>
      <c r="C43" s="1"/>
      <c r="D43" s="1"/>
      <c r="E43" s="1"/>
      <c r="F43" s="1"/>
      <c r="G43" s="1"/>
    </row>
    <row r="44" ht="20" customHeight="1">
      <c r="B44" s="273" t="inlineStr">
        <is>
          <t>RA4 · EV2 · Pond. 25%  —  Administra las funciones de un router estableciendo opciones de configuración para su integración en la red.</t>
        </is>
      </c>
    </row>
    <row r="45" ht="36" customHeight="1">
      <c r="B45" s="36" t="inlineStr">
        <is>
          <t>CE / Indicador</t>
        </is>
      </c>
      <c r="C45" s="102" t="inlineStr">
        <is>
          <t>Nivel 1
No Alcanzado
(0 – 4)</t>
        </is>
      </c>
      <c r="D45" s="103" t="inlineStr">
        <is>
          <t>Nivel 2
En Proceso
(5 – 6)</t>
        </is>
      </c>
      <c r="E45" s="216" t="inlineStr">
        <is>
          <t>Nivel 3
Alcanzado
(7 – 8)</t>
        </is>
      </c>
      <c r="F45" s="101" t="inlineStr">
        <is>
          <t>Nivel 4
Sobresaliente
(9 – 10)</t>
        </is>
      </c>
      <c r="G45" s="36" t="inlineStr">
        <is>
          <t>Peso
en RA</t>
        </is>
      </c>
    </row>
    <row r="46" ht="52" customHeight="1">
      <c r="B46" s="189" t="inlineStr">
        <is>
          <t>CR1</t>
        </is>
      </c>
      <c r="C46" s="266" t="inlineStr">
        <is>
          <t>No identifica CR1 ni lo aplica en el contexto de Administra las funciones de un router estable.</t>
        </is>
      </c>
      <c r="D46" s="267" t="inlineStr">
        <is>
          <t>Identifica CR1 con ayuda; lo aplica con errores o de forma incompleta.</t>
        </is>
      </c>
      <c r="E46" s="268" t="inlineStr">
        <is>
          <t>Aplica CR1 de forma correcta y autónoma en situaciones habituales.</t>
        </is>
      </c>
      <c r="F46" s="269" t="inlineStr">
        <is>
          <t>Aplica CR1 con criterio propio en situaciones nuevas; propone mejoras.</t>
        </is>
      </c>
      <c r="G46" s="68" t="inlineStr">
        <is>
          <t>8.3%</t>
        </is>
      </c>
    </row>
    <row r="47" ht="52" customHeight="1">
      <c r="B47" s="189" t="inlineStr">
        <is>
          <t>CR2</t>
        </is>
      </c>
      <c r="C47" s="266" t="inlineStr">
        <is>
          <t>No identifica CR2 ni lo aplica en el contexto de Administra las funciones de un router estable.</t>
        </is>
      </c>
      <c r="D47" s="267" t="inlineStr">
        <is>
          <t>Identifica CR2 con ayuda; lo aplica con errores o de forma incompleta.</t>
        </is>
      </c>
      <c r="E47" s="268" t="inlineStr">
        <is>
          <t>Aplica CR2 de forma correcta y autónoma en situaciones habituales.</t>
        </is>
      </c>
      <c r="F47" s="269" t="inlineStr">
        <is>
          <t>Aplica CR2 con criterio propio en situaciones nuevas; propone mejoras.</t>
        </is>
      </c>
      <c r="G47" s="54" t="inlineStr">
        <is>
          <t>8.3%</t>
        </is>
      </c>
    </row>
    <row r="48" ht="52" customHeight="1">
      <c r="B48" s="189" t="inlineStr">
        <is>
          <t>CR3</t>
        </is>
      </c>
      <c r="C48" s="266" t="inlineStr">
        <is>
          <t>No identifica CR3 ni lo aplica en el contexto de Administra las funciones de un router estable.</t>
        </is>
      </c>
      <c r="D48" s="267" t="inlineStr">
        <is>
          <t>Identifica CR3 con ayuda; lo aplica con errores o de forma incompleta.</t>
        </is>
      </c>
      <c r="E48" s="268" t="inlineStr">
        <is>
          <t>Aplica CR3 de forma correcta y autónoma en situaciones habituales.</t>
        </is>
      </c>
      <c r="F48" s="269" t="inlineStr">
        <is>
          <t>Aplica CR3 con criterio propio en situaciones nuevas; propone mejoras.</t>
        </is>
      </c>
      <c r="G48" s="68" t="inlineStr">
        <is>
          <t>8.3%</t>
        </is>
      </c>
    </row>
    <row r="49" ht="52" customHeight="1">
      <c r="B49" s="189" t="inlineStr">
        <is>
          <t>CR4</t>
        </is>
      </c>
      <c r="C49" s="266" t="inlineStr">
        <is>
          <t>No identifica CR4 ni lo aplica en el contexto de Administra las funciones de un router estable.</t>
        </is>
      </c>
      <c r="D49" s="267" t="inlineStr">
        <is>
          <t>Identifica CR4 con ayuda; lo aplica con errores o de forma incompleta.</t>
        </is>
      </c>
      <c r="E49" s="268" t="inlineStr">
        <is>
          <t>Aplica CR4 de forma correcta y autónoma en situaciones habituales.</t>
        </is>
      </c>
      <c r="F49" s="269" t="inlineStr">
        <is>
          <t>Aplica CR4 con criterio propio en situaciones nuevas; propone mejoras.</t>
        </is>
      </c>
      <c r="G49" s="54" t="inlineStr">
        <is>
          <t>8.3%</t>
        </is>
      </c>
    </row>
    <row r="50" ht="52" customHeight="1">
      <c r="B50" s="189" t="inlineStr">
        <is>
          <t>CR5</t>
        </is>
      </c>
      <c r="C50" s="266" t="inlineStr">
        <is>
          <t>No identifica CR5 ni lo aplica en el contexto de Administra las funciones de un router estable.</t>
        </is>
      </c>
      <c r="D50" s="267" t="inlineStr">
        <is>
          <t>Identifica CR5 con ayuda; lo aplica con errores o de forma incompleta.</t>
        </is>
      </c>
      <c r="E50" s="268" t="inlineStr">
        <is>
          <t>Aplica CR5 de forma correcta y autónoma en situaciones habituales.</t>
        </is>
      </c>
      <c r="F50" s="269" t="inlineStr">
        <is>
          <t>Aplica CR5 con criterio propio en situaciones nuevas; propone mejoras.</t>
        </is>
      </c>
      <c r="G50" s="68" t="inlineStr">
        <is>
          <t>8.3%</t>
        </is>
      </c>
    </row>
    <row r="51" ht="52" customHeight="1">
      <c r="B51" s="189" t="inlineStr">
        <is>
          <t>CR6</t>
        </is>
      </c>
      <c r="C51" s="266" t="inlineStr">
        <is>
          <t>No identifica CR6 ni lo aplica en el contexto de Administra las funciones de un router estable.</t>
        </is>
      </c>
      <c r="D51" s="267" t="inlineStr">
        <is>
          <t>Identifica CR6 con ayuda; lo aplica con errores o de forma incompleta.</t>
        </is>
      </c>
      <c r="E51" s="268" t="inlineStr">
        <is>
          <t>Aplica CR6 de forma correcta y autónoma en situaciones habituales.</t>
        </is>
      </c>
      <c r="F51" s="269" t="inlineStr">
        <is>
          <t>Aplica CR6 con criterio propio en situaciones nuevas; propone mejoras.</t>
        </is>
      </c>
      <c r="G51" s="54" t="inlineStr">
        <is>
          <t>8.3%</t>
        </is>
      </c>
    </row>
    <row r="52" ht="52" customHeight="1">
      <c r="B52" s="189" t="inlineStr">
        <is>
          <t>CR7</t>
        </is>
      </c>
      <c r="C52" s="266" t="inlineStr">
        <is>
          <t>No identifica CR7 ni lo aplica en el contexto de Administra las funciones de un router estable.</t>
        </is>
      </c>
      <c r="D52" s="267" t="inlineStr">
        <is>
          <t>Identifica CR7 con ayuda; lo aplica con errores o de forma incompleta.</t>
        </is>
      </c>
      <c r="E52" s="268" t="inlineStr">
        <is>
          <t>Aplica CR7 de forma correcta y autónoma en situaciones habituales.</t>
        </is>
      </c>
      <c r="F52" s="269" t="inlineStr">
        <is>
          <t>Aplica CR7 con criterio propio en situaciones nuevas; propone mejoras.</t>
        </is>
      </c>
      <c r="G52" s="68" t="inlineStr">
        <is>
          <t>8.3%</t>
        </is>
      </c>
    </row>
    <row r="53" ht="52" customHeight="1">
      <c r="B53" s="189" t="inlineStr">
        <is>
          <t>CR8</t>
        </is>
      </c>
      <c r="C53" s="266" t="inlineStr">
        <is>
          <t>No identifica CR8 ni lo aplica en el contexto de Administra las funciones de un router estable.</t>
        </is>
      </c>
      <c r="D53" s="267" t="inlineStr">
        <is>
          <t>Identifica CR8 con ayuda; lo aplica con errores o de forma incompleta.</t>
        </is>
      </c>
      <c r="E53" s="268" t="inlineStr">
        <is>
          <t>Aplica CR8 de forma correcta y autónoma en situaciones habituales.</t>
        </is>
      </c>
      <c r="F53" s="269" t="inlineStr">
        <is>
          <t>Aplica CR8 con criterio propio en situaciones nuevas; propone mejoras.</t>
        </is>
      </c>
      <c r="G53" s="54" t="inlineStr">
        <is>
          <t>8.3%</t>
        </is>
      </c>
    </row>
    <row r="54" ht="52" customHeight="1">
      <c r="B54" s="189" t="inlineStr">
        <is>
          <t>CR9</t>
        </is>
      </c>
      <c r="C54" s="266" t="inlineStr">
        <is>
          <t>No identifica CR9 ni lo aplica en el contexto de Administra las funciones de un router estable.</t>
        </is>
      </c>
      <c r="D54" s="267" t="inlineStr">
        <is>
          <t>Identifica CR9 con ayuda; lo aplica con errores o de forma incompleta.</t>
        </is>
      </c>
      <c r="E54" s="268" t="inlineStr">
        <is>
          <t>Aplica CR9 de forma correcta y autónoma en situaciones habituales.</t>
        </is>
      </c>
      <c r="F54" s="269" t="inlineStr">
        <is>
          <t>Aplica CR9 con criterio propio en situaciones nuevas; propone mejoras.</t>
        </is>
      </c>
      <c r="G54" s="68" t="inlineStr">
        <is>
          <t>8.3%</t>
        </is>
      </c>
    </row>
    <row r="55" ht="52" customHeight="1">
      <c r="B55" s="189" t="inlineStr">
        <is>
          <t>CR10</t>
        </is>
      </c>
      <c r="C55" s="266" t="inlineStr">
        <is>
          <t>No identifica CR10 ni lo aplica en el contexto de Administra las funciones de un router estable.</t>
        </is>
      </c>
      <c r="D55" s="267" t="inlineStr">
        <is>
          <t>Identifica CR10 con ayuda; lo aplica con errores o de forma incompleta.</t>
        </is>
      </c>
      <c r="E55" s="268" t="inlineStr">
        <is>
          <t>Aplica CR10 de forma correcta y autónoma en situaciones habituales.</t>
        </is>
      </c>
      <c r="F55" s="269" t="inlineStr">
        <is>
          <t>Aplica CR10 con criterio propio en situaciones nuevas; propone mejoras.</t>
        </is>
      </c>
      <c r="G55" s="54" t="inlineStr">
        <is>
          <t>8.3%</t>
        </is>
      </c>
    </row>
    <row r="56" ht="52" customHeight="1">
      <c r="B56" s="189" t="inlineStr">
        <is>
          <t>CR11</t>
        </is>
      </c>
      <c r="C56" s="266" t="inlineStr">
        <is>
          <t>No identifica CR11 ni lo aplica en el contexto de Administra las funciones de un router estable.</t>
        </is>
      </c>
      <c r="D56" s="267" t="inlineStr">
        <is>
          <t>Identifica CR11 con ayuda; lo aplica con errores o de forma incompleta.</t>
        </is>
      </c>
      <c r="E56" s="268" t="inlineStr">
        <is>
          <t>Aplica CR11 de forma correcta y autónoma en situaciones habituales.</t>
        </is>
      </c>
      <c r="F56" s="269" t="inlineStr">
        <is>
          <t>Aplica CR11 con criterio propio en situaciones nuevas; propone mejoras.</t>
        </is>
      </c>
      <c r="G56" s="68" t="inlineStr">
        <is>
          <t>8.3%</t>
        </is>
      </c>
    </row>
    <row r="57" ht="52" customHeight="1">
      <c r="B57" s="189" t="inlineStr">
        <is>
          <t>CR12</t>
        </is>
      </c>
      <c r="C57" s="266" t="inlineStr">
        <is>
          <t>No identifica CR12 ni lo aplica en el contexto de Administra las funciones de un router estable.</t>
        </is>
      </c>
      <c r="D57" s="267" t="inlineStr">
        <is>
          <t>Identifica CR12 con ayuda; lo aplica con errores o de forma incompleta.</t>
        </is>
      </c>
      <c r="E57" s="268" t="inlineStr">
        <is>
          <t>Aplica CR12 de forma correcta y autónoma en situaciones habituales.</t>
        </is>
      </c>
      <c r="F57" s="269" t="inlineStr">
        <is>
          <t>Aplica CR12 con criterio propio en situaciones nuevas; propone mejoras.</t>
        </is>
      </c>
      <c r="G57" s="54" t="inlineStr">
        <is>
          <t>8.3%</t>
        </is>
      </c>
    </row>
    <row r="58" ht="16" customHeight="1">
      <c r="B58" s="270" t="inlineStr">
        <is>
          <t>Total: 12 indicadores · Nota RA: media ponderada de niveles × 2.5  (Nivel 1=0-4 · Nivel 2=5-6 · Nivel 3=7-8 · Nivel 4=9-10)</t>
        </is>
      </c>
      <c r="G58" s="252" t="inlineStr">
        <is>
          <t>100%</t>
        </is>
      </c>
    </row>
    <row r="59" ht="6" customHeight="1">
      <c r="B59" s="1"/>
      <c r="C59" s="1"/>
      <c r="D59" s="1"/>
      <c r="E59" s="1"/>
      <c r="F59" s="1"/>
      <c r="G59" s="1"/>
    </row>
    <row r="60" ht="20" customHeight="1">
      <c r="B60" s="274" t="inlineStr">
        <is>
          <t>RA5 · EV2 · Pond. 10%  —  Configura redes inalámbricas en modo infraestructura describiendo sus características y relacionándolas con su área de aplicación.</t>
        </is>
      </c>
    </row>
    <row r="61" ht="36" customHeight="1">
      <c r="B61" s="36" t="inlineStr">
        <is>
          <t>CE / Indicador</t>
        </is>
      </c>
      <c r="C61" s="102" t="inlineStr">
        <is>
          <t>Nivel 1
No Alcanzado
(0 – 4)</t>
        </is>
      </c>
      <c r="D61" s="103" t="inlineStr">
        <is>
          <t>Nivel 2
En Proceso
(5 – 6)</t>
        </is>
      </c>
      <c r="E61" s="216" t="inlineStr">
        <is>
          <t>Nivel 3
Alcanzado
(7 – 8)</t>
        </is>
      </c>
      <c r="F61" s="101" t="inlineStr">
        <is>
          <t>Nivel 4
Sobresaliente
(9 – 10)</t>
        </is>
      </c>
      <c r="G61" s="36" t="inlineStr">
        <is>
          <t>Peso
en RA</t>
        </is>
      </c>
    </row>
    <row r="62" ht="52" customHeight="1">
      <c r="B62" s="189" t="inlineStr">
        <is>
          <t>CR1</t>
        </is>
      </c>
      <c r="C62" s="266" t="inlineStr">
        <is>
          <t>No identifica CR1 ni lo aplica en el contexto de Configura redes inalámbricas en modo infraest.</t>
        </is>
      </c>
      <c r="D62" s="267" t="inlineStr">
        <is>
          <t>Identifica CR1 con ayuda; lo aplica con errores o de forma incompleta.</t>
        </is>
      </c>
      <c r="E62" s="268" t="inlineStr">
        <is>
          <t>Aplica CR1 de forma correcta y autónoma en situaciones habituales.</t>
        </is>
      </c>
      <c r="F62" s="269" t="inlineStr">
        <is>
          <t>Aplica CR1 con criterio propio en situaciones nuevas; propone mejoras.</t>
        </is>
      </c>
      <c r="G62" s="70" t="inlineStr">
        <is>
          <t>16.7%</t>
        </is>
      </c>
    </row>
    <row r="63" ht="52" customHeight="1">
      <c r="B63" s="189" t="inlineStr">
        <is>
          <t>CR2</t>
        </is>
      </c>
      <c r="C63" s="266" t="inlineStr">
        <is>
          <t>No identifica CR2 ni lo aplica en el contexto de Configura redes inalámbricas en modo infraest.</t>
        </is>
      </c>
      <c r="D63" s="267" t="inlineStr">
        <is>
          <t>Identifica CR2 con ayuda; lo aplica con errores o de forma incompleta.</t>
        </is>
      </c>
      <c r="E63" s="268" t="inlineStr">
        <is>
          <t>Aplica CR2 de forma correcta y autónoma en situaciones habituales.</t>
        </is>
      </c>
      <c r="F63" s="269" t="inlineStr">
        <is>
          <t>Aplica CR2 con criterio propio en situaciones nuevas; propone mejoras.</t>
        </is>
      </c>
      <c r="G63" s="54" t="inlineStr">
        <is>
          <t>16.7%</t>
        </is>
      </c>
    </row>
    <row r="64" ht="52" customHeight="1">
      <c r="B64" s="189" t="inlineStr">
        <is>
          <t>CR3</t>
        </is>
      </c>
      <c r="C64" s="266" t="inlineStr">
        <is>
          <t>No identifica CR3 ni lo aplica en el contexto de Configura redes inalámbricas en modo infraest.</t>
        </is>
      </c>
      <c r="D64" s="267" t="inlineStr">
        <is>
          <t>Identifica CR3 con ayuda; lo aplica con errores o de forma incompleta.</t>
        </is>
      </c>
      <c r="E64" s="268" t="inlineStr">
        <is>
          <t>Aplica CR3 de forma correcta y autónoma en situaciones habituales.</t>
        </is>
      </c>
      <c r="F64" s="269" t="inlineStr">
        <is>
          <t>Aplica CR3 con criterio propio en situaciones nuevas; propone mejoras.</t>
        </is>
      </c>
      <c r="G64" s="70" t="inlineStr">
        <is>
          <t>16.7%</t>
        </is>
      </c>
    </row>
    <row r="65" ht="52" customHeight="1">
      <c r="B65" s="189" t="inlineStr">
        <is>
          <t>CR4</t>
        </is>
      </c>
      <c r="C65" s="266" t="inlineStr">
        <is>
          <t>No identifica CR4 ni lo aplica en el contexto de Configura redes inalámbricas en modo infraest.</t>
        </is>
      </c>
      <c r="D65" s="267" t="inlineStr">
        <is>
          <t>Identifica CR4 con ayuda; lo aplica con errores o de forma incompleta.</t>
        </is>
      </c>
      <c r="E65" s="268" t="inlineStr">
        <is>
          <t>Aplica CR4 de forma correcta y autónoma en situaciones habituales.</t>
        </is>
      </c>
      <c r="F65" s="269" t="inlineStr">
        <is>
          <t>Aplica CR4 con criterio propio en situaciones nuevas; propone mejoras.</t>
        </is>
      </c>
      <c r="G65" s="54" t="inlineStr">
        <is>
          <t>16.7%</t>
        </is>
      </c>
    </row>
    <row r="66" ht="52" customHeight="1">
      <c r="B66" s="189" t="inlineStr">
        <is>
          <t>CR5</t>
        </is>
      </c>
      <c r="C66" s="266" t="inlineStr">
        <is>
          <t>No identifica CR5 ni lo aplica en el contexto de Configura redes inalámbricas en modo infraest.</t>
        </is>
      </c>
      <c r="D66" s="267" t="inlineStr">
        <is>
          <t>Identifica CR5 con ayuda; lo aplica con errores o de forma incompleta.</t>
        </is>
      </c>
      <c r="E66" s="268" t="inlineStr">
        <is>
          <t>Aplica CR5 de forma correcta y autónoma en situaciones habituales.</t>
        </is>
      </c>
      <c r="F66" s="269" t="inlineStr">
        <is>
          <t>Aplica CR5 con criterio propio en situaciones nuevas; propone mejoras.</t>
        </is>
      </c>
      <c r="G66" s="70" t="inlineStr">
        <is>
          <t>16.7%</t>
        </is>
      </c>
    </row>
    <row r="67" ht="52" customHeight="1">
      <c r="B67" s="189" t="inlineStr">
        <is>
          <t>CR6</t>
        </is>
      </c>
      <c r="C67" s="266" t="inlineStr">
        <is>
          <t>No identifica CR6 ni lo aplica en el contexto de Configura redes inalámbricas en modo infraest.</t>
        </is>
      </c>
      <c r="D67" s="267" t="inlineStr">
        <is>
          <t>Identifica CR6 con ayuda; lo aplica con errores o de forma incompleta.</t>
        </is>
      </c>
      <c r="E67" s="268" t="inlineStr">
        <is>
          <t>Aplica CR6 de forma correcta y autónoma en situaciones habituales.</t>
        </is>
      </c>
      <c r="F67" s="269" t="inlineStr">
        <is>
          <t>Aplica CR6 con criterio propio en situaciones nuevas; propone mejoras.</t>
        </is>
      </c>
      <c r="G67" s="54" t="inlineStr">
        <is>
          <t>16.7%</t>
        </is>
      </c>
    </row>
    <row r="68" ht="16" customHeight="1">
      <c r="B68" s="270" t="inlineStr">
        <is>
          <t>Total: 6 indicadores · Nota RA: media ponderada de niveles × 2.5  (Nivel 1=0-4 · Nivel 2=5-6 · Nivel 3=7-8 · Nivel 4=9-10)</t>
        </is>
      </c>
      <c r="G68" s="253" t="inlineStr">
        <is>
          <t>100%</t>
        </is>
      </c>
    </row>
    <row r="69" ht="6" customHeight="1">
      <c r="B69" s="1"/>
      <c r="C69" s="1"/>
      <c r="D69" s="1"/>
      <c r="E69" s="1"/>
      <c r="F69" s="1"/>
      <c r="G69" s="1"/>
    </row>
    <row r="70" ht="20" customHeight="1">
      <c r="B70" s="277" t="inlineStr">
        <is>
          <t>🏢 DUAL · RA6 · EV3 · Pond. 10%  —  Soluciona problemas de conectividad en redes locales y en redes con salida a Internet identificando las causas y describiendo las soluciones.</t>
        </is>
      </c>
    </row>
    <row r="71" ht="36" customHeight="1">
      <c r="B71" s="36" t="inlineStr">
        <is>
          <t>CE / Indicador</t>
        </is>
      </c>
      <c r="C71" s="102" t="inlineStr">
        <is>
          <t>Nivel 1
No Alcanzado
(0 – 4)</t>
        </is>
      </c>
      <c r="D71" s="103" t="inlineStr">
        <is>
          <t>Nivel 2
En Proceso
(5 – 6)</t>
        </is>
      </c>
      <c r="E71" s="216" t="inlineStr">
        <is>
          <t>Nivel 3
Alcanzado
(7 – 8)</t>
        </is>
      </c>
      <c r="F71" s="101" t="inlineStr">
        <is>
          <t>Nivel 4
Sobresaliente
(9 – 10)</t>
        </is>
      </c>
      <c r="G71" s="36" t="inlineStr">
        <is>
          <t>Peso
en RA</t>
        </is>
      </c>
    </row>
    <row r="72" ht="52" customHeight="1">
      <c r="B72" s="189" t="inlineStr">
        <is>
          <t>CR1</t>
        </is>
      </c>
      <c r="C72" s="266" t="inlineStr">
        <is>
          <t>No identifica CR1 ni lo aplica en el contexto de Soluciona problemas de conectividad en redes .</t>
        </is>
      </c>
      <c r="D72" s="267" t="inlineStr">
        <is>
          <t>Identifica CR1 con ayuda; lo aplica con errores o de forma incompleta.</t>
        </is>
      </c>
      <c r="E72" s="268" t="inlineStr">
        <is>
          <t>Aplica CR1 de forma correcta y autónoma en situaciones habituales.</t>
        </is>
      </c>
      <c r="F72" s="269" t="inlineStr">
        <is>
          <t>Aplica CR1 con criterio propio en situaciones nuevas; propone mejoras.</t>
        </is>
      </c>
      <c r="G72" s="72" t="inlineStr">
        <is>
          <t>14.3%</t>
        </is>
      </c>
    </row>
    <row r="73" ht="52" customHeight="1">
      <c r="B73" s="189" t="inlineStr">
        <is>
          <t>CR2</t>
        </is>
      </c>
      <c r="C73" s="266" t="inlineStr">
        <is>
          <t>No identifica CR2 ni lo aplica en el contexto de Soluciona problemas de conectividad en redes .</t>
        </is>
      </c>
      <c r="D73" s="267" t="inlineStr">
        <is>
          <t>Identifica CR2 con ayuda; lo aplica con errores o de forma incompleta.</t>
        </is>
      </c>
      <c r="E73" s="268" t="inlineStr">
        <is>
          <t>Aplica CR2 de forma correcta y autónoma en situaciones habituales.</t>
        </is>
      </c>
      <c r="F73" s="269" t="inlineStr">
        <is>
          <t>Aplica CR2 con criterio propio en situaciones nuevas; propone mejoras.</t>
        </is>
      </c>
      <c r="G73" s="54" t="inlineStr">
        <is>
          <t>14.3%</t>
        </is>
      </c>
    </row>
    <row r="74" ht="52" customHeight="1">
      <c r="B74" s="189" t="inlineStr">
        <is>
          <t>CR3</t>
        </is>
      </c>
      <c r="C74" s="266" t="inlineStr">
        <is>
          <t>No identifica CR3 ni lo aplica en el contexto de Soluciona problemas de conectividad en redes .</t>
        </is>
      </c>
      <c r="D74" s="267" t="inlineStr">
        <is>
          <t>Identifica CR3 con ayuda; lo aplica con errores o de forma incompleta.</t>
        </is>
      </c>
      <c r="E74" s="268" t="inlineStr">
        <is>
          <t>Aplica CR3 de forma correcta y autónoma en situaciones habituales.</t>
        </is>
      </c>
      <c r="F74" s="269" t="inlineStr">
        <is>
          <t>Aplica CR3 con criterio propio en situaciones nuevas; propone mejoras.</t>
        </is>
      </c>
      <c r="G74" s="72" t="inlineStr">
        <is>
          <t>14.3%</t>
        </is>
      </c>
    </row>
    <row r="75" ht="52" customHeight="1">
      <c r="B75" s="189" t="inlineStr">
        <is>
          <t>CR4</t>
        </is>
      </c>
      <c r="C75" s="266" t="inlineStr">
        <is>
          <t>No identifica CR4 ni lo aplica en el contexto de Soluciona problemas de conectividad en redes .</t>
        </is>
      </c>
      <c r="D75" s="267" t="inlineStr">
        <is>
          <t>Identifica CR4 con ayuda; lo aplica con errores o de forma incompleta.</t>
        </is>
      </c>
      <c r="E75" s="268" t="inlineStr">
        <is>
          <t>Aplica CR4 de forma correcta y autónoma en situaciones habituales.</t>
        </is>
      </c>
      <c r="F75" s="269" t="inlineStr">
        <is>
          <t>Aplica CR4 con criterio propio en situaciones nuevas; propone mejoras.</t>
        </is>
      </c>
      <c r="G75" s="54" t="inlineStr">
        <is>
          <t>14.3%</t>
        </is>
      </c>
    </row>
    <row r="76" ht="52" customHeight="1">
      <c r="B76" s="189" t="inlineStr">
        <is>
          <t>CR5</t>
        </is>
      </c>
      <c r="C76" s="266" t="inlineStr">
        <is>
          <t>No identifica CR5 ni lo aplica en el contexto de Soluciona problemas de conectividad en redes .</t>
        </is>
      </c>
      <c r="D76" s="267" t="inlineStr">
        <is>
          <t>Identifica CR5 con ayuda; lo aplica con errores o de forma incompleta.</t>
        </is>
      </c>
      <c r="E76" s="268" t="inlineStr">
        <is>
          <t>Aplica CR5 de forma correcta y autónoma en situaciones habituales.</t>
        </is>
      </c>
      <c r="F76" s="269" t="inlineStr">
        <is>
          <t>Aplica CR5 con criterio propio en situaciones nuevas; propone mejoras.</t>
        </is>
      </c>
      <c r="G76" s="72" t="inlineStr">
        <is>
          <t>14.3%</t>
        </is>
      </c>
    </row>
    <row r="77" ht="52" customHeight="1">
      <c r="B77" s="189" t="inlineStr">
        <is>
          <t>CR6</t>
        </is>
      </c>
      <c r="C77" s="266" t="inlineStr">
        <is>
          <t>No identifica CR6 ni lo aplica en el contexto de Soluciona problemas de conectividad en redes .</t>
        </is>
      </c>
      <c r="D77" s="267" t="inlineStr">
        <is>
          <t>Identifica CR6 con ayuda; lo aplica con errores o de forma incompleta.</t>
        </is>
      </c>
      <c r="E77" s="268" t="inlineStr">
        <is>
          <t>Aplica CR6 de forma correcta y autónoma en situaciones habituales.</t>
        </is>
      </c>
      <c r="F77" s="269" t="inlineStr">
        <is>
          <t>Aplica CR6 con criterio propio en situaciones nuevas; propone mejoras.</t>
        </is>
      </c>
      <c r="G77" s="54" t="inlineStr">
        <is>
          <t>14.3%</t>
        </is>
      </c>
    </row>
    <row r="78" ht="52" customHeight="1">
      <c r="B78" s="189" t="inlineStr">
        <is>
          <t>CR7</t>
        </is>
      </c>
      <c r="C78" s="266" t="inlineStr">
        <is>
          <t>No identifica CR7 ni lo aplica en el contexto de Soluciona problemas de conectividad en redes .</t>
        </is>
      </c>
      <c r="D78" s="267" t="inlineStr">
        <is>
          <t>Identifica CR7 con ayuda; lo aplica con errores o de forma incompleta.</t>
        </is>
      </c>
      <c r="E78" s="268" t="inlineStr">
        <is>
          <t>Aplica CR7 de forma correcta y autónoma en situaciones habituales.</t>
        </is>
      </c>
      <c r="F78" s="269" t="inlineStr">
        <is>
          <t>Aplica CR7 con criterio propio en situaciones nuevas; propone mejoras.</t>
        </is>
      </c>
      <c r="G78" s="72" t="inlineStr">
        <is>
          <t>14.3%</t>
        </is>
      </c>
    </row>
    <row r="79" ht="16" customHeight="1">
      <c r="B79" s="270" t="inlineStr">
        <is>
          <t>Total: 7 indicadores · Nota RA: media ponderada de niveles × 2.5  (Nivel 1=0-4 · Nivel 2=5-6 · Nivel 3=7-8 · Nivel 4=9-10)</t>
        </is>
      </c>
      <c r="G79" s="278" t="inlineStr">
        <is>
          <t>100%</t>
        </is>
      </c>
    </row>
    <row r="80" ht="6" customHeight="1">
      <c r="B80" s="1"/>
      <c r="C80" s="1"/>
      <c r="D80" s="1"/>
      <c r="E80" s="1"/>
      <c r="F80" s="1"/>
      <c r="G80" s="1"/>
    </row>
  </sheetData>
  <mergeCells count="15">
    <mergeCell ref="B30:F30"/>
    <mergeCell ref="B68:F68"/>
    <mergeCell ref="B60:G60"/>
    <mergeCell ref="B44:G44"/>
    <mergeCell ref="B42:F42"/>
    <mergeCell ref="B9:G9"/>
    <mergeCell ref="B19:F19"/>
    <mergeCell ref="B8:G8"/>
    <mergeCell ref="B32:G32"/>
    <mergeCell ref="B79:F79"/>
    <mergeCell ref="B2:K2"/>
    <mergeCell ref="B70:G70"/>
    <mergeCell ref="B21:G21"/>
    <mergeCell ref="B58:F58"/>
    <mergeCell ref="B3:K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📈 Informe de Grupo — PAR 1º ASIR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Estadísticas y seguimiento del grupo · Planificación y Administración de Redes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6">
        <f>HYPERLINK("#PAR · Actividades!A1","📝 Actividades")</f>
        <v/>
      </c>
      <c r="F5" s="6">
        <f>HYPERLINK("#PAR · Reg. Notas!A1","📊 Reg. Notas")</f>
        <v/>
      </c>
      <c r="G5" s="6">
        <f>HYPERLINK("#PAR · Resumen!A1","📈 Resumen")</f>
        <v/>
      </c>
      <c r="H5" s="6">
        <f>HYPERLINK("#PAR · Evaluación 1!A1","Eval 1")</f>
        <v/>
      </c>
      <c r="I5" s="6">
        <f>HYPERLINK("#PAR · Evaluación 2!A1","Eval 2")</f>
        <v/>
      </c>
      <c r="J5" s="6">
        <f>HYPERLINK("#PAR · Evaluación 3!A1","Eval 3")</f>
        <v/>
      </c>
      <c r="K5" s="6">
        <f>HYPERLINK("#PAR · 1ªORD!A1","1ª ORD")</f>
        <v/>
      </c>
      <c r="L5" s="6">
        <f>HYPERLINK("#PAR · 2ªORD!A1","2ª ORD")</f>
        <v/>
      </c>
      <c r="M5" s="6">
        <f>HYPERLINK("#PAR · Rúbricas!A1","🎯 Rúbricas")</f>
        <v/>
      </c>
      <c r="N5" s="5" t="inlineStr">
        <is>
          <t>📊 Inf.Grupo</t>
        </is>
      </c>
      <c r="O5" s="6">
        <f>HYPERLINK("#PAR · Boletín!A1","📄 Boletín")</f>
        <v/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22" customHeight="1">
      <c r="B8" s="279" t="inlineStr">
        <is>
          <t>📊  ESTADÍSTICAS DEL GRUPO</t>
        </is>
      </c>
    </row>
    <row r="9" ht="20" customHeight="1">
      <c r="B9" s="9" t="inlineStr">
        <is>
          <t>Alumnos registrados</t>
        </is>
      </c>
      <c r="C9" s="280">
        <f>COUNTA({_sr('Alumnos')}!C10:C39)</f>
        <v/>
      </c>
    </row>
    <row r="10" ht="20" customHeight="1">
      <c r="B10" s="11" t="inlineStr">
        <is>
          <t>Activos</t>
        </is>
      </c>
      <c r="C10" s="280">
        <f>COUNTIF({_sr('Alumnos')}!J10:J39,"Activo")</f>
        <v/>
      </c>
    </row>
    <row r="11" ht="20" customHeight="1">
      <c r="B11" s="9" t="inlineStr">
        <is>
          <t>Aprobados en 1ªORD (≥5)</t>
        </is>
      </c>
      <c r="C11" s="281">
        <f>COUNTIF('PAR · 1ªORD'!K11:K40,"APTO")</f>
        <v/>
      </c>
    </row>
    <row r="12" ht="20" customHeight="1">
      <c r="B12" s="11" t="inlineStr">
        <is>
          <t>Suspensos en 1ªORD (&lt;5)</t>
        </is>
      </c>
      <c r="C12" s="282">
        <f>COUNTIF('PAR · 1ªORD'!K11:K40,"NO APTO")</f>
        <v/>
      </c>
    </row>
    <row r="13" ht="20" customHeight="1">
      <c r="B13" s="9" t="inlineStr">
        <is>
          <t>Media del grupo</t>
        </is>
      </c>
      <c r="C13" s="283">
        <f>IFERROR(ROUND(AVERAGEIF('PAR · 1ªORD'!K11:K40,"&lt;&gt;",'PAR · 1ªORD'!J11:J40),2),"")</f>
        <v/>
      </c>
    </row>
    <row r="14" ht="20" customHeight="1">
      <c r="B14" s="11" t="inlineStr">
        <is>
          <t>Nota máxima</t>
        </is>
      </c>
      <c r="C14" s="284">
        <f>IFERROR(MAX('PAR · 1ªORD'!J11:J40),"")</f>
        <v/>
      </c>
    </row>
    <row r="15" ht="20" customHeight="1">
      <c r="B15" s="9" t="inlineStr">
        <is>
          <t>Nota mínima (activos)</t>
        </is>
      </c>
      <c r="C15" s="285">
        <f>IFERROR(MINIFS('PAR · 1ªORD'!J11:J40,'PAR · 1ªORD'!J11:J40,"&gt;0"),"")</f>
        <v/>
      </c>
    </row>
    <row r="16" ht="20" customHeight="1">
      <c r="B16" s="11" t="inlineStr">
        <is>
          <t>En riesgo (&lt;4 en nota final)</t>
        </is>
      </c>
      <c r="C16" s="286">
        <f>COUNTIFS('PAR · 1ªORD'!J11:J40,"&lt;4",'PAR · 1ªORD'!J11:J40,"&gt;0")</f>
        <v/>
      </c>
    </row>
    <row r="18" ht="20" customHeight="1">
      <c r="B18" s="287" t="inlineStr">
        <is>
          <t>📊  MEDIA DEL GRUPO POR RESULTADO DE APRENDIZAJE</t>
        </is>
      </c>
    </row>
    <row r="19" ht="28" customHeight="1">
      <c r="B19" s="216" t="inlineStr">
        <is>
          <t>RA1
(15%)</t>
        </is>
      </c>
      <c r="C19" s="103" t="inlineStr">
        <is>
          <t>RA2
(20%)</t>
        </is>
      </c>
      <c r="D19" s="226" t="inlineStr">
        <is>
          <t>RA3
(20%)</t>
        </is>
      </c>
      <c r="E19" s="227" t="inlineStr">
        <is>
          <t>RA4
(25%)</t>
        </is>
      </c>
      <c r="F19" s="206" t="inlineStr">
        <is>
          <t>RA5
(10%)</t>
        </is>
      </c>
      <c r="G19" s="102" t="inlineStr">
        <is>
          <t>RA6
(10%)</t>
        </is>
      </c>
    </row>
    <row r="20" ht="20" customHeight="1">
      <c r="B20" s="289">
        <f>IFERROR(ROUND(AVERAGEIF('PAR · 1ªORD'!D11:D40,"&gt;0",'PAR · 1ªORD'!D11:D40),2),"")</f>
        <v/>
      </c>
      <c r="C20" s="290">
        <f>IFERROR(ROUND(AVERAGEIF('PAR · 1ªORD'!E11:E40,"&gt;0",'PAR · 1ªORD'!E11:E40),2),"")</f>
        <v/>
      </c>
      <c r="D20" s="291">
        <f>IFERROR(ROUND(AVERAGEIF('PAR · 1ªORD'!F11:F40,"&gt;0",'PAR · 1ªORD'!F11:F40),2),"")</f>
        <v/>
      </c>
      <c r="E20" s="292">
        <f>IFERROR(ROUND(AVERAGEIF('PAR · 1ªORD'!G11:G40,"&gt;0",'PAR · 1ªORD'!G11:G40),2),"")</f>
        <v/>
      </c>
      <c r="F20" s="293">
        <f>IFERROR(ROUND(AVERAGEIF('PAR · 1ªORD'!H11:H40,"&gt;0",'PAR · 1ªORD'!H11:H40),2),"")</f>
        <v/>
      </c>
      <c r="G20" s="294">
        <f>IFERROR(ROUND(AVERAGEIF('PAR · 1ªORD'!I11:I40,"&gt;0",'PAR · 1ªORD'!I11:I40),2),"")</f>
        <v/>
      </c>
    </row>
    <row r="22" ht="20" customHeight="1">
      <c r="B22" s="279" t="inlineStr">
        <is>
          <t>👥  LISTADO COMPLETO — NOTAS FINALES</t>
        </is>
      </c>
    </row>
    <row r="23" ht="30" customHeight="1">
      <c r="B23" s="36" t="inlineStr">
        <is>
          <t>Nº</t>
        </is>
      </c>
      <c r="C23" s="36" t="inlineStr">
        <is>
          <t>Apellidos y Nombre</t>
        </is>
      </c>
      <c r="D23" s="216" t="inlineStr">
        <is>
          <t>RA1</t>
        </is>
      </c>
      <c r="E23" s="103" t="inlineStr">
        <is>
          <t>RA2</t>
        </is>
      </c>
      <c r="F23" s="226" t="inlineStr">
        <is>
          <t>RA3</t>
        </is>
      </c>
      <c r="G23" s="227" t="inlineStr">
        <is>
          <t>RA4</t>
        </is>
      </c>
      <c r="H23" s="206" t="inlineStr">
        <is>
          <t>RA5</t>
        </is>
      </c>
      <c r="I23" s="102" t="inlineStr">
        <is>
          <t>RA6</t>
        </is>
      </c>
      <c r="J23" s="36" t="inlineStr">
        <is>
          <t>Nota Final</t>
        </is>
      </c>
      <c r="K23" s="36" t="inlineStr">
        <is>
          <t>Resultado</t>
        </is>
      </c>
    </row>
    <row r="24" ht="18" customHeight="1">
      <c r="B24" s="207" t="n">
        <v>1</v>
      </c>
      <c r="C24" s="208">
        <f>IFERROR(INDEX('PAR · 1ªORD'!C:C,11),"")</f>
        <v/>
      </c>
      <c r="D24" s="218">
        <f>IFERROR(INDEX('PAR · 1ªORD'!D:D,11),"")</f>
        <v/>
      </c>
      <c r="E24" s="219">
        <f>IFERROR(INDEX('PAR · 1ªORD'!E:E,11),"")</f>
        <v/>
      </c>
      <c r="F24" s="228">
        <f>IFERROR(INDEX('PAR · 1ªORD'!F:F,11),"")</f>
        <v/>
      </c>
      <c r="G24" s="229">
        <f>IFERROR(INDEX('PAR · 1ªORD'!G:G,11),"")</f>
        <v/>
      </c>
      <c r="H24" s="230">
        <f>IFERROR(INDEX('PAR · 1ªORD'!H:H,11),"")</f>
        <v/>
      </c>
      <c r="I24" s="235">
        <f>IFERROR(INDEX('PAR · 1ªORD'!I:I,11),"")</f>
        <v/>
      </c>
      <c r="J24" s="297">
        <f>IFERROR(INDEX('PAR · 1ªORD'!J:J,11),"")</f>
        <v/>
      </c>
      <c r="K24" s="298">
        <f>IFERROR(INDEX('PAR · 1ªORD'!K:K,11),"")</f>
        <v/>
      </c>
    </row>
    <row r="25" ht="18" customHeight="1">
      <c r="B25" s="207" t="n">
        <v>2</v>
      </c>
      <c r="C25" s="208">
        <f>IFERROR(INDEX('PAR · 1ªORD'!C:C,12),"")</f>
        <v/>
      </c>
      <c r="D25" s="218">
        <f>IFERROR(INDEX('PAR · 1ªORD'!D:D,12),"")</f>
        <v/>
      </c>
      <c r="E25" s="219">
        <f>IFERROR(INDEX('PAR · 1ªORD'!E:E,12),"")</f>
        <v/>
      </c>
      <c r="F25" s="228">
        <f>IFERROR(INDEX('PAR · 1ªORD'!F:F,12),"")</f>
        <v/>
      </c>
      <c r="G25" s="229">
        <f>IFERROR(INDEX('PAR · 1ªORD'!G:G,12),"")</f>
        <v/>
      </c>
      <c r="H25" s="230">
        <f>IFERROR(INDEX('PAR · 1ªORD'!H:H,12),"")</f>
        <v/>
      </c>
      <c r="I25" s="235">
        <f>IFERROR(INDEX('PAR · 1ªORD'!I:I,12),"")</f>
        <v/>
      </c>
      <c r="J25" s="249">
        <f>IFERROR(INDEX('PAR · 1ªORD'!J:J,12),"")</f>
        <v/>
      </c>
      <c r="K25" s="88">
        <f>IFERROR(INDEX('PAR · 1ªORD'!K:K,12),"")</f>
        <v/>
      </c>
    </row>
    <row r="26" ht="18" customHeight="1">
      <c r="B26" s="207" t="n">
        <v>3</v>
      </c>
      <c r="C26" s="208">
        <f>IFERROR(INDEX('PAR · 1ªORD'!C:C,13),"")</f>
        <v/>
      </c>
      <c r="D26" s="218">
        <f>IFERROR(INDEX('PAR · 1ªORD'!D:D,13),"")</f>
        <v/>
      </c>
      <c r="E26" s="219">
        <f>IFERROR(INDEX('PAR · 1ªORD'!E:E,13),"")</f>
        <v/>
      </c>
      <c r="F26" s="228">
        <f>IFERROR(INDEX('PAR · 1ªORD'!F:F,13),"")</f>
        <v/>
      </c>
      <c r="G26" s="229">
        <f>IFERROR(INDEX('PAR · 1ªORD'!G:G,13),"")</f>
        <v/>
      </c>
      <c r="H26" s="230">
        <f>IFERROR(INDEX('PAR · 1ªORD'!H:H,13),"")</f>
        <v/>
      </c>
      <c r="I26" s="235">
        <f>IFERROR(INDEX('PAR · 1ªORD'!I:I,13),"")</f>
        <v/>
      </c>
      <c r="J26" s="297">
        <f>IFERROR(INDEX('PAR · 1ªORD'!J:J,13),"")</f>
        <v/>
      </c>
      <c r="K26" s="298">
        <f>IFERROR(INDEX('PAR · 1ªORD'!K:K,13),"")</f>
        <v/>
      </c>
    </row>
    <row r="27" ht="18" customHeight="1">
      <c r="B27" s="207" t="n">
        <v>4</v>
      </c>
      <c r="C27" s="208">
        <f>IFERROR(INDEX('PAR · 1ªORD'!C:C,14),"")</f>
        <v/>
      </c>
      <c r="D27" s="218">
        <f>IFERROR(INDEX('PAR · 1ªORD'!D:D,14),"")</f>
        <v/>
      </c>
      <c r="E27" s="219">
        <f>IFERROR(INDEX('PAR · 1ªORD'!E:E,14),"")</f>
        <v/>
      </c>
      <c r="F27" s="228">
        <f>IFERROR(INDEX('PAR · 1ªORD'!F:F,14),"")</f>
        <v/>
      </c>
      <c r="G27" s="229">
        <f>IFERROR(INDEX('PAR · 1ªORD'!G:G,14),"")</f>
        <v/>
      </c>
      <c r="H27" s="230">
        <f>IFERROR(INDEX('PAR · 1ªORD'!H:H,14),"")</f>
        <v/>
      </c>
      <c r="I27" s="235">
        <f>IFERROR(INDEX('PAR · 1ªORD'!I:I,14),"")</f>
        <v/>
      </c>
      <c r="J27" s="249">
        <f>IFERROR(INDEX('PAR · 1ªORD'!J:J,14),"")</f>
        <v/>
      </c>
      <c r="K27" s="88">
        <f>IFERROR(INDEX('PAR · 1ªORD'!K:K,14),"")</f>
        <v/>
      </c>
    </row>
    <row r="28" ht="18" customHeight="1">
      <c r="B28" s="207" t="n">
        <v>5</v>
      </c>
      <c r="C28" s="208">
        <f>IFERROR(INDEX('PAR · 1ªORD'!C:C,15),"")</f>
        <v/>
      </c>
      <c r="D28" s="218">
        <f>IFERROR(INDEX('PAR · 1ªORD'!D:D,15),"")</f>
        <v/>
      </c>
      <c r="E28" s="219">
        <f>IFERROR(INDEX('PAR · 1ªORD'!E:E,15),"")</f>
        <v/>
      </c>
      <c r="F28" s="228">
        <f>IFERROR(INDEX('PAR · 1ªORD'!F:F,15),"")</f>
        <v/>
      </c>
      <c r="G28" s="229">
        <f>IFERROR(INDEX('PAR · 1ªORD'!G:G,15),"")</f>
        <v/>
      </c>
      <c r="H28" s="230">
        <f>IFERROR(INDEX('PAR · 1ªORD'!H:H,15),"")</f>
        <v/>
      </c>
      <c r="I28" s="235">
        <f>IFERROR(INDEX('PAR · 1ªORD'!I:I,15),"")</f>
        <v/>
      </c>
      <c r="J28" s="297">
        <f>IFERROR(INDEX('PAR · 1ªORD'!J:J,15),"")</f>
        <v/>
      </c>
      <c r="K28" s="298">
        <f>IFERROR(INDEX('PAR · 1ªORD'!K:K,15),"")</f>
        <v/>
      </c>
    </row>
    <row r="29" ht="18" customHeight="1">
      <c r="B29" s="207" t="n">
        <v>6</v>
      </c>
      <c r="C29" s="208">
        <f>IFERROR(INDEX('PAR · 1ªORD'!C:C,16),"")</f>
        <v/>
      </c>
      <c r="D29" s="218">
        <f>IFERROR(INDEX('PAR · 1ªORD'!D:D,16),"")</f>
        <v/>
      </c>
      <c r="E29" s="219">
        <f>IFERROR(INDEX('PAR · 1ªORD'!E:E,16),"")</f>
        <v/>
      </c>
      <c r="F29" s="228">
        <f>IFERROR(INDEX('PAR · 1ªORD'!F:F,16),"")</f>
        <v/>
      </c>
      <c r="G29" s="229">
        <f>IFERROR(INDEX('PAR · 1ªORD'!G:G,16),"")</f>
        <v/>
      </c>
      <c r="H29" s="230">
        <f>IFERROR(INDEX('PAR · 1ªORD'!H:H,16),"")</f>
        <v/>
      </c>
      <c r="I29" s="235">
        <f>IFERROR(INDEX('PAR · 1ªORD'!I:I,16),"")</f>
        <v/>
      </c>
      <c r="J29" s="249">
        <f>IFERROR(INDEX('PAR · 1ªORD'!J:J,16),"")</f>
        <v/>
      </c>
      <c r="K29" s="88">
        <f>IFERROR(INDEX('PAR · 1ªORD'!K:K,16),"")</f>
        <v/>
      </c>
    </row>
    <row r="30" ht="18" customHeight="1">
      <c r="B30" s="207" t="n">
        <v>7</v>
      </c>
      <c r="C30" s="208">
        <f>IFERROR(INDEX('PAR · 1ªORD'!C:C,17),"")</f>
        <v/>
      </c>
      <c r="D30" s="218">
        <f>IFERROR(INDEX('PAR · 1ªORD'!D:D,17),"")</f>
        <v/>
      </c>
      <c r="E30" s="219">
        <f>IFERROR(INDEX('PAR · 1ªORD'!E:E,17),"")</f>
        <v/>
      </c>
      <c r="F30" s="228">
        <f>IFERROR(INDEX('PAR · 1ªORD'!F:F,17),"")</f>
        <v/>
      </c>
      <c r="G30" s="229">
        <f>IFERROR(INDEX('PAR · 1ªORD'!G:G,17),"")</f>
        <v/>
      </c>
      <c r="H30" s="230">
        <f>IFERROR(INDEX('PAR · 1ªORD'!H:H,17),"")</f>
        <v/>
      </c>
      <c r="I30" s="235">
        <f>IFERROR(INDEX('PAR · 1ªORD'!I:I,17),"")</f>
        <v/>
      </c>
      <c r="J30" s="297">
        <f>IFERROR(INDEX('PAR · 1ªORD'!J:J,17),"")</f>
        <v/>
      </c>
      <c r="K30" s="298">
        <f>IFERROR(INDEX('PAR · 1ªORD'!K:K,17),"")</f>
        <v/>
      </c>
    </row>
    <row r="31" ht="18" customHeight="1">
      <c r="B31" s="207" t="n">
        <v>8</v>
      </c>
      <c r="C31" s="208">
        <f>IFERROR(INDEX('PAR · 1ªORD'!C:C,18),"")</f>
        <v/>
      </c>
      <c r="D31" s="218">
        <f>IFERROR(INDEX('PAR · 1ªORD'!D:D,18),"")</f>
        <v/>
      </c>
      <c r="E31" s="219">
        <f>IFERROR(INDEX('PAR · 1ªORD'!E:E,18),"")</f>
        <v/>
      </c>
      <c r="F31" s="228">
        <f>IFERROR(INDEX('PAR · 1ªORD'!F:F,18),"")</f>
        <v/>
      </c>
      <c r="G31" s="229">
        <f>IFERROR(INDEX('PAR · 1ªORD'!G:G,18),"")</f>
        <v/>
      </c>
      <c r="H31" s="230">
        <f>IFERROR(INDEX('PAR · 1ªORD'!H:H,18),"")</f>
        <v/>
      </c>
      <c r="I31" s="235">
        <f>IFERROR(INDEX('PAR · 1ªORD'!I:I,18),"")</f>
        <v/>
      </c>
      <c r="J31" s="249">
        <f>IFERROR(INDEX('PAR · 1ªORD'!J:J,18),"")</f>
        <v/>
      </c>
      <c r="K31" s="88">
        <f>IFERROR(INDEX('PAR · 1ªORD'!K:K,18),"")</f>
        <v/>
      </c>
    </row>
    <row r="32" ht="18" customHeight="1">
      <c r="B32" s="207" t="n">
        <v>9</v>
      </c>
      <c r="C32" s="208">
        <f>IFERROR(INDEX('PAR · 1ªORD'!C:C,19),"")</f>
        <v/>
      </c>
      <c r="D32" s="218">
        <f>IFERROR(INDEX('PAR · 1ªORD'!D:D,19),"")</f>
        <v/>
      </c>
      <c r="E32" s="219">
        <f>IFERROR(INDEX('PAR · 1ªORD'!E:E,19),"")</f>
        <v/>
      </c>
      <c r="F32" s="228">
        <f>IFERROR(INDEX('PAR · 1ªORD'!F:F,19),"")</f>
        <v/>
      </c>
      <c r="G32" s="229">
        <f>IFERROR(INDEX('PAR · 1ªORD'!G:G,19),"")</f>
        <v/>
      </c>
      <c r="H32" s="230">
        <f>IFERROR(INDEX('PAR · 1ªORD'!H:H,19),"")</f>
        <v/>
      </c>
      <c r="I32" s="235">
        <f>IFERROR(INDEX('PAR · 1ªORD'!I:I,19),"")</f>
        <v/>
      </c>
      <c r="J32" s="297">
        <f>IFERROR(INDEX('PAR · 1ªORD'!J:J,19),"")</f>
        <v/>
      </c>
      <c r="K32" s="298">
        <f>IFERROR(INDEX('PAR · 1ªORD'!K:K,19),"")</f>
        <v/>
      </c>
    </row>
    <row r="33" ht="18" customHeight="1">
      <c r="B33" s="207" t="n">
        <v>10</v>
      </c>
      <c r="C33" s="208">
        <f>IFERROR(INDEX('PAR · 1ªORD'!C:C,20),"")</f>
        <v/>
      </c>
      <c r="D33" s="218">
        <f>IFERROR(INDEX('PAR · 1ªORD'!D:D,20),"")</f>
        <v/>
      </c>
      <c r="E33" s="219">
        <f>IFERROR(INDEX('PAR · 1ªORD'!E:E,20),"")</f>
        <v/>
      </c>
      <c r="F33" s="228">
        <f>IFERROR(INDEX('PAR · 1ªORD'!F:F,20),"")</f>
        <v/>
      </c>
      <c r="G33" s="229">
        <f>IFERROR(INDEX('PAR · 1ªORD'!G:G,20),"")</f>
        <v/>
      </c>
      <c r="H33" s="230">
        <f>IFERROR(INDEX('PAR · 1ªORD'!H:H,20),"")</f>
        <v/>
      </c>
      <c r="I33" s="235">
        <f>IFERROR(INDEX('PAR · 1ªORD'!I:I,20),"")</f>
        <v/>
      </c>
      <c r="J33" s="249">
        <f>IFERROR(INDEX('PAR · 1ªORD'!J:J,20),"")</f>
        <v/>
      </c>
      <c r="K33" s="88">
        <f>IFERROR(INDEX('PAR · 1ªORD'!K:K,20),"")</f>
        <v/>
      </c>
    </row>
    <row r="34" ht="18" customHeight="1">
      <c r="B34" s="207" t="n">
        <v>11</v>
      </c>
      <c r="C34" s="208">
        <f>IFERROR(INDEX('PAR · 1ªORD'!C:C,21),"")</f>
        <v/>
      </c>
      <c r="D34" s="218">
        <f>IFERROR(INDEX('PAR · 1ªORD'!D:D,21),"")</f>
        <v/>
      </c>
      <c r="E34" s="219">
        <f>IFERROR(INDEX('PAR · 1ªORD'!E:E,21),"")</f>
        <v/>
      </c>
      <c r="F34" s="228">
        <f>IFERROR(INDEX('PAR · 1ªORD'!F:F,21),"")</f>
        <v/>
      </c>
      <c r="G34" s="229">
        <f>IFERROR(INDEX('PAR · 1ªORD'!G:G,21),"")</f>
        <v/>
      </c>
      <c r="H34" s="230">
        <f>IFERROR(INDEX('PAR · 1ªORD'!H:H,21),"")</f>
        <v/>
      </c>
      <c r="I34" s="235">
        <f>IFERROR(INDEX('PAR · 1ªORD'!I:I,21),"")</f>
        <v/>
      </c>
      <c r="J34" s="297">
        <f>IFERROR(INDEX('PAR · 1ªORD'!J:J,21),"")</f>
        <v/>
      </c>
      <c r="K34" s="298">
        <f>IFERROR(INDEX('PAR · 1ªORD'!K:K,21),"")</f>
        <v/>
      </c>
    </row>
    <row r="35" ht="18" customHeight="1">
      <c r="B35" s="207" t="n">
        <v>12</v>
      </c>
      <c r="C35" s="208">
        <f>IFERROR(INDEX('PAR · 1ªORD'!C:C,22),"")</f>
        <v/>
      </c>
      <c r="D35" s="218">
        <f>IFERROR(INDEX('PAR · 1ªORD'!D:D,22),"")</f>
        <v/>
      </c>
      <c r="E35" s="219">
        <f>IFERROR(INDEX('PAR · 1ªORD'!E:E,22),"")</f>
        <v/>
      </c>
      <c r="F35" s="228">
        <f>IFERROR(INDEX('PAR · 1ªORD'!F:F,22),"")</f>
        <v/>
      </c>
      <c r="G35" s="229">
        <f>IFERROR(INDEX('PAR · 1ªORD'!G:G,22),"")</f>
        <v/>
      </c>
      <c r="H35" s="230">
        <f>IFERROR(INDEX('PAR · 1ªORD'!H:H,22),"")</f>
        <v/>
      </c>
      <c r="I35" s="235">
        <f>IFERROR(INDEX('PAR · 1ªORD'!I:I,22),"")</f>
        <v/>
      </c>
      <c r="J35" s="249">
        <f>IFERROR(INDEX('PAR · 1ªORD'!J:J,22),"")</f>
        <v/>
      </c>
      <c r="K35" s="88">
        <f>IFERROR(INDEX('PAR · 1ªORD'!K:K,22),"")</f>
        <v/>
      </c>
    </row>
    <row r="36" ht="18" customHeight="1">
      <c r="B36" s="207" t="n">
        <v>13</v>
      </c>
      <c r="C36" s="208">
        <f>IFERROR(INDEX('PAR · 1ªORD'!C:C,23),"")</f>
        <v/>
      </c>
      <c r="D36" s="218">
        <f>IFERROR(INDEX('PAR · 1ªORD'!D:D,23),"")</f>
        <v/>
      </c>
      <c r="E36" s="219">
        <f>IFERROR(INDEX('PAR · 1ªORD'!E:E,23),"")</f>
        <v/>
      </c>
      <c r="F36" s="228">
        <f>IFERROR(INDEX('PAR · 1ªORD'!F:F,23),"")</f>
        <v/>
      </c>
      <c r="G36" s="229">
        <f>IFERROR(INDEX('PAR · 1ªORD'!G:G,23),"")</f>
        <v/>
      </c>
      <c r="H36" s="230">
        <f>IFERROR(INDEX('PAR · 1ªORD'!H:H,23),"")</f>
        <v/>
      </c>
      <c r="I36" s="235">
        <f>IFERROR(INDEX('PAR · 1ªORD'!I:I,23),"")</f>
        <v/>
      </c>
      <c r="J36" s="297">
        <f>IFERROR(INDEX('PAR · 1ªORD'!J:J,23),"")</f>
        <v/>
      </c>
      <c r="K36" s="298">
        <f>IFERROR(INDEX('PAR · 1ªORD'!K:K,23),"")</f>
        <v/>
      </c>
    </row>
    <row r="37" ht="18" customHeight="1">
      <c r="B37" s="207" t="n">
        <v>14</v>
      </c>
      <c r="C37" s="208">
        <f>IFERROR(INDEX('PAR · 1ªORD'!C:C,24),"")</f>
        <v/>
      </c>
      <c r="D37" s="218">
        <f>IFERROR(INDEX('PAR · 1ªORD'!D:D,24),"")</f>
        <v/>
      </c>
      <c r="E37" s="219">
        <f>IFERROR(INDEX('PAR · 1ªORD'!E:E,24),"")</f>
        <v/>
      </c>
      <c r="F37" s="228">
        <f>IFERROR(INDEX('PAR · 1ªORD'!F:F,24),"")</f>
        <v/>
      </c>
      <c r="G37" s="229">
        <f>IFERROR(INDEX('PAR · 1ªORD'!G:G,24),"")</f>
        <v/>
      </c>
      <c r="H37" s="230">
        <f>IFERROR(INDEX('PAR · 1ªORD'!H:H,24),"")</f>
        <v/>
      </c>
      <c r="I37" s="235">
        <f>IFERROR(INDEX('PAR · 1ªORD'!I:I,24),"")</f>
        <v/>
      </c>
      <c r="J37" s="249">
        <f>IFERROR(INDEX('PAR · 1ªORD'!J:J,24),"")</f>
        <v/>
      </c>
      <c r="K37" s="88">
        <f>IFERROR(INDEX('PAR · 1ªORD'!K:K,24),"")</f>
        <v/>
      </c>
    </row>
    <row r="38" ht="18" customHeight="1">
      <c r="B38" s="207" t="n">
        <v>15</v>
      </c>
      <c r="C38" s="208">
        <f>IFERROR(INDEX('PAR · 1ªORD'!C:C,25),"")</f>
        <v/>
      </c>
      <c r="D38" s="218">
        <f>IFERROR(INDEX('PAR · 1ªORD'!D:D,25),"")</f>
        <v/>
      </c>
      <c r="E38" s="219">
        <f>IFERROR(INDEX('PAR · 1ªORD'!E:E,25),"")</f>
        <v/>
      </c>
      <c r="F38" s="228">
        <f>IFERROR(INDEX('PAR · 1ªORD'!F:F,25),"")</f>
        <v/>
      </c>
      <c r="G38" s="229">
        <f>IFERROR(INDEX('PAR · 1ªORD'!G:G,25),"")</f>
        <v/>
      </c>
      <c r="H38" s="230">
        <f>IFERROR(INDEX('PAR · 1ªORD'!H:H,25),"")</f>
        <v/>
      </c>
      <c r="I38" s="235">
        <f>IFERROR(INDEX('PAR · 1ªORD'!I:I,25),"")</f>
        <v/>
      </c>
      <c r="J38" s="297">
        <f>IFERROR(INDEX('PAR · 1ªORD'!J:J,25),"")</f>
        <v/>
      </c>
      <c r="K38" s="298">
        <f>IFERROR(INDEX('PAR · 1ªORD'!K:K,25),"")</f>
        <v/>
      </c>
    </row>
    <row r="39" ht="18" customHeight="1">
      <c r="B39" s="207" t="n">
        <v>16</v>
      </c>
      <c r="C39" s="208">
        <f>IFERROR(INDEX('PAR · 1ªORD'!C:C,26),"")</f>
        <v/>
      </c>
      <c r="D39" s="218">
        <f>IFERROR(INDEX('PAR · 1ªORD'!D:D,26),"")</f>
        <v/>
      </c>
      <c r="E39" s="219">
        <f>IFERROR(INDEX('PAR · 1ªORD'!E:E,26),"")</f>
        <v/>
      </c>
      <c r="F39" s="228">
        <f>IFERROR(INDEX('PAR · 1ªORD'!F:F,26),"")</f>
        <v/>
      </c>
      <c r="G39" s="229">
        <f>IFERROR(INDEX('PAR · 1ªORD'!G:G,26),"")</f>
        <v/>
      </c>
      <c r="H39" s="230">
        <f>IFERROR(INDEX('PAR · 1ªORD'!H:H,26),"")</f>
        <v/>
      </c>
      <c r="I39" s="235">
        <f>IFERROR(INDEX('PAR · 1ªORD'!I:I,26),"")</f>
        <v/>
      </c>
      <c r="J39" s="249">
        <f>IFERROR(INDEX('PAR · 1ªORD'!J:J,26),"")</f>
        <v/>
      </c>
      <c r="K39" s="88">
        <f>IFERROR(INDEX('PAR · 1ªORD'!K:K,26),"")</f>
        <v/>
      </c>
    </row>
    <row r="40" ht="18" customHeight="1">
      <c r="B40" s="207" t="n">
        <v>17</v>
      </c>
      <c r="C40" s="208">
        <f>IFERROR(INDEX('PAR · 1ªORD'!C:C,27),"")</f>
        <v/>
      </c>
      <c r="D40" s="218">
        <f>IFERROR(INDEX('PAR · 1ªORD'!D:D,27),"")</f>
        <v/>
      </c>
      <c r="E40" s="219">
        <f>IFERROR(INDEX('PAR · 1ªORD'!E:E,27),"")</f>
        <v/>
      </c>
      <c r="F40" s="228">
        <f>IFERROR(INDEX('PAR · 1ªORD'!F:F,27),"")</f>
        <v/>
      </c>
      <c r="G40" s="229">
        <f>IFERROR(INDEX('PAR · 1ªORD'!G:G,27),"")</f>
        <v/>
      </c>
      <c r="H40" s="230">
        <f>IFERROR(INDEX('PAR · 1ªORD'!H:H,27),"")</f>
        <v/>
      </c>
      <c r="I40" s="235">
        <f>IFERROR(INDEX('PAR · 1ªORD'!I:I,27),"")</f>
        <v/>
      </c>
      <c r="J40" s="297">
        <f>IFERROR(INDEX('PAR · 1ªORD'!J:J,27),"")</f>
        <v/>
      </c>
      <c r="K40" s="298">
        <f>IFERROR(INDEX('PAR · 1ªORD'!K:K,27),"")</f>
        <v/>
      </c>
    </row>
    <row r="41" ht="18" customHeight="1">
      <c r="B41" s="207" t="n">
        <v>18</v>
      </c>
      <c r="C41" s="208">
        <f>IFERROR(INDEX('PAR · 1ªORD'!C:C,28),"")</f>
        <v/>
      </c>
      <c r="D41" s="218">
        <f>IFERROR(INDEX('PAR · 1ªORD'!D:D,28),"")</f>
        <v/>
      </c>
      <c r="E41" s="219">
        <f>IFERROR(INDEX('PAR · 1ªORD'!E:E,28),"")</f>
        <v/>
      </c>
      <c r="F41" s="228">
        <f>IFERROR(INDEX('PAR · 1ªORD'!F:F,28),"")</f>
        <v/>
      </c>
      <c r="G41" s="229">
        <f>IFERROR(INDEX('PAR · 1ªORD'!G:G,28),"")</f>
        <v/>
      </c>
      <c r="H41" s="230">
        <f>IFERROR(INDEX('PAR · 1ªORD'!H:H,28),"")</f>
        <v/>
      </c>
      <c r="I41" s="235">
        <f>IFERROR(INDEX('PAR · 1ªORD'!I:I,28),"")</f>
        <v/>
      </c>
      <c r="J41" s="249">
        <f>IFERROR(INDEX('PAR · 1ªORD'!J:J,28),"")</f>
        <v/>
      </c>
      <c r="K41" s="88">
        <f>IFERROR(INDEX('PAR · 1ªORD'!K:K,28),"")</f>
        <v/>
      </c>
    </row>
    <row r="42" ht="18" customHeight="1">
      <c r="B42" s="207" t="n">
        <v>19</v>
      </c>
      <c r="C42" s="208">
        <f>IFERROR(INDEX('PAR · 1ªORD'!C:C,29),"")</f>
        <v/>
      </c>
      <c r="D42" s="218">
        <f>IFERROR(INDEX('PAR · 1ªORD'!D:D,29),"")</f>
        <v/>
      </c>
      <c r="E42" s="219">
        <f>IFERROR(INDEX('PAR · 1ªORD'!E:E,29),"")</f>
        <v/>
      </c>
      <c r="F42" s="228">
        <f>IFERROR(INDEX('PAR · 1ªORD'!F:F,29),"")</f>
        <v/>
      </c>
      <c r="G42" s="229">
        <f>IFERROR(INDEX('PAR · 1ªORD'!G:G,29),"")</f>
        <v/>
      </c>
      <c r="H42" s="230">
        <f>IFERROR(INDEX('PAR · 1ªORD'!H:H,29),"")</f>
        <v/>
      </c>
      <c r="I42" s="235">
        <f>IFERROR(INDEX('PAR · 1ªORD'!I:I,29),"")</f>
        <v/>
      </c>
      <c r="J42" s="297">
        <f>IFERROR(INDEX('PAR · 1ªORD'!J:J,29),"")</f>
        <v/>
      </c>
      <c r="K42" s="298">
        <f>IFERROR(INDEX('PAR · 1ªORD'!K:K,29),"")</f>
        <v/>
      </c>
    </row>
    <row r="43" ht="18" customHeight="1">
      <c r="B43" s="207" t="n">
        <v>20</v>
      </c>
      <c r="C43" s="208">
        <f>IFERROR(INDEX('PAR · 1ªORD'!C:C,30),"")</f>
        <v/>
      </c>
      <c r="D43" s="218">
        <f>IFERROR(INDEX('PAR · 1ªORD'!D:D,30),"")</f>
        <v/>
      </c>
      <c r="E43" s="219">
        <f>IFERROR(INDEX('PAR · 1ªORD'!E:E,30),"")</f>
        <v/>
      </c>
      <c r="F43" s="228">
        <f>IFERROR(INDEX('PAR · 1ªORD'!F:F,30),"")</f>
        <v/>
      </c>
      <c r="G43" s="229">
        <f>IFERROR(INDEX('PAR · 1ªORD'!G:G,30),"")</f>
        <v/>
      </c>
      <c r="H43" s="230">
        <f>IFERROR(INDEX('PAR · 1ªORD'!H:H,30),"")</f>
        <v/>
      </c>
      <c r="I43" s="235">
        <f>IFERROR(INDEX('PAR · 1ªORD'!I:I,30),"")</f>
        <v/>
      </c>
      <c r="J43" s="249">
        <f>IFERROR(INDEX('PAR · 1ªORD'!J:J,30),"")</f>
        <v/>
      </c>
      <c r="K43" s="88">
        <f>IFERROR(INDEX('PAR · 1ªORD'!K:K,30),"")</f>
        <v/>
      </c>
    </row>
    <row r="44" ht="18" customHeight="1">
      <c r="B44" s="207" t="n">
        <v>21</v>
      </c>
      <c r="C44" s="208">
        <f>IFERROR(INDEX('PAR · 1ªORD'!C:C,31),"")</f>
        <v/>
      </c>
      <c r="D44" s="218">
        <f>IFERROR(INDEX('PAR · 1ªORD'!D:D,31),"")</f>
        <v/>
      </c>
      <c r="E44" s="219">
        <f>IFERROR(INDEX('PAR · 1ªORD'!E:E,31),"")</f>
        <v/>
      </c>
      <c r="F44" s="228">
        <f>IFERROR(INDEX('PAR · 1ªORD'!F:F,31),"")</f>
        <v/>
      </c>
      <c r="G44" s="229">
        <f>IFERROR(INDEX('PAR · 1ªORD'!G:G,31),"")</f>
        <v/>
      </c>
      <c r="H44" s="230">
        <f>IFERROR(INDEX('PAR · 1ªORD'!H:H,31),"")</f>
        <v/>
      </c>
      <c r="I44" s="235">
        <f>IFERROR(INDEX('PAR · 1ªORD'!I:I,31),"")</f>
        <v/>
      </c>
      <c r="J44" s="297">
        <f>IFERROR(INDEX('PAR · 1ªORD'!J:J,31),"")</f>
        <v/>
      </c>
      <c r="K44" s="298">
        <f>IFERROR(INDEX('PAR · 1ªORD'!K:K,31),"")</f>
        <v/>
      </c>
    </row>
    <row r="45" ht="18" customHeight="1">
      <c r="B45" s="207" t="n">
        <v>22</v>
      </c>
      <c r="C45" s="208">
        <f>IFERROR(INDEX('PAR · 1ªORD'!C:C,32),"")</f>
        <v/>
      </c>
      <c r="D45" s="218">
        <f>IFERROR(INDEX('PAR · 1ªORD'!D:D,32),"")</f>
        <v/>
      </c>
      <c r="E45" s="219">
        <f>IFERROR(INDEX('PAR · 1ªORD'!E:E,32),"")</f>
        <v/>
      </c>
      <c r="F45" s="228">
        <f>IFERROR(INDEX('PAR · 1ªORD'!F:F,32),"")</f>
        <v/>
      </c>
      <c r="G45" s="229">
        <f>IFERROR(INDEX('PAR · 1ªORD'!G:G,32),"")</f>
        <v/>
      </c>
      <c r="H45" s="230">
        <f>IFERROR(INDEX('PAR · 1ªORD'!H:H,32),"")</f>
        <v/>
      </c>
      <c r="I45" s="235">
        <f>IFERROR(INDEX('PAR · 1ªORD'!I:I,32),"")</f>
        <v/>
      </c>
      <c r="J45" s="249">
        <f>IFERROR(INDEX('PAR · 1ªORD'!J:J,32),"")</f>
        <v/>
      </c>
      <c r="K45" s="88">
        <f>IFERROR(INDEX('PAR · 1ªORD'!K:K,32),"")</f>
        <v/>
      </c>
    </row>
    <row r="46" ht="18" customHeight="1">
      <c r="B46" s="207" t="n">
        <v>23</v>
      </c>
      <c r="C46" s="208">
        <f>IFERROR(INDEX('PAR · 1ªORD'!C:C,33),"")</f>
        <v/>
      </c>
      <c r="D46" s="218">
        <f>IFERROR(INDEX('PAR · 1ªORD'!D:D,33),"")</f>
        <v/>
      </c>
      <c r="E46" s="219">
        <f>IFERROR(INDEX('PAR · 1ªORD'!E:E,33),"")</f>
        <v/>
      </c>
      <c r="F46" s="228">
        <f>IFERROR(INDEX('PAR · 1ªORD'!F:F,33),"")</f>
        <v/>
      </c>
      <c r="G46" s="229">
        <f>IFERROR(INDEX('PAR · 1ªORD'!G:G,33),"")</f>
        <v/>
      </c>
      <c r="H46" s="230">
        <f>IFERROR(INDEX('PAR · 1ªORD'!H:H,33),"")</f>
        <v/>
      </c>
      <c r="I46" s="235">
        <f>IFERROR(INDEX('PAR · 1ªORD'!I:I,33),"")</f>
        <v/>
      </c>
      <c r="J46" s="297">
        <f>IFERROR(INDEX('PAR · 1ªORD'!J:J,33),"")</f>
        <v/>
      </c>
      <c r="K46" s="298">
        <f>IFERROR(INDEX('PAR · 1ªORD'!K:K,33),"")</f>
        <v/>
      </c>
    </row>
    <row r="47" ht="18" customHeight="1">
      <c r="B47" s="207" t="n">
        <v>24</v>
      </c>
      <c r="C47" s="208">
        <f>IFERROR(INDEX('PAR · 1ªORD'!C:C,34),"")</f>
        <v/>
      </c>
      <c r="D47" s="218">
        <f>IFERROR(INDEX('PAR · 1ªORD'!D:D,34),"")</f>
        <v/>
      </c>
      <c r="E47" s="219">
        <f>IFERROR(INDEX('PAR · 1ªORD'!E:E,34),"")</f>
        <v/>
      </c>
      <c r="F47" s="228">
        <f>IFERROR(INDEX('PAR · 1ªORD'!F:F,34),"")</f>
        <v/>
      </c>
      <c r="G47" s="229">
        <f>IFERROR(INDEX('PAR · 1ªORD'!G:G,34),"")</f>
        <v/>
      </c>
      <c r="H47" s="230">
        <f>IFERROR(INDEX('PAR · 1ªORD'!H:H,34),"")</f>
        <v/>
      </c>
      <c r="I47" s="235">
        <f>IFERROR(INDEX('PAR · 1ªORD'!I:I,34),"")</f>
        <v/>
      </c>
      <c r="J47" s="249">
        <f>IFERROR(INDEX('PAR · 1ªORD'!J:J,34),"")</f>
        <v/>
      </c>
      <c r="K47" s="88">
        <f>IFERROR(INDEX('PAR · 1ªORD'!K:K,34),"")</f>
        <v/>
      </c>
    </row>
    <row r="48" ht="18" customHeight="1">
      <c r="B48" s="207" t="n">
        <v>25</v>
      </c>
      <c r="C48" s="208">
        <f>IFERROR(INDEX('PAR · 1ªORD'!C:C,35),"")</f>
        <v/>
      </c>
      <c r="D48" s="218">
        <f>IFERROR(INDEX('PAR · 1ªORD'!D:D,35),"")</f>
        <v/>
      </c>
      <c r="E48" s="219">
        <f>IFERROR(INDEX('PAR · 1ªORD'!E:E,35),"")</f>
        <v/>
      </c>
      <c r="F48" s="228">
        <f>IFERROR(INDEX('PAR · 1ªORD'!F:F,35),"")</f>
        <v/>
      </c>
      <c r="G48" s="229">
        <f>IFERROR(INDEX('PAR · 1ªORD'!G:G,35),"")</f>
        <v/>
      </c>
      <c r="H48" s="230">
        <f>IFERROR(INDEX('PAR · 1ªORD'!H:H,35),"")</f>
        <v/>
      </c>
      <c r="I48" s="235">
        <f>IFERROR(INDEX('PAR · 1ªORD'!I:I,35),"")</f>
        <v/>
      </c>
      <c r="J48" s="297">
        <f>IFERROR(INDEX('PAR · 1ªORD'!J:J,35),"")</f>
        <v/>
      </c>
      <c r="K48" s="298">
        <f>IFERROR(INDEX('PAR · 1ªORD'!K:K,35),"")</f>
        <v/>
      </c>
    </row>
    <row r="49" ht="18" customHeight="1">
      <c r="B49" s="207" t="n">
        <v>26</v>
      </c>
      <c r="C49" s="208">
        <f>IFERROR(INDEX('PAR · 1ªORD'!C:C,36),"")</f>
        <v/>
      </c>
      <c r="D49" s="218">
        <f>IFERROR(INDEX('PAR · 1ªORD'!D:D,36),"")</f>
        <v/>
      </c>
      <c r="E49" s="219">
        <f>IFERROR(INDEX('PAR · 1ªORD'!E:E,36),"")</f>
        <v/>
      </c>
      <c r="F49" s="228">
        <f>IFERROR(INDEX('PAR · 1ªORD'!F:F,36),"")</f>
        <v/>
      </c>
      <c r="G49" s="229">
        <f>IFERROR(INDEX('PAR · 1ªORD'!G:G,36),"")</f>
        <v/>
      </c>
      <c r="H49" s="230">
        <f>IFERROR(INDEX('PAR · 1ªORD'!H:H,36),"")</f>
        <v/>
      </c>
      <c r="I49" s="235">
        <f>IFERROR(INDEX('PAR · 1ªORD'!I:I,36),"")</f>
        <v/>
      </c>
      <c r="J49" s="249">
        <f>IFERROR(INDEX('PAR · 1ªORD'!J:J,36),"")</f>
        <v/>
      </c>
      <c r="K49" s="88">
        <f>IFERROR(INDEX('PAR · 1ªORD'!K:K,36),"")</f>
        <v/>
      </c>
    </row>
    <row r="50" ht="18" customHeight="1">
      <c r="B50" s="207" t="n">
        <v>27</v>
      </c>
      <c r="C50" s="208">
        <f>IFERROR(INDEX('PAR · 1ªORD'!C:C,37),"")</f>
        <v/>
      </c>
      <c r="D50" s="218">
        <f>IFERROR(INDEX('PAR · 1ªORD'!D:D,37),"")</f>
        <v/>
      </c>
      <c r="E50" s="219">
        <f>IFERROR(INDEX('PAR · 1ªORD'!E:E,37),"")</f>
        <v/>
      </c>
      <c r="F50" s="228">
        <f>IFERROR(INDEX('PAR · 1ªORD'!F:F,37),"")</f>
        <v/>
      </c>
      <c r="G50" s="229">
        <f>IFERROR(INDEX('PAR · 1ªORD'!G:G,37),"")</f>
        <v/>
      </c>
      <c r="H50" s="230">
        <f>IFERROR(INDEX('PAR · 1ªORD'!H:H,37),"")</f>
        <v/>
      </c>
      <c r="I50" s="235">
        <f>IFERROR(INDEX('PAR · 1ªORD'!I:I,37),"")</f>
        <v/>
      </c>
      <c r="J50" s="297">
        <f>IFERROR(INDEX('PAR · 1ªORD'!J:J,37),"")</f>
        <v/>
      </c>
      <c r="K50" s="298">
        <f>IFERROR(INDEX('PAR · 1ªORD'!K:K,37),"")</f>
        <v/>
      </c>
    </row>
    <row r="51" ht="18" customHeight="1">
      <c r="B51" s="207" t="n">
        <v>28</v>
      </c>
      <c r="C51" s="208">
        <f>IFERROR(INDEX('PAR · 1ªORD'!C:C,38),"")</f>
        <v/>
      </c>
      <c r="D51" s="218">
        <f>IFERROR(INDEX('PAR · 1ªORD'!D:D,38),"")</f>
        <v/>
      </c>
      <c r="E51" s="219">
        <f>IFERROR(INDEX('PAR · 1ªORD'!E:E,38),"")</f>
        <v/>
      </c>
      <c r="F51" s="228">
        <f>IFERROR(INDEX('PAR · 1ªORD'!F:F,38),"")</f>
        <v/>
      </c>
      <c r="G51" s="229">
        <f>IFERROR(INDEX('PAR · 1ªORD'!G:G,38),"")</f>
        <v/>
      </c>
      <c r="H51" s="230">
        <f>IFERROR(INDEX('PAR · 1ªORD'!H:H,38),"")</f>
        <v/>
      </c>
      <c r="I51" s="235">
        <f>IFERROR(INDEX('PAR · 1ªORD'!I:I,38),"")</f>
        <v/>
      </c>
      <c r="J51" s="249">
        <f>IFERROR(INDEX('PAR · 1ªORD'!J:J,38),"")</f>
        <v/>
      </c>
      <c r="K51" s="88">
        <f>IFERROR(INDEX('PAR · 1ªORD'!K:K,38),"")</f>
        <v/>
      </c>
    </row>
    <row r="52" ht="18" customHeight="1">
      <c r="B52" s="207" t="n">
        <v>29</v>
      </c>
      <c r="C52" s="208">
        <f>IFERROR(INDEX('PAR · 1ªORD'!C:C,39),"")</f>
        <v/>
      </c>
      <c r="D52" s="218">
        <f>IFERROR(INDEX('PAR · 1ªORD'!D:D,39),"")</f>
        <v/>
      </c>
      <c r="E52" s="219">
        <f>IFERROR(INDEX('PAR · 1ªORD'!E:E,39),"")</f>
        <v/>
      </c>
      <c r="F52" s="228">
        <f>IFERROR(INDEX('PAR · 1ªORD'!F:F,39),"")</f>
        <v/>
      </c>
      <c r="G52" s="229">
        <f>IFERROR(INDEX('PAR · 1ªORD'!G:G,39),"")</f>
        <v/>
      </c>
      <c r="H52" s="230">
        <f>IFERROR(INDEX('PAR · 1ªORD'!H:H,39),"")</f>
        <v/>
      </c>
      <c r="I52" s="235">
        <f>IFERROR(INDEX('PAR · 1ªORD'!I:I,39),"")</f>
        <v/>
      </c>
      <c r="J52" s="297">
        <f>IFERROR(INDEX('PAR · 1ªORD'!J:J,39),"")</f>
        <v/>
      </c>
      <c r="K52" s="298">
        <f>IFERROR(INDEX('PAR · 1ªORD'!K:K,39),"")</f>
        <v/>
      </c>
    </row>
    <row r="53" ht="18" customHeight="1">
      <c r="B53" s="207" t="n">
        <v>30</v>
      </c>
      <c r="C53" s="208">
        <f>IFERROR(INDEX('PAR · 1ªORD'!C:C,40),"")</f>
        <v/>
      </c>
      <c r="D53" s="218">
        <f>IFERROR(INDEX('PAR · 1ªORD'!D:D,40),"")</f>
        <v/>
      </c>
      <c r="E53" s="219">
        <f>IFERROR(INDEX('PAR · 1ªORD'!E:E,40),"")</f>
        <v/>
      </c>
      <c r="F53" s="228">
        <f>IFERROR(INDEX('PAR · 1ªORD'!F:F,40),"")</f>
        <v/>
      </c>
      <c r="G53" s="229">
        <f>IFERROR(INDEX('PAR · 1ªORD'!G:G,40),"")</f>
        <v/>
      </c>
      <c r="H53" s="230">
        <f>IFERROR(INDEX('PAR · 1ªORD'!H:H,40),"")</f>
        <v/>
      </c>
      <c r="I53" s="235">
        <f>IFERROR(INDEX('PAR · 1ªORD'!I:I,40),"")</f>
        <v/>
      </c>
      <c r="J53" s="249">
        <f>IFERROR(INDEX('PAR · 1ªORD'!J:J,40),"")</f>
        <v/>
      </c>
      <c r="K53" s="88">
        <f>IFERROR(INDEX('PAR · 1ªORD'!K:K,40),"")</f>
        <v/>
      </c>
    </row>
    <row r="55" ht="14" customHeight="1">
      <c r="B55" s="270" t="inlineStr">
        <is>
          <t>Generado automáticamente desde 1ªORD · Planificación y Administración de Redes · 2026-2027</t>
        </is>
      </c>
    </row>
  </sheetData>
  <mergeCells count="6">
    <mergeCell ref="B55:L55"/>
    <mergeCell ref="B2:K2"/>
    <mergeCell ref="B18:L18"/>
    <mergeCell ref="B22:L22"/>
    <mergeCell ref="B3:K3"/>
    <mergeCell ref="B8:L8"/>
  </mergeCells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📄 Boletín Individual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Informe de calificaciones por alumno/a · PAR 1º ASIR ·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6">
        <f>HYPERLINK("#PAR · Actividades!A1","📝 Actividades")</f>
        <v/>
      </c>
      <c r="F5" s="6">
        <f>HYPERLINK("#PAR · Reg. Notas!A1","📊 Reg. Notas")</f>
        <v/>
      </c>
      <c r="G5" s="6">
        <f>HYPERLINK("#PAR · Resumen!A1","📈 Resumen")</f>
        <v/>
      </c>
      <c r="H5" s="6">
        <f>HYPERLINK("#PAR · Evaluación 1!A1","Eval 1")</f>
        <v/>
      </c>
      <c r="I5" s="6">
        <f>HYPERLINK("#PAR · Evaluación 2!A1","Eval 2")</f>
        <v/>
      </c>
      <c r="J5" s="6">
        <f>HYPERLINK("#PAR · Evaluación 3!A1","Eval 3")</f>
        <v/>
      </c>
      <c r="K5" s="6">
        <f>HYPERLINK("#PAR · 1ªORD!A1","1ª ORD")</f>
        <v/>
      </c>
      <c r="L5" s="6">
        <f>HYPERLINK("#PAR · 2ªORD!A1","2ª ORD")</f>
        <v/>
      </c>
      <c r="M5" s="6">
        <f>HYPERLINK("#PAR · Rúbricas!A1","🎯 Rúbricas")</f>
        <v/>
      </c>
      <c r="N5" s="6">
        <f>HYPERLINK("#PAR · Informe Grupo!A1","📊 Inf.Grupo")</f>
        <v/>
      </c>
      <c r="O5" s="5" t="inlineStr">
        <is>
          <t>📄 Boletín</t>
        </is>
      </c>
      <c r="P5" s="6">
        <f>HYPERLINK("#PAR · Dashboard!A1","📊 Dashboard")</f>
        <v/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26" customHeight="1">
      <c r="B8" s="212" t="inlineStr">
        <is>
          <t>👤  Seleccionar alumno/a (número):</t>
        </is>
      </c>
      <c r="C8" s="299" t="n">
        <v>1</v>
      </c>
      <c r="D8" s="300">
        <f>IFERROR(INDEX({_sr('Alumnos')}!C:C,9+C8)&amp;", "&amp;INDEX({_sr('Alumnos')}!D:D,9+C8),"")</f>
        <v/>
      </c>
    </row>
    <row r="9" ht="18" customHeight="1">
      <c r="B9" s="301" t="inlineStr">
        <is>
          <t>NIA/Exp.</t>
        </is>
      </c>
      <c r="C9" s="302">
        <f>IFERROR(INDEX('PAR · Alumnos'!E:E,9+C8),"")</f>
        <v/>
      </c>
      <c r="D9" s="301" t="inlineStr">
        <is>
          <t>Email</t>
        </is>
      </c>
      <c r="E9" s="302">
        <f>IFERROR(INDEX('PAR · Alumnos'!G:G,9+C8),"")</f>
        <v/>
      </c>
      <c r="F9" s="301" t="inlineStr">
        <is>
          <t>Teléfono</t>
        </is>
      </c>
      <c r="G9" s="302">
        <f>IFERROR(INDEX('PAR · Alumnos'!H:H,9+C8),"")</f>
        <v/>
      </c>
      <c r="H9" s="301" t="inlineStr">
        <is>
          <t>Estado</t>
        </is>
      </c>
      <c r="I9" s="302">
        <f>IFERROR(INDEX('PAR · Alumnos'!J:J,9+C8),"")</f>
        <v/>
      </c>
    </row>
    <row r="11" ht="20" customHeight="1">
      <c r="B11" s="303" t="inlineStr">
        <is>
          <t>📘  EVALUACIÓN 1  ·  RA1 + RA2  (35% del módulo)</t>
        </is>
      </c>
    </row>
    <row r="12" ht="16" customHeight="1">
      <c r="B12" s="86" t="inlineStr">
        <is>
          <t>EX1 (75%)</t>
        </is>
      </c>
      <c r="C12" s="86" t="inlineStr">
        <is>
          <t>A001·RA1</t>
        </is>
      </c>
      <c r="D12" s="86" t="inlineStr">
        <is>
          <t>A002·RA2</t>
        </is>
      </c>
      <c r="E12" s="86" t="inlineStr">
        <is>
          <t>A003·RA1</t>
        </is>
      </c>
      <c r="F12" s="304" t="inlineStr">
        <is>
          <t>Nota RA1</t>
        </is>
      </c>
      <c r="G12" s="304" t="inlineStr">
        <is>
          <t>Nota RA2</t>
        </is>
      </c>
      <c r="H12" s="304" t="inlineStr">
        <is>
          <t>NOTA EVAL 1</t>
        </is>
      </c>
    </row>
    <row r="13" ht="18" customHeight="1">
      <c r="B13" s="305" t="inlineStr">
        <is>
          <t>Calificación</t>
        </is>
      </c>
      <c r="C13" s="306">
        <f>IFERROR(INDEX('PAR · Reg. Notas'!L:L,10+C$8),"")</f>
        <v/>
      </c>
      <c r="D13" s="306">
        <f>IFERROR(INDEX('PAR · Reg. Notas'!D:D,10+C$8),"")</f>
        <v/>
      </c>
      <c r="E13" s="306">
        <f>IFERROR(INDEX('PAR · Reg. Notas'!E:E,10+C$8),"")</f>
        <v/>
      </c>
      <c r="F13" s="306">
        <f>IFERROR(INDEX('PAR · Reg. Notas'!F:F,10+C$8),"")</f>
        <v/>
      </c>
      <c r="G13" s="306">
        <f>IFERROR(INDEX('PAR · Reg. Notas'!O:O,10+C$8),"")</f>
        <v/>
      </c>
      <c r="H13" s="306">
        <f>IFERROR(INDEX('PAR · Reg. Notas'!P:P,10+C$8),"")</f>
        <v/>
      </c>
    </row>
    <row r="14" ht="20" customHeight="1">
      <c r="B14" s="307" t="inlineStr">
        <is>
          <t>Nota Evaluación 1:</t>
        </is>
      </c>
      <c r="H14" s="308">
        <f>IFERROR(INDEX('PAR · Evaluación 1'!H:H,10+C$8),"")</f>
        <v/>
      </c>
      <c r="I14" s="88">
        <f>IFERROR(INDEX('PAR · Evaluación 1'!I:I,10+C$8),"")</f>
        <v/>
      </c>
    </row>
    <row r="16" ht="20" customHeight="1">
      <c r="B16" s="309" t="inlineStr">
        <is>
          <t>📗  EVALUACIÓN 2  ·  RA3 + RA4 + RA5  (55% del módulo)</t>
        </is>
      </c>
    </row>
    <row r="17" ht="16" customHeight="1">
      <c r="B17" s="86" t="inlineStr">
        <is>
          <t>EX2 (75%)</t>
        </is>
      </c>
      <c r="C17" s="86" t="inlineStr">
        <is>
          <t>A004·RA3</t>
        </is>
      </c>
      <c r="D17" s="86" t="inlineStr">
        <is>
          <t>A005·RA4</t>
        </is>
      </c>
      <c r="E17" s="86" t="inlineStr">
        <is>
          <t>A006·RA5</t>
        </is>
      </c>
      <c r="F17" s="86" t="inlineStr">
        <is>
          <t>A007·RA4</t>
        </is>
      </c>
      <c r="G17" s="310" t="inlineStr">
        <is>
          <t>Nota RA3</t>
        </is>
      </c>
      <c r="H17" s="310" t="inlineStr">
        <is>
          <t>Nota RA4</t>
        </is>
      </c>
      <c r="I17" s="310" t="inlineStr">
        <is>
          <t>Nota RA5</t>
        </is>
      </c>
      <c r="J17" s="310" t="inlineStr">
        <is>
          <t>NOTA EVAL 2</t>
        </is>
      </c>
    </row>
    <row r="18" ht="18" customHeight="1">
      <c r="B18" s="305" t="inlineStr">
        <is>
          <t>Calificación</t>
        </is>
      </c>
      <c r="C18" s="306">
        <f>IFERROR(INDEX('PAR · Reg. Notas'!M:M,10+C$8),"")</f>
        <v/>
      </c>
      <c r="D18" s="306">
        <f>IFERROR(INDEX('PAR · Reg. Notas'!G:G,10+C$8),"")</f>
        <v/>
      </c>
      <c r="E18" s="306">
        <f>IFERROR(INDEX('PAR · Reg. Notas'!H:H,10+C$8),"")</f>
        <v/>
      </c>
      <c r="F18" s="306">
        <f>IFERROR(INDEX('PAR · Reg. Notas'!I:I,10+C$8),"")</f>
        <v/>
      </c>
      <c r="G18" s="306">
        <f>IFERROR(INDEX('PAR · Reg. Notas'!J:J,10+C$8),"")</f>
        <v/>
      </c>
      <c r="H18" s="306">
        <f>IFERROR(INDEX('PAR · Reg. Notas'!Q:Q,10+C$8),"")</f>
        <v/>
      </c>
      <c r="I18" s="306">
        <f>IFERROR(INDEX('PAR · Reg. Notas'!R:R,10+C$8),"")</f>
        <v/>
      </c>
      <c r="J18" s="306">
        <f>IFERROR(INDEX('PAR · Reg. Notas'!S:S,10+C$8),"")</f>
        <v/>
      </c>
    </row>
    <row r="19" ht="20" customHeight="1">
      <c r="B19" s="311" t="inlineStr">
        <is>
          <t>Nota Evaluación 2:</t>
        </is>
      </c>
      <c r="J19" s="312">
        <f>IFERROR(INDEX('PAR · Evaluación 2'!J:J,10+C$8),"")</f>
        <v/>
      </c>
      <c r="K19" s="88">
        <f>IFERROR(INDEX('PAR · Evaluación 2'!K:K,10+C$8),"")</f>
        <v/>
      </c>
    </row>
    <row r="21" ht="20" customHeight="1">
      <c r="B21" s="313" t="inlineStr">
        <is>
          <t>📙  EVALUACIÓN 3  ·  RA6  (10% del módulo)</t>
        </is>
      </c>
    </row>
    <row r="22" ht="16" customHeight="1">
      <c r="B22" s="86" t="inlineStr">
        <is>
          <t>EX3 (75%)</t>
        </is>
      </c>
      <c r="C22" s="86" t="inlineStr">
        <is>
          <t>A008·RA6</t>
        </is>
      </c>
      <c r="D22" s="314" t="inlineStr">
        <is>
          <t>Nota RA6</t>
        </is>
      </c>
      <c r="E22" s="94" t="inlineStr">
        <is>
          <t>NOTA EVAL 3</t>
        </is>
      </c>
    </row>
    <row r="23" ht="18" customHeight="1">
      <c r="B23" s="305" t="inlineStr">
        <is>
          <t>Calificación</t>
        </is>
      </c>
      <c r="C23" s="306">
        <f>IFERROR(INDEX('PAR · Reg. Notas'!N:N,10+C$8),"")</f>
        <v/>
      </c>
      <c r="D23" s="306">
        <f>IFERROR(INDEX('PAR · Reg. Notas'!K:K,10+C$8),"")</f>
        <v/>
      </c>
      <c r="E23" s="306">
        <f>IFERROR(INDEX('PAR · Reg. Notas'!T:T,10+C$8),"")</f>
        <v/>
      </c>
    </row>
    <row r="24" ht="20" customHeight="1">
      <c r="B24" s="315" t="inlineStr">
        <is>
          <t>Nota Evaluación 3:</t>
        </is>
      </c>
      <c r="E24" s="316">
        <f>IFERROR(INDEX('PAR · Evaluación 3'!G:G,10+C$8),"")</f>
        <v/>
      </c>
      <c r="F24" s="88">
        <f>IFERROR(INDEX('PAR · Evaluación 3'!H:H,10+C$8),"")</f>
        <v/>
      </c>
    </row>
    <row r="26" ht="20" customHeight="1">
      <c r="B26" s="317" t="inlineStr">
        <is>
          <t>🎓  CALIFICACIÓN FINAL DEL MÓDULO</t>
        </is>
      </c>
    </row>
    <row r="27" ht="32" customHeight="1">
      <c r="B27" s="318" t="inlineStr">
        <is>
          <t>RA1
(15%)</t>
        </is>
      </c>
      <c r="C27" s="319" t="inlineStr">
        <is>
          <t>RA2
(20%)</t>
        </is>
      </c>
      <c r="D27" s="320" t="inlineStr">
        <is>
          <t>RA3
(20%)</t>
        </is>
      </c>
      <c r="E27" s="321" t="inlineStr">
        <is>
          <t>RA4
(25%)</t>
        </is>
      </c>
      <c r="F27" s="322" t="inlineStr">
        <is>
          <t>RA5
(10%)</t>
        </is>
      </c>
      <c r="G27" s="323" t="inlineStr">
        <is>
          <t>RA6
(10%)</t>
        </is>
      </c>
      <c r="H27" s="14" t="inlineStr">
        <is>
          <t>NOTA FINAL</t>
        </is>
      </c>
      <c r="I27" s="14" t="inlineStr">
        <is>
          <t>RESULTADO</t>
        </is>
      </c>
    </row>
    <row r="28" ht="26" customHeight="1">
      <c r="B28" s="326">
        <f>IFERROR(INDEX('PAR · 1ªORD'!D:D,10+C$8),"")</f>
        <v/>
      </c>
      <c r="C28" s="327">
        <f>IFERROR(INDEX('PAR · 1ªORD'!E:E,10+C$8),"")</f>
        <v/>
      </c>
      <c r="D28" s="328">
        <f>IFERROR(INDEX('PAR · 1ªORD'!F:F,10+C$8),"")</f>
        <v/>
      </c>
      <c r="E28" s="329">
        <f>IFERROR(INDEX('PAR · 1ªORD'!G:G,10+C$8),"")</f>
        <v/>
      </c>
      <c r="F28" s="330">
        <f>IFERROR(INDEX('PAR · 1ªORD'!H:H,10+C$8),"")</f>
        <v/>
      </c>
      <c r="G28" s="331">
        <f>IFERROR(INDEX('PAR · 1ªORD'!I:I,10+C$8),"")</f>
        <v/>
      </c>
      <c r="H28" s="333">
        <f>IFERROR(INDEX('PAR · 1ªORD'!J:J,10+C$8),"")</f>
        <v/>
      </c>
      <c r="I28" s="334">
        <f>IFERROR(INDEX('PAR · 1ªORD'!K:K,10+C$8),"")</f>
        <v/>
      </c>
    </row>
  </sheetData>
  <mergeCells count="10">
    <mergeCell ref="B26:L26"/>
    <mergeCell ref="D8:H8"/>
    <mergeCell ref="B21:L21"/>
    <mergeCell ref="B14:G14"/>
    <mergeCell ref="B16:L16"/>
    <mergeCell ref="B11:L11"/>
    <mergeCell ref="B19:I19"/>
    <mergeCell ref="B2:K2"/>
    <mergeCell ref="B24:D24"/>
    <mergeCell ref="B3:K3"/>
  </mergeCells>
  <dataValidations count="1">
    <dataValidation sqref="C8" showDropDown="0" showInputMessage="0" showErrorMessage="0" allowBlank="0" errorTitle="Número inválido" error="Introduce un número entre 1 y 30" type="whole" operator="between">
      <formula1>1</formula1>
      <formula2>30</formula2>
    </dataValidation>
  </dataValidations>
  <pageMargins left="0.75" right="0.75" top="1" bottom="1" header="0.5" footer="0.5"/>
  <pageSetup orientation="portrait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  <col width="12" customWidth="1" min="9" max="9"/>
  </cols>
  <sheetData>
    <row r="1" ht="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6" customHeight="1">
      <c r="A2" s="2"/>
      <c r="B2" s="3" t="inlineStr">
        <is>
          <t>📊 Cuadro de Mando — Dashboard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" customHeight="1">
      <c r="A3" s="2"/>
      <c r="B3" s="4" t="inlineStr">
        <is>
          <t>Planificación y Administración de Redes  ·  1º ASIR  ·  2026-2027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" customHeight="1">
      <c r="A5" s="2"/>
      <c r="B5" s="6">
        <f>HYPERLINK("#Mis Módulos!A1","← Módulos")</f>
        <v/>
      </c>
      <c r="C5" s="6">
        <f>HYPERLINK("#PAR · Programación!A1","📋 Programa")</f>
        <v/>
      </c>
      <c r="D5" s="6">
        <f>HYPERLINK("#PAR · Alumnos!A1","👥 Alumnos")</f>
        <v/>
      </c>
      <c r="E5" s="6">
        <f>HYPERLINK("#PAR · Actividades!A1","📝 Actividades")</f>
        <v/>
      </c>
      <c r="F5" s="6">
        <f>HYPERLINK("#PAR · Reg. Notas!A1","📊 Reg. Notas")</f>
        <v/>
      </c>
      <c r="G5" s="6">
        <f>HYPERLINK("#PAR · Resumen!A1","📈 Resumen")</f>
        <v/>
      </c>
      <c r="H5" s="6">
        <f>HYPERLINK("#PAR · Evaluación 1!A1","Eval 1")</f>
        <v/>
      </c>
      <c r="I5" s="6">
        <f>HYPERLINK("#PAR · Evaluación 2!A1","Eval 2")</f>
        <v/>
      </c>
      <c r="J5" s="6">
        <f>HYPERLINK("#PAR · Evaluación 3!A1","Eval 3")</f>
        <v/>
      </c>
      <c r="K5" s="6">
        <f>HYPERLINK("#PAR · 1ªORD!A1","1ª ORD")</f>
        <v/>
      </c>
      <c r="L5" s="6">
        <f>HYPERLINK("#PAR · 2ªORD!A1","2ª ORD")</f>
        <v/>
      </c>
      <c r="M5" s="6">
        <f>HYPERLINK("#PAR · Rúbricas!A1","🎯 Rúbricas")</f>
        <v/>
      </c>
      <c r="N5" s="6">
        <f>HYPERLINK("#PAR · Informe Grupo!A1","📊 Inf.Grupo")</f>
        <v/>
      </c>
      <c r="O5" s="6">
        <f>HYPERLINK("#PAR · Boletín!A1","📄 Boletín")</f>
        <v/>
      </c>
      <c r="P5" s="5" t="inlineStr">
        <is>
          <t>📊 Dashboard</t>
        </is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ht="14" customHeight="1">
      <c r="B8" s="35" t="inlineStr">
        <is>
          <t xml:space="preserve">  INDICADORES GLOBALES DEL GRUPO</t>
        </is>
      </c>
    </row>
    <row r="9" ht="13" customHeight="1">
      <c r="B9" s="86" t="inlineStr">
        <is>
          <t>ALUMNOS ACTIVOS</t>
        </is>
      </c>
      <c r="D9" s="92" t="inlineStr">
        <is>
          <t>✅  APTOS</t>
        </is>
      </c>
      <c r="F9" s="93" t="inlineStr">
        <is>
          <t>❌  NO APTOS</t>
        </is>
      </c>
    </row>
    <row r="10" ht="30" customHeight="1">
      <c r="B10" s="335">
        <f>COUNTA('PAR · Alumnos'!C10:C39)</f>
        <v/>
      </c>
      <c r="D10" s="336">
        <f>COUNTIF('PAR · 1ªORD'!K11:K40,"APTO")</f>
        <v/>
      </c>
      <c r="F10" s="337">
        <f>COUNTIF('PAR · 1ªORD'!K11:K40,"NO APTO")</f>
        <v/>
      </c>
    </row>
    <row r="11" ht="5" customHeight="1"/>
    <row r="12" ht="13" customHeight="1">
      <c r="B12" s="87" t="inlineStr">
        <is>
          <t>MEDIA GRUPO</t>
        </is>
      </c>
      <c r="D12" s="338" t="inlineStr">
        <is>
          <t>NOTA MÁXIMA</t>
        </is>
      </c>
      <c r="F12" s="94" t="inlineStr">
        <is>
          <t>⚠️  EN RIESGO</t>
        </is>
      </c>
    </row>
    <row r="13" ht="30" customHeight="1">
      <c r="B13" s="339">
        <f>IFERROR(ROUND(AVERAGE('PAR · 1ªORD'!J11:J40),2),"–")</f>
        <v/>
      </c>
      <c r="D13" s="340">
        <f>IFERROR(MAX('PAR · 1ªORD'!J11:J40),"–")</f>
        <v/>
      </c>
      <c r="F13" s="341">
        <f>COUNTIFS('PAR · 1ªORD'!J11:J40,"&gt;0",'PAR · 1ªORD'!J11:J40,"&lt;4")</f>
        <v/>
      </c>
    </row>
    <row r="14" ht="5" customHeight="1"/>
    <row r="15" ht="5" customHeight="1">
      <c r="B15" s="1"/>
      <c r="C15" s="1"/>
      <c r="D15" s="1"/>
      <c r="E15" s="1"/>
      <c r="F15" s="1"/>
      <c r="G15" s="1"/>
      <c r="H15" s="1"/>
      <c r="I15" s="1"/>
    </row>
    <row r="16" ht="14" customHeight="1">
      <c r="B16" s="35" t="inlineStr">
        <is>
          <t xml:space="preserve">  SEGUIMIENTO INDIVIDUAL — SEMÁFORO DE RIESGO</t>
        </is>
      </c>
    </row>
    <row r="17" ht="30" customHeight="1">
      <c r="B17" s="36" t="inlineStr">
        <is>
          <t>Nº</t>
        </is>
      </c>
      <c r="C17" s="36" t="inlineStr">
        <is>
          <t>Apellidos y Nombre</t>
        </is>
      </c>
      <c r="D17" s="216" t="inlineStr">
        <is>
          <t>Eval 1
(nota)</t>
        </is>
      </c>
      <c r="E17" s="103" t="inlineStr">
        <is>
          <t>Eval 2
(nota)</t>
        </is>
      </c>
      <c r="F17" s="101" t="inlineStr">
        <is>
          <t>Eval 3
(nota)</t>
        </is>
      </c>
      <c r="G17" s="36" t="inlineStr">
        <is>
          <t>Nota Final</t>
        </is>
      </c>
      <c r="H17" s="36" t="inlineStr">
        <is>
          <t>Estado</t>
        </is>
      </c>
      <c r="I17" s="37" t="inlineStr">
        <is>
          <t>% Evals OK</t>
        </is>
      </c>
    </row>
    <row r="18" ht="18" customHeight="1">
      <c r="B18" s="184" t="n">
        <v>1</v>
      </c>
      <c r="C18" s="208">
        <f>IFERROR('PAR · Alumnos'!C17&amp;IF('PAR · Alumnos'!D17&lt;&gt;"",", "&amp;'PAR · Alumnos'!D17,""),"")</f>
        <v/>
      </c>
      <c r="D18" s="218">
        <f>IFERROR(INDEX('PAR · Evaluación 1'!H:H,10+1),"")</f>
        <v/>
      </c>
      <c r="E18" s="219">
        <f>IFERROR(INDEX('PAR · Evaluación 2'!J:J,10+1),"")</f>
        <v/>
      </c>
      <c r="F18" s="228">
        <f>IFERROR(INDEX('PAR · Evaluación 3'!G:G,10+1),"")</f>
        <v/>
      </c>
      <c r="G18" s="297">
        <f>IFERROR(INDEX('PAR · 1ªORD'!J:J,10+1),"")</f>
        <v/>
      </c>
      <c r="H18" s="342">
        <f>IF(G18="","–",IF(G18&gt;=7,"🟢 NOTABLE",IF(G18&gt;=5,"🟡 APTO","🔴 NO APTO")))</f>
        <v/>
      </c>
      <c r="I18" s="58">
        <f>IFERROR(TEXT(COUNTIF(D18:F18,"&gt;0")/3,"0%"),"–")</f>
        <v/>
      </c>
    </row>
    <row r="19" ht="18" customHeight="1">
      <c r="B19" s="184" t="n">
        <v>2</v>
      </c>
      <c r="C19" s="208">
        <f>IFERROR('PAR · Alumnos'!C18&amp;IF('PAR · Alumnos'!D18&lt;&gt;"",", "&amp;'PAR · Alumnos'!D18,""),"")</f>
        <v/>
      </c>
      <c r="D19" s="218">
        <f>IFERROR(INDEX('PAR · Evaluación 1'!H:H,10+2),"")</f>
        <v/>
      </c>
      <c r="E19" s="219">
        <f>IFERROR(INDEX('PAR · Evaluación 2'!J:J,10+2),"")</f>
        <v/>
      </c>
      <c r="F19" s="228">
        <f>IFERROR(INDEX('PAR · Evaluación 3'!G:G,10+2),"")</f>
        <v/>
      </c>
      <c r="G19" s="249">
        <f>IFERROR(INDEX('PAR · 1ªORD'!J:J,10+2),"")</f>
        <v/>
      </c>
      <c r="H19" s="343">
        <f>IF(G19="","–",IF(G19&gt;=7,"🟢 NOTABLE",IF(G19&gt;=5,"🟡 APTO","🔴 NO APTO")))</f>
        <v/>
      </c>
      <c r="I19" s="64">
        <f>IFERROR(TEXT(COUNTIF(D19:F19,"&gt;0")/3,"0%"),"–")</f>
        <v/>
      </c>
    </row>
    <row r="20" ht="18" customHeight="1">
      <c r="B20" s="184" t="n">
        <v>3</v>
      </c>
      <c r="C20" s="208">
        <f>IFERROR('PAR · Alumnos'!C19&amp;IF('PAR · Alumnos'!D19&lt;&gt;"",", "&amp;'PAR · Alumnos'!D19,""),"")</f>
        <v/>
      </c>
      <c r="D20" s="218">
        <f>IFERROR(INDEX('PAR · Evaluación 1'!H:H,10+3),"")</f>
        <v/>
      </c>
      <c r="E20" s="219">
        <f>IFERROR(INDEX('PAR · Evaluación 2'!J:J,10+3),"")</f>
        <v/>
      </c>
      <c r="F20" s="228">
        <f>IFERROR(INDEX('PAR · Evaluación 3'!G:G,10+3),"")</f>
        <v/>
      </c>
      <c r="G20" s="297">
        <f>IFERROR(INDEX('PAR · 1ªORD'!J:J,10+3),"")</f>
        <v/>
      </c>
      <c r="H20" s="342">
        <f>IF(G20="","–",IF(G20&gt;=7,"🟢 NOTABLE",IF(G20&gt;=5,"🟡 APTO","🔴 NO APTO")))</f>
        <v/>
      </c>
      <c r="I20" s="58">
        <f>IFERROR(TEXT(COUNTIF(D20:F20,"&gt;0")/3,"0%"),"–")</f>
        <v/>
      </c>
    </row>
    <row r="21" ht="18" customHeight="1">
      <c r="B21" s="184" t="n">
        <v>4</v>
      </c>
      <c r="C21" s="208">
        <f>IFERROR('PAR · Alumnos'!C20&amp;IF('PAR · Alumnos'!D20&lt;&gt;"",", "&amp;'PAR · Alumnos'!D20,""),"")</f>
        <v/>
      </c>
      <c r="D21" s="218">
        <f>IFERROR(INDEX('PAR · Evaluación 1'!H:H,10+4),"")</f>
        <v/>
      </c>
      <c r="E21" s="219">
        <f>IFERROR(INDEX('PAR · Evaluación 2'!J:J,10+4),"")</f>
        <v/>
      </c>
      <c r="F21" s="228">
        <f>IFERROR(INDEX('PAR · Evaluación 3'!G:G,10+4),"")</f>
        <v/>
      </c>
      <c r="G21" s="249">
        <f>IFERROR(INDEX('PAR · 1ªORD'!J:J,10+4),"")</f>
        <v/>
      </c>
      <c r="H21" s="343">
        <f>IF(G21="","–",IF(G21&gt;=7,"🟢 NOTABLE",IF(G21&gt;=5,"🟡 APTO","🔴 NO APTO")))</f>
        <v/>
      </c>
      <c r="I21" s="64">
        <f>IFERROR(TEXT(COUNTIF(D21:F21,"&gt;0")/3,"0%"),"–")</f>
        <v/>
      </c>
    </row>
    <row r="22" ht="18" customHeight="1">
      <c r="B22" s="184" t="n">
        <v>5</v>
      </c>
      <c r="C22" s="208">
        <f>IFERROR('PAR · Alumnos'!C21&amp;IF('PAR · Alumnos'!D21&lt;&gt;"",", "&amp;'PAR · Alumnos'!D21,""),"")</f>
        <v/>
      </c>
      <c r="D22" s="218">
        <f>IFERROR(INDEX('PAR · Evaluación 1'!H:H,10+5),"")</f>
        <v/>
      </c>
      <c r="E22" s="219">
        <f>IFERROR(INDEX('PAR · Evaluación 2'!J:J,10+5),"")</f>
        <v/>
      </c>
      <c r="F22" s="228">
        <f>IFERROR(INDEX('PAR · Evaluación 3'!G:G,10+5),"")</f>
        <v/>
      </c>
      <c r="G22" s="297">
        <f>IFERROR(INDEX('PAR · 1ªORD'!J:J,10+5),"")</f>
        <v/>
      </c>
      <c r="H22" s="342">
        <f>IF(G22="","–",IF(G22&gt;=7,"🟢 NOTABLE",IF(G22&gt;=5,"🟡 APTO","🔴 NO APTO")))</f>
        <v/>
      </c>
      <c r="I22" s="58">
        <f>IFERROR(TEXT(COUNTIF(D22:F22,"&gt;0")/3,"0%"),"–")</f>
        <v/>
      </c>
    </row>
    <row r="23" ht="18" customHeight="1">
      <c r="B23" s="184" t="n">
        <v>6</v>
      </c>
      <c r="C23" s="208">
        <f>IFERROR('PAR · Alumnos'!C22&amp;IF('PAR · Alumnos'!D22&lt;&gt;"",", "&amp;'PAR · Alumnos'!D22,""),"")</f>
        <v/>
      </c>
      <c r="D23" s="218">
        <f>IFERROR(INDEX('PAR · Evaluación 1'!H:H,10+6),"")</f>
        <v/>
      </c>
      <c r="E23" s="219">
        <f>IFERROR(INDEX('PAR · Evaluación 2'!J:J,10+6),"")</f>
        <v/>
      </c>
      <c r="F23" s="228">
        <f>IFERROR(INDEX('PAR · Evaluación 3'!G:G,10+6),"")</f>
        <v/>
      </c>
      <c r="G23" s="249">
        <f>IFERROR(INDEX('PAR · 1ªORD'!J:J,10+6),"")</f>
        <v/>
      </c>
      <c r="H23" s="343">
        <f>IF(G23="","–",IF(G23&gt;=7,"🟢 NOTABLE",IF(G23&gt;=5,"🟡 APTO","🔴 NO APTO")))</f>
        <v/>
      </c>
      <c r="I23" s="64">
        <f>IFERROR(TEXT(COUNTIF(D23:F23,"&gt;0")/3,"0%"),"–")</f>
        <v/>
      </c>
    </row>
    <row r="24" ht="18" customHeight="1">
      <c r="B24" s="184" t="n">
        <v>7</v>
      </c>
      <c r="C24" s="208">
        <f>IFERROR('PAR · Alumnos'!C23&amp;IF('PAR · Alumnos'!D23&lt;&gt;"",", "&amp;'PAR · Alumnos'!D23,""),"")</f>
        <v/>
      </c>
      <c r="D24" s="218">
        <f>IFERROR(INDEX('PAR · Evaluación 1'!H:H,10+7),"")</f>
        <v/>
      </c>
      <c r="E24" s="219">
        <f>IFERROR(INDEX('PAR · Evaluación 2'!J:J,10+7),"")</f>
        <v/>
      </c>
      <c r="F24" s="228">
        <f>IFERROR(INDEX('PAR · Evaluación 3'!G:G,10+7),"")</f>
        <v/>
      </c>
      <c r="G24" s="297">
        <f>IFERROR(INDEX('PAR · 1ªORD'!J:J,10+7),"")</f>
        <v/>
      </c>
      <c r="H24" s="342">
        <f>IF(G24="","–",IF(G24&gt;=7,"🟢 NOTABLE",IF(G24&gt;=5,"🟡 APTO","🔴 NO APTO")))</f>
        <v/>
      </c>
      <c r="I24" s="58">
        <f>IFERROR(TEXT(COUNTIF(D24:F24,"&gt;0")/3,"0%"),"–")</f>
        <v/>
      </c>
    </row>
    <row r="25" ht="18" customHeight="1">
      <c r="B25" s="184" t="n">
        <v>8</v>
      </c>
      <c r="C25" s="208">
        <f>IFERROR('PAR · Alumnos'!C24&amp;IF('PAR · Alumnos'!D24&lt;&gt;"",", "&amp;'PAR · Alumnos'!D24,""),"")</f>
        <v/>
      </c>
      <c r="D25" s="218">
        <f>IFERROR(INDEX('PAR · Evaluación 1'!H:H,10+8),"")</f>
        <v/>
      </c>
      <c r="E25" s="219">
        <f>IFERROR(INDEX('PAR · Evaluación 2'!J:J,10+8),"")</f>
        <v/>
      </c>
      <c r="F25" s="228">
        <f>IFERROR(INDEX('PAR · Evaluación 3'!G:G,10+8),"")</f>
        <v/>
      </c>
      <c r="G25" s="249">
        <f>IFERROR(INDEX('PAR · 1ªORD'!J:J,10+8),"")</f>
        <v/>
      </c>
      <c r="H25" s="343">
        <f>IF(G25="","–",IF(G25&gt;=7,"🟢 NOTABLE",IF(G25&gt;=5,"🟡 APTO","🔴 NO APTO")))</f>
        <v/>
      </c>
      <c r="I25" s="64">
        <f>IFERROR(TEXT(COUNTIF(D25:F25,"&gt;0")/3,"0%"),"–")</f>
        <v/>
      </c>
    </row>
    <row r="26" ht="18" customHeight="1">
      <c r="B26" s="184" t="n">
        <v>9</v>
      </c>
      <c r="C26" s="208">
        <f>IFERROR('PAR · Alumnos'!C25&amp;IF('PAR · Alumnos'!D25&lt;&gt;"",", "&amp;'PAR · Alumnos'!D25,""),"")</f>
        <v/>
      </c>
      <c r="D26" s="218">
        <f>IFERROR(INDEX('PAR · Evaluación 1'!H:H,10+9),"")</f>
        <v/>
      </c>
      <c r="E26" s="219">
        <f>IFERROR(INDEX('PAR · Evaluación 2'!J:J,10+9),"")</f>
        <v/>
      </c>
      <c r="F26" s="228">
        <f>IFERROR(INDEX('PAR · Evaluación 3'!G:G,10+9),"")</f>
        <v/>
      </c>
      <c r="G26" s="297">
        <f>IFERROR(INDEX('PAR · 1ªORD'!J:J,10+9),"")</f>
        <v/>
      </c>
      <c r="H26" s="342">
        <f>IF(G26="","–",IF(G26&gt;=7,"🟢 NOTABLE",IF(G26&gt;=5,"🟡 APTO","🔴 NO APTO")))</f>
        <v/>
      </c>
      <c r="I26" s="58">
        <f>IFERROR(TEXT(COUNTIF(D26:F26,"&gt;0")/3,"0%"),"–")</f>
        <v/>
      </c>
    </row>
    <row r="27" ht="18" customHeight="1">
      <c r="B27" s="184" t="n">
        <v>10</v>
      </c>
      <c r="C27" s="208">
        <f>IFERROR('PAR · Alumnos'!C26&amp;IF('PAR · Alumnos'!D26&lt;&gt;"",", "&amp;'PAR · Alumnos'!D26,""),"")</f>
        <v/>
      </c>
      <c r="D27" s="218">
        <f>IFERROR(INDEX('PAR · Evaluación 1'!H:H,10+10),"")</f>
        <v/>
      </c>
      <c r="E27" s="219">
        <f>IFERROR(INDEX('PAR · Evaluación 2'!J:J,10+10),"")</f>
        <v/>
      </c>
      <c r="F27" s="228">
        <f>IFERROR(INDEX('PAR · Evaluación 3'!G:G,10+10),"")</f>
        <v/>
      </c>
      <c r="G27" s="249">
        <f>IFERROR(INDEX('PAR · 1ªORD'!J:J,10+10),"")</f>
        <v/>
      </c>
      <c r="H27" s="343">
        <f>IF(G27="","–",IF(G27&gt;=7,"🟢 NOTABLE",IF(G27&gt;=5,"🟡 APTO","🔴 NO APTO")))</f>
        <v/>
      </c>
      <c r="I27" s="64">
        <f>IFERROR(TEXT(COUNTIF(D27:F27,"&gt;0")/3,"0%"),"–")</f>
        <v/>
      </c>
    </row>
    <row r="28" ht="18" customHeight="1">
      <c r="B28" s="184" t="n">
        <v>11</v>
      </c>
      <c r="C28" s="208">
        <f>IFERROR('PAR · Alumnos'!C27&amp;IF('PAR · Alumnos'!D27&lt;&gt;"",", "&amp;'PAR · Alumnos'!D27,""),"")</f>
        <v/>
      </c>
      <c r="D28" s="218">
        <f>IFERROR(INDEX('PAR · Evaluación 1'!H:H,10+11),"")</f>
        <v/>
      </c>
      <c r="E28" s="219">
        <f>IFERROR(INDEX('PAR · Evaluación 2'!J:J,10+11),"")</f>
        <v/>
      </c>
      <c r="F28" s="228">
        <f>IFERROR(INDEX('PAR · Evaluación 3'!G:G,10+11),"")</f>
        <v/>
      </c>
      <c r="G28" s="297">
        <f>IFERROR(INDEX('PAR · 1ªORD'!J:J,10+11),"")</f>
        <v/>
      </c>
      <c r="H28" s="342">
        <f>IF(G28="","–",IF(G28&gt;=7,"🟢 NOTABLE",IF(G28&gt;=5,"🟡 APTO","🔴 NO APTO")))</f>
        <v/>
      </c>
      <c r="I28" s="58">
        <f>IFERROR(TEXT(COUNTIF(D28:F28,"&gt;0")/3,"0%"),"–")</f>
        <v/>
      </c>
    </row>
    <row r="29" ht="18" customHeight="1">
      <c r="B29" s="184" t="n">
        <v>12</v>
      </c>
      <c r="C29" s="208">
        <f>IFERROR('PAR · Alumnos'!C28&amp;IF('PAR · Alumnos'!D28&lt;&gt;"",", "&amp;'PAR · Alumnos'!D28,""),"")</f>
        <v/>
      </c>
      <c r="D29" s="218">
        <f>IFERROR(INDEX('PAR · Evaluación 1'!H:H,10+12),"")</f>
        <v/>
      </c>
      <c r="E29" s="219">
        <f>IFERROR(INDEX('PAR · Evaluación 2'!J:J,10+12),"")</f>
        <v/>
      </c>
      <c r="F29" s="228">
        <f>IFERROR(INDEX('PAR · Evaluación 3'!G:G,10+12),"")</f>
        <v/>
      </c>
      <c r="G29" s="249">
        <f>IFERROR(INDEX('PAR · 1ªORD'!J:J,10+12),"")</f>
        <v/>
      </c>
      <c r="H29" s="343">
        <f>IF(G29="","–",IF(G29&gt;=7,"🟢 NOTABLE",IF(G29&gt;=5,"🟡 APTO","🔴 NO APTO")))</f>
        <v/>
      </c>
      <c r="I29" s="64">
        <f>IFERROR(TEXT(COUNTIF(D29:F29,"&gt;0")/3,"0%"),"–")</f>
        <v/>
      </c>
    </row>
    <row r="30" ht="18" customHeight="1">
      <c r="B30" s="184" t="n">
        <v>13</v>
      </c>
      <c r="C30" s="208">
        <f>IFERROR('PAR · Alumnos'!C29&amp;IF('PAR · Alumnos'!D29&lt;&gt;"",", "&amp;'PAR · Alumnos'!D29,""),"")</f>
        <v/>
      </c>
      <c r="D30" s="218">
        <f>IFERROR(INDEX('PAR · Evaluación 1'!H:H,10+13),"")</f>
        <v/>
      </c>
      <c r="E30" s="219">
        <f>IFERROR(INDEX('PAR · Evaluación 2'!J:J,10+13),"")</f>
        <v/>
      </c>
      <c r="F30" s="228">
        <f>IFERROR(INDEX('PAR · Evaluación 3'!G:G,10+13),"")</f>
        <v/>
      </c>
      <c r="G30" s="297">
        <f>IFERROR(INDEX('PAR · 1ªORD'!J:J,10+13),"")</f>
        <v/>
      </c>
      <c r="H30" s="342">
        <f>IF(G30="","–",IF(G30&gt;=7,"🟢 NOTABLE",IF(G30&gt;=5,"🟡 APTO","🔴 NO APTO")))</f>
        <v/>
      </c>
      <c r="I30" s="58">
        <f>IFERROR(TEXT(COUNTIF(D30:F30,"&gt;0")/3,"0%"),"–")</f>
        <v/>
      </c>
    </row>
    <row r="31" ht="18" customHeight="1">
      <c r="B31" s="184" t="n">
        <v>14</v>
      </c>
      <c r="C31" s="208">
        <f>IFERROR('PAR · Alumnos'!C30&amp;IF('PAR · Alumnos'!D30&lt;&gt;"",", "&amp;'PAR · Alumnos'!D30,""),"")</f>
        <v/>
      </c>
      <c r="D31" s="218">
        <f>IFERROR(INDEX('PAR · Evaluación 1'!H:H,10+14),"")</f>
        <v/>
      </c>
      <c r="E31" s="219">
        <f>IFERROR(INDEX('PAR · Evaluación 2'!J:J,10+14),"")</f>
        <v/>
      </c>
      <c r="F31" s="228">
        <f>IFERROR(INDEX('PAR · Evaluación 3'!G:G,10+14),"")</f>
        <v/>
      </c>
      <c r="G31" s="249">
        <f>IFERROR(INDEX('PAR · 1ªORD'!J:J,10+14),"")</f>
        <v/>
      </c>
      <c r="H31" s="343">
        <f>IF(G31="","–",IF(G31&gt;=7,"🟢 NOTABLE",IF(G31&gt;=5,"🟡 APTO","🔴 NO APTO")))</f>
        <v/>
      </c>
      <c r="I31" s="64">
        <f>IFERROR(TEXT(COUNTIF(D31:F31,"&gt;0")/3,"0%"),"–")</f>
        <v/>
      </c>
    </row>
    <row r="32" ht="18" customHeight="1">
      <c r="B32" s="184" t="n">
        <v>15</v>
      </c>
      <c r="C32" s="208">
        <f>IFERROR('PAR · Alumnos'!C31&amp;IF('PAR · Alumnos'!D31&lt;&gt;"",", "&amp;'PAR · Alumnos'!D31,""),"")</f>
        <v/>
      </c>
      <c r="D32" s="218">
        <f>IFERROR(INDEX('PAR · Evaluación 1'!H:H,10+15),"")</f>
        <v/>
      </c>
      <c r="E32" s="219">
        <f>IFERROR(INDEX('PAR · Evaluación 2'!J:J,10+15),"")</f>
        <v/>
      </c>
      <c r="F32" s="228">
        <f>IFERROR(INDEX('PAR · Evaluación 3'!G:G,10+15),"")</f>
        <v/>
      </c>
      <c r="G32" s="297">
        <f>IFERROR(INDEX('PAR · 1ªORD'!J:J,10+15),"")</f>
        <v/>
      </c>
      <c r="H32" s="342">
        <f>IF(G32="","–",IF(G32&gt;=7,"🟢 NOTABLE",IF(G32&gt;=5,"🟡 APTO","🔴 NO APTO")))</f>
        <v/>
      </c>
      <c r="I32" s="58">
        <f>IFERROR(TEXT(COUNTIF(D32:F32,"&gt;0")/3,"0%"),"–")</f>
        <v/>
      </c>
    </row>
    <row r="33" ht="18" customHeight="1">
      <c r="B33" s="184" t="n">
        <v>16</v>
      </c>
      <c r="C33" s="208">
        <f>IFERROR('PAR · Alumnos'!C32&amp;IF('PAR · Alumnos'!D32&lt;&gt;"",", "&amp;'PAR · Alumnos'!D32,""),"")</f>
        <v/>
      </c>
      <c r="D33" s="218">
        <f>IFERROR(INDEX('PAR · Evaluación 1'!H:H,10+16),"")</f>
        <v/>
      </c>
      <c r="E33" s="219">
        <f>IFERROR(INDEX('PAR · Evaluación 2'!J:J,10+16),"")</f>
        <v/>
      </c>
      <c r="F33" s="228">
        <f>IFERROR(INDEX('PAR · Evaluación 3'!G:G,10+16),"")</f>
        <v/>
      </c>
      <c r="G33" s="249">
        <f>IFERROR(INDEX('PAR · 1ªORD'!J:J,10+16),"")</f>
        <v/>
      </c>
      <c r="H33" s="343">
        <f>IF(G33="","–",IF(G33&gt;=7,"🟢 NOTABLE",IF(G33&gt;=5,"🟡 APTO","🔴 NO APTO")))</f>
        <v/>
      </c>
      <c r="I33" s="64">
        <f>IFERROR(TEXT(COUNTIF(D33:F33,"&gt;0")/3,"0%"),"–")</f>
        <v/>
      </c>
    </row>
    <row r="34" ht="18" customHeight="1">
      <c r="B34" s="184" t="n">
        <v>17</v>
      </c>
      <c r="C34" s="208">
        <f>IFERROR('PAR · Alumnos'!C33&amp;IF('PAR · Alumnos'!D33&lt;&gt;"",", "&amp;'PAR · Alumnos'!D33,""),"")</f>
        <v/>
      </c>
      <c r="D34" s="218">
        <f>IFERROR(INDEX('PAR · Evaluación 1'!H:H,10+17),"")</f>
        <v/>
      </c>
      <c r="E34" s="219">
        <f>IFERROR(INDEX('PAR · Evaluación 2'!J:J,10+17),"")</f>
        <v/>
      </c>
      <c r="F34" s="228">
        <f>IFERROR(INDEX('PAR · Evaluación 3'!G:G,10+17),"")</f>
        <v/>
      </c>
      <c r="G34" s="297">
        <f>IFERROR(INDEX('PAR · 1ªORD'!J:J,10+17),"")</f>
        <v/>
      </c>
      <c r="H34" s="342">
        <f>IF(G34="","–",IF(G34&gt;=7,"🟢 NOTABLE",IF(G34&gt;=5,"🟡 APTO","🔴 NO APTO")))</f>
        <v/>
      </c>
      <c r="I34" s="58">
        <f>IFERROR(TEXT(COUNTIF(D34:F34,"&gt;0")/3,"0%"),"–")</f>
        <v/>
      </c>
    </row>
    <row r="35" ht="18" customHeight="1">
      <c r="B35" s="184" t="n">
        <v>18</v>
      </c>
      <c r="C35" s="208">
        <f>IFERROR('PAR · Alumnos'!C34&amp;IF('PAR · Alumnos'!D34&lt;&gt;"",", "&amp;'PAR · Alumnos'!D34,""),"")</f>
        <v/>
      </c>
      <c r="D35" s="218">
        <f>IFERROR(INDEX('PAR · Evaluación 1'!H:H,10+18),"")</f>
        <v/>
      </c>
      <c r="E35" s="219">
        <f>IFERROR(INDEX('PAR · Evaluación 2'!J:J,10+18),"")</f>
        <v/>
      </c>
      <c r="F35" s="228">
        <f>IFERROR(INDEX('PAR · Evaluación 3'!G:G,10+18),"")</f>
        <v/>
      </c>
      <c r="G35" s="249">
        <f>IFERROR(INDEX('PAR · 1ªORD'!J:J,10+18),"")</f>
        <v/>
      </c>
      <c r="H35" s="343">
        <f>IF(G35="","–",IF(G35&gt;=7,"🟢 NOTABLE",IF(G35&gt;=5,"🟡 APTO","🔴 NO APTO")))</f>
        <v/>
      </c>
      <c r="I35" s="64">
        <f>IFERROR(TEXT(COUNTIF(D35:F35,"&gt;0")/3,"0%"),"–")</f>
        <v/>
      </c>
    </row>
    <row r="36" ht="18" customHeight="1">
      <c r="B36" s="184" t="n">
        <v>19</v>
      </c>
      <c r="C36" s="208">
        <f>IFERROR('PAR · Alumnos'!C35&amp;IF('PAR · Alumnos'!D35&lt;&gt;"",", "&amp;'PAR · Alumnos'!D35,""),"")</f>
        <v/>
      </c>
      <c r="D36" s="218">
        <f>IFERROR(INDEX('PAR · Evaluación 1'!H:H,10+19),"")</f>
        <v/>
      </c>
      <c r="E36" s="219">
        <f>IFERROR(INDEX('PAR · Evaluación 2'!J:J,10+19),"")</f>
        <v/>
      </c>
      <c r="F36" s="228">
        <f>IFERROR(INDEX('PAR · Evaluación 3'!G:G,10+19),"")</f>
        <v/>
      </c>
      <c r="G36" s="297">
        <f>IFERROR(INDEX('PAR · 1ªORD'!J:J,10+19),"")</f>
        <v/>
      </c>
      <c r="H36" s="342">
        <f>IF(G36="","–",IF(G36&gt;=7,"🟢 NOTABLE",IF(G36&gt;=5,"🟡 APTO","🔴 NO APTO")))</f>
        <v/>
      </c>
      <c r="I36" s="58">
        <f>IFERROR(TEXT(COUNTIF(D36:F36,"&gt;0")/3,"0%"),"–")</f>
        <v/>
      </c>
    </row>
    <row r="37" ht="18" customHeight="1">
      <c r="B37" s="184" t="n">
        <v>20</v>
      </c>
      <c r="C37" s="208">
        <f>IFERROR('PAR · Alumnos'!C36&amp;IF('PAR · Alumnos'!D36&lt;&gt;"",", "&amp;'PAR · Alumnos'!D36,""),"")</f>
        <v/>
      </c>
      <c r="D37" s="218">
        <f>IFERROR(INDEX('PAR · Evaluación 1'!H:H,10+20),"")</f>
        <v/>
      </c>
      <c r="E37" s="219">
        <f>IFERROR(INDEX('PAR · Evaluación 2'!J:J,10+20),"")</f>
        <v/>
      </c>
      <c r="F37" s="228">
        <f>IFERROR(INDEX('PAR · Evaluación 3'!G:G,10+20),"")</f>
        <v/>
      </c>
      <c r="G37" s="249">
        <f>IFERROR(INDEX('PAR · 1ªORD'!J:J,10+20),"")</f>
        <v/>
      </c>
      <c r="H37" s="343">
        <f>IF(G37="","–",IF(G37&gt;=7,"🟢 NOTABLE",IF(G37&gt;=5,"🟡 APTO","🔴 NO APTO")))</f>
        <v/>
      </c>
      <c r="I37" s="64">
        <f>IFERROR(TEXT(COUNTIF(D37:F37,"&gt;0")/3,"0%"),"–")</f>
        <v/>
      </c>
    </row>
    <row r="38" ht="18" customHeight="1">
      <c r="B38" s="184" t="n">
        <v>21</v>
      </c>
      <c r="C38" s="208">
        <f>IFERROR('PAR · Alumnos'!C37&amp;IF('PAR · Alumnos'!D37&lt;&gt;"",", "&amp;'PAR · Alumnos'!D37,""),"")</f>
        <v/>
      </c>
      <c r="D38" s="218">
        <f>IFERROR(INDEX('PAR · Evaluación 1'!H:H,10+21),"")</f>
        <v/>
      </c>
      <c r="E38" s="219">
        <f>IFERROR(INDEX('PAR · Evaluación 2'!J:J,10+21),"")</f>
        <v/>
      </c>
      <c r="F38" s="228">
        <f>IFERROR(INDEX('PAR · Evaluación 3'!G:G,10+21),"")</f>
        <v/>
      </c>
      <c r="G38" s="297">
        <f>IFERROR(INDEX('PAR · 1ªORD'!J:J,10+21),"")</f>
        <v/>
      </c>
      <c r="H38" s="342">
        <f>IF(G38="","–",IF(G38&gt;=7,"🟢 NOTABLE",IF(G38&gt;=5,"🟡 APTO","🔴 NO APTO")))</f>
        <v/>
      </c>
      <c r="I38" s="58">
        <f>IFERROR(TEXT(COUNTIF(D38:F38,"&gt;0")/3,"0%"),"–")</f>
        <v/>
      </c>
    </row>
    <row r="39" ht="18" customHeight="1">
      <c r="B39" s="184" t="n">
        <v>22</v>
      </c>
      <c r="C39" s="208">
        <f>IFERROR('PAR · Alumnos'!C38&amp;IF('PAR · Alumnos'!D38&lt;&gt;"",", "&amp;'PAR · Alumnos'!D38,""),"")</f>
        <v/>
      </c>
      <c r="D39" s="218">
        <f>IFERROR(INDEX('PAR · Evaluación 1'!H:H,10+22),"")</f>
        <v/>
      </c>
      <c r="E39" s="219">
        <f>IFERROR(INDEX('PAR · Evaluación 2'!J:J,10+22),"")</f>
        <v/>
      </c>
      <c r="F39" s="228">
        <f>IFERROR(INDEX('PAR · Evaluación 3'!G:G,10+22),"")</f>
        <v/>
      </c>
      <c r="G39" s="249">
        <f>IFERROR(INDEX('PAR · 1ªORD'!J:J,10+22),"")</f>
        <v/>
      </c>
      <c r="H39" s="343">
        <f>IF(G39="","–",IF(G39&gt;=7,"🟢 NOTABLE",IF(G39&gt;=5,"🟡 APTO","🔴 NO APTO")))</f>
        <v/>
      </c>
      <c r="I39" s="64">
        <f>IFERROR(TEXT(COUNTIF(D39:F39,"&gt;0")/3,"0%"),"–")</f>
        <v/>
      </c>
    </row>
    <row r="40" ht="18" customHeight="1">
      <c r="B40" s="184" t="n">
        <v>23</v>
      </c>
      <c r="C40" s="208">
        <f>IFERROR('PAR · Alumnos'!C39&amp;IF('PAR · Alumnos'!D39&lt;&gt;"",", "&amp;'PAR · Alumnos'!D39,""),"")</f>
        <v/>
      </c>
      <c r="D40" s="218">
        <f>IFERROR(INDEX('PAR · Evaluación 1'!H:H,10+23),"")</f>
        <v/>
      </c>
      <c r="E40" s="219">
        <f>IFERROR(INDEX('PAR · Evaluación 2'!J:J,10+23),"")</f>
        <v/>
      </c>
      <c r="F40" s="228">
        <f>IFERROR(INDEX('PAR · Evaluación 3'!G:G,10+23),"")</f>
        <v/>
      </c>
      <c r="G40" s="297">
        <f>IFERROR(INDEX('PAR · 1ªORD'!J:J,10+23),"")</f>
        <v/>
      </c>
      <c r="H40" s="342">
        <f>IF(G40="","–",IF(G40&gt;=7,"🟢 NOTABLE",IF(G40&gt;=5,"🟡 APTO","🔴 NO APTO")))</f>
        <v/>
      </c>
      <c r="I40" s="58">
        <f>IFERROR(TEXT(COUNTIF(D40:F40,"&gt;0")/3,"0%"),"–")</f>
        <v/>
      </c>
    </row>
    <row r="41" ht="18" customHeight="1">
      <c r="B41" s="184" t="n">
        <v>24</v>
      </c>
      <c r="C41" s="208">
        <f>IFERROR('PAR · Alumnos'!C40&amp;IF('PAR · Alumnos'!D40&lt;&gt;"",", "&amp;'PAR · Alumnos'!D40,""),"")</f>
        <v/>
      </c>
      <c r="D41" s="218">
        <f>IFERROR(INDEX('PAR · Evaluación 1'!H:H,10+24),"")</f>
        <v/>
      </c>
      <c r="E41" s="219">
        <f>IFERROR(INDEX('PAR · Evaluación 2'!J:J,10+24),"")</f>
        <v/>
      </c>
      <c r="F41" s="228">
        <f>IFERROR(INDEX('PAR · Evaluación 3'!G:G,10+24),"")</f>
        <v/>
      </c>
      <c r="G41" s="249">
        <f>IFERROR(INDEX('PAR · 1ªORD'!J:J,10+24),"")</f>
        <v/>
      </c>
      <c r="H41" s="343">
        <f>IF(G41="","–",IF(G41&gt;=7,"🟢 NOTABLE",IF(G41&gt;=5,"🟡 APTO","🔴 NO APTO")))</f>
        <v/>
      </c>
      <c r="I41" s="64">
        <f>IFERROR(TEXT(COUNTIF(D41:F41,"&gt;0")/3,"0%"),"–")</f>
        <v/>
      </c>
    </row>
    <row r="42" ht="18" customHeight="1">
      <c r="B42" s="184" t="n">
        <v>25</v>
      </c>
      <c r="C42" s="208">
        <f>IFERROR('PAR · Alumnos'!C41&amp;IF('PAR · Alumnos'!D41&lt;&gt;"",", "&amp;'PAR · Alumnos'!D41,""),"")</f>
        <v/>
      </c>
      <c r="D42" s="218">
        <f>IFERROR(INDEX('PAR · Evaluación 1'!H:H,10+25),"")</f>
        <v/>
      </c>
      <c r="E42" s="219">
        <f>IFERROR(INDEX('PAR · Evaluación 2'!J:J,10+25),"")</f>
        <v/>
      </c>
      <c r="F42" s="228">
        <f>IFERROR(INDEX('PAR · Evaluación 3'!G:G,10+25),"")</f>
        <v/>
      </c>
      <c r="G42" s="297">
        <f>IFERROR(INDEX('PAR · 1ªORD'!J:J,10+25),"")</f>
        <v/>
      </c>
      <c r="H42" s="342">
        <f>IF(G42="","–",IF(G42&gt;=7,"🟢 NOTABLE",IF(G42&gt;=5,"🟡 APTO","🔴 NO APTO")))</f>
        <v/>
      </c>
      <c r="I42" s="58">
        <f>IFERROR(TEXT(COUNTIF(D42:F42,"&gt;0")/3,"0%"),"–")</f>
        <v/>
      </c>
    </row>
    <row r="43" ht="18" customHeight="1">
      <c r="B43" s="184" t="n">
        <v>26</v>
      </c>
      <c r="C43" s="208">
        <f>IFERROR('PAR · Alumnos'!C42&amp;IF('PAR · Alumnos'!D42&lt;&gt;"",", "&amp;'PAR · Alumnos'!D42,""),"")</f>
        <v/>
      </c>
      <c r="D43" s="218">
        <f>IFERROR(INDEX('PAR · Evaluación 1'!H:H,10+26),"")</f>
        <v/>
      </c>
      <c r="E43" s="219">
        <f>IFERROR(INDEX('PAR · Evaluación 2'!J:J,10+26),"")</f>
        <v/>
      </c>
      <c r="F43" s="228">
        <f>IFERROR(INDEX('PAR · Evaluación 3'!G:G,10+26),"")</f>
        <v/>
      </c>
      <c r="G43" s="249">
        <f>IFERROR(INDEX('PAR · 1ªORD'!J:J,10+26),"")</f>
        <v/>
      </c>
      <c r="H43" s="343">
        <f>IF(G43="","–",IF(G43&gt;=7,"🟢 NOTABLE",IF(G43&gt;=5,"🟡 APTO","🔴 NO APTO")))</f>
        <v/>
      </c>
      <c r="I43" s="64">
        <f>IFERROR(TEXT(COUNTIF(D43:F43,"&gt;0")/3,"0%"),"–")</f>
        <v/>
      </c>
    </row>
    <row r="44" ht="18" customHeight="1">
      <c r="B44" s="184" t="n">
        <v>27</v>
      </c>
      <c r="C44" s="208">
        <f>IFERROR('PAR · Alumnos'!C43&amp;IF('PAR · Alumnos'!D43&lt;&gt;"",", "&amp;'PAR · Alumnos'!D43,""),"")</f>
        <v/>
      </c>
      <c r="D44" s="218">
        <f>IFERROR(INDEX('PAR · Evaluación 1'!H:H,10+27),"")</f>
        <v/>
      </c>
      <c r="E44" s="219">
        <f>IFERROR(INDEX('PAR · Evaluación 2'!J:J,10+27),"")</f>
        <v/>
      </c>
      <c r="F44" s="228">
        <f>IFERROR(INDEX('PAR · Evaluación 3'!G:G,10+27),"")</f>
        <v/>
      </c>
      <c r="G44" s="297">
        <f>IFERROR(INDEX('PAR · 1ªORD'!J:J,10+27),"")</f>
        <v/>
      </c>
      <c r="H44" s="342">
        <f>IF(G44="","–",IF(G44&gt;=7,"🟢 NOTABLE",IF(G44&gt;=5,"🟡 APTO","🔴 NO APTO")))</f>
        <v/>
      </c>
      <c r="I44" s="58">
        <f>IFERROR(TEXT(COUNTIF(D44:F44,"&gt;0")/3,"0%"),"–")</f>
        <v/>
      </c>
    </row>
    <row r="45" ht="18" customHeight="1">
      <c r="B45" s="184" t="n">
        <v>28</v>
      </c>
      <c r="C45" s="208">
        <f>IFERROR('PAR · Alumnos'!C44&amp;IF('PAR · Alumnos'!D44&lt;&gt;"",", "&amp;'PAR · Alumnos'!D44,""),"")</f>
        <v/>
      </c>
      <c r="D45" s="218">
        <f>IFERROR(INDEX('PAR · Evaluación 1'!H:H,10+28),"")</f>
        <v/>
      </c>
      <c r="E45" s="219">
        <f>IFERROR(INDEX('PAR · Evaluación 2'!J:J,10+28),"")</f>
        <v/>
      </c>
      <c r="F45" s="228">
        <f>IFERROR(INDEX('PAR · Evaluación 3'!G:G,10+28),"")</f>
        <v/>
      </c>
      <c r="G45" s="249">
        <f>IFERROR(INDEX('PAR · 1ªORD'!J:J,10+28),"")</f>
        <v/>
      </c>
      <c r="H45" s="343">
        <f>IF(G45="","–",IF(G45&gt;=7,"🟢 NOTABLE",IF(G45&gt;=5,"🟡 APTO","🔴 NO APTO")))</f>
        <v/>
      </c>
      <c r="I45" s="64">
        <f>IFERROR(TEXT(COUNTIF(D45:F45,"&gt;0")/3,"0%"),"–")</f>
        <v/>
      </c>
    </row>
    <row r="46" ht="18" customHeight="1">
      <c r="B46" s="184" t="n">
        <v>29</v>
      </c>
      <c r="C46" s="208">
        <f>IFERROR('PAR · Alumnos'!C45&amp;IF('PAR · Alumnos'!D45&lt;&gt;"",", "&amp;'PAR · Alumnos'!D45,""),"")</f>
        <v/>
      </c>
      <c r="D46" s="218">
        <f>IFERROR(INDEX('PAR · Evaluación 1'!H:H,10+29),"")</f>
        <v/>
      </c>
      <c r="E46" s="219">
        <f>IFERROR(INDEX('PAR · Evaluación 2'!J:J,10+29),"")</f>
        <v/>
      </c>
      <c r="F46" s="228">
        <f>IFERROR(INDEX('PAR · Evaluación 3'!G:G,10+29),"")</f>
        <v/>
      </c>
      <c r="G46" s="297">
        <f>IFERROR(INDEX('PAR · 1ªORD'!J:J,10+29),"")</f>
        <v/>
      </c>
      <c r="H46" s="342">
        <f>IF(G46="","–",IF(G46&gt;=7,"🟢 NOTABLE",IF(G46&gt;=5,"🟡 APTO","🔴 NO APTO")))</f>
        <v/>
      </c>
      <c r="I46" s="58">
        <f>IFERROR(TEXT(COUNTIF(D46:F46,"&gt;0")/3,"0%"),"–")</f>
        <v/>
      </c>
    </row>
    <row r="47" ht="18" customHeight="1">
      <c r="B47" s="184" t="n">
        <v>30</v>
      </c>
      <c r="C47" s="208">
        <f>IFERROR('PAR · Alumnos'!C46&amp;IF('PAR · Alumnos'!D46&lt;&gt;"",", "&amp;'PAR · Alumnos'!D46,""),"")</f>
        <v/>
      </c>
      <c r="D47" s="218">
        <f>IFERROR(INDEX('PAR · Evaluación 1'!H:H,10+30),"")</f>
        <v/>
      </c>
      <c r="E47" s="219">
        <f>IFERROR(INDEX('PAR · Evaluación 2'!J:J,10+30),"")</f>
        <v/>
      </c>
      <c r="F47" s="228">
        <f>IFERROR(INDEX('PAR · Evaluación 3'!G:G,10+30),"")</f>
        <v/>
      </c>
      <c r="G47" s="249">
        <f>IFERROR(INDEX('PAR · 1ªORD'!J:J,10+30),"")</f>
        <v/>
      </c>
      <c r="H47" s="343">
        <f>IF(G47="","–",IF(G47&gt;=7,"🟢 NOTABLE",IF(G47&gt;=5,"🟡 APTO","🔴 NO APTO")))</f>
        <v/>
      </c>
      <c r="I47" s="64">
        <f>IFERROR(TEXT(COUNTIF(D47:F47,"&gt;0")/3,"0%"),"–")</f>
        <v/>
      </c>
    </row>
    <row r="48" ht="5" customHeight="1">
      <c r="B48" s="1"/>
      <c r="C48" s="1"/>
      <c r="D48" s="1"/>
      <c r="E48" s="1"/>
      <c r="F48" s="1"/>
      <c r="G48" s="1"/>
      <c r="H48" s="1"/>
      <c r="I48" s="1"/>
    </row>
    <row r="49" ht="14" customHeight="1">
      <c r="B49" s="35" t="inlineStr">
        <is>
          <t xml:space="preserve">  RENDIMIENTO POR RA — Media del grupo (desde Reg. Notas)</t>
        </is>
      </c>
    </row>
    <row r="50" ht="26" customHeight="1">
      <c r="B50" s="318" t="inlineStr">
        <is>
          <t>RA1
EV1 · 15%</t>
        </is>
      </c>
      <c r="C50" s="319" t="inlineStr">
        <is>
          <t>RA2
EV1 · 20%</t>
        </is>
      </c>
      <c r="D50" s="320" t="inlineStr">
        <is>
          <t>RA3
EV2 · 20%</t>
        </is>
      </c>
      <c r="E50" s="321" t="inlineStr">
        <is>
          <t>RA4
EV2 · 25%</t>
        </is>
      </c>
      <c r="F50" s="322" t="inlineStr">
        <is>
          <t>RA5
EV2 · 10%</t>
        </is>
      </c>
      <c r="G50" s="323" t="inlineStr">
        <is>
          <t>RA6
EV3 · 10%</t>
        </is>
      </c>
    </row>
    <row r="51" ht="24" customHeight="1">
      <c r="B51" s="344">
        <f>IFERROR(ROUND(AVERAGE('PAR · Reg. Notas'!O11:O40),2),"–")</f>
        <v/>
      </c>
      <c r="C51" s="345">
        <f>IFERROR(ROUND(AVERAGE('PAR · Reg. Notas'!P11:P40),2),"–")</f>
        <v/>
      </c>
      <c r="D51" s="346">
        <f>IFERROR(ROUND(AVERAGE('PAR · Reg. Notas'!Q11:Q40),2),"–")</f>
        <v/>
      </c>
      <c r="E51" s="347">
        <f>IFERROR(ROUND(AVERAGE('PAR · Reg. Notas'!R11:R40),2),"–")</f>
        <v/>
      </c>
      <c r="F51" s="348">
        <f>IFERROR(ROUND(AVERAGE('PAR · Reg. Notas'!S11:S40),2),"–")</f>
        <v/>
      </c>
      <c r="G51" s="349">
        <f>IFERROR(ROUND(AVERAGE('PAR · Reg. Notas'!T11:T40),2),"–")</f>
        <v/>
      </c>
    </row>
    <row r="53" ht="14" customHeight="1">
      <c r="B53" s="44" t="inlineStr">
        <is>
          <t>★  Los datos se actualizan automáticamente al introducir notas. Semáforo: 🟢 ≥7 · 🟡 5-6.9 · 🔴 &lt;5.  En riesgo = nota final &lt; 4.</t>
        </is>
      </c>
    </row>
  </sheetData>
  <mergeCells count="18"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  <mergeCell ref="B2:K2"/>
    <mergeCell ref="B9:C9"/>
    <mergeCell ref="D9:E9"/>
    <mergeCell ref="B8:I8"/>
    <mergeCell ref="B49:I49"/>
    <mergeCell ref="B3:K3"/>
    <mergeCell ref="D12:E12"/>
    <mergeCell ref="B12:C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</t>
        </is>
      </c>
      <c r="B1" s="351" t="inlineStr">
        <is>
          <t>nombre</t>
        </is>
      </c>
      <c r="C1" s="351" t="inlineStr">
        <is>
          <t>horas</t>
        </is>
      </c>
      <c r="D1" s="351" t="inlineStr">
        <is>
          <t>evaluacion</t>
        </is>
      </c>
      <c r="E1" s="351" t="inlineStr">
        <is>
          <t>pond_pct</t>
        </is>
      </c>
      <c r="F1" s="351" t="inlineStr">
        <is>
          <t>tags</t>
        </is>
      </c>
    </row>
    <row r="2">
      <c r="A2" t="inlineStr">
        <is>
          <t>UT1</t>
        </is>
      </c>
      <c r="B2" t="inlineStr">
        <is>
          <t>Introducción a las redes locales</t>
        </is>
      </c>
      <c r="C2" t="n">
        <v>20</v>
      </c>
      <c r="D2" t="n">
        <v>1</v>
      </c>
      <c r="E2" t="n">
        <v>12.9</v>
      </c>
      <c r="F2" t="inlineStr">
        <is>
          <t>OSI · TCP/IP · Ethernet</t>
        </is>
      </c>
    </row>
    <row r="3">
      <c r="A3" t="inlineStr">
        <is>
          <t>UT2</t>
        </is>
      </c>
      <c r="B3" t="inlineStr">
        <is>
          <t>Dispositivos de red y medios de transmisión</t>
        </is>
      </c>
      <c r="C3" t="n">
        <v>22</v>
      </c>
      <c r="D3" t="n">
        <v>1</v>
      </c>
      <c r="E3" t="n">
        <v>14.19</v>
      </c>
      <c r="F3" t="inlineStr">
        <is>
          <t>Switch · Router · Cableado estructurado</t>
        </is>
      </c>
    </row>
    <row r="4">
      <c r="A4" t="inlineStr">
        <is>
          <t>UT3</t>
        </is>
      </c>
      <c r="B4" t="inlineStr">
        <is>
          <t>Configuración y administración de conmutadores</t>
        </is>
      </c>
      <c r="C4" t="n">
        <v>22</v>
      </c>
      <c r="D4" t="n">
        <v>2</v>
      </c>
      <c r="E4" t="n">
        <v>14.19</v>
      </c>
      <c r="F4" t="inlineStr">
        <is>
          <t>VLANs · STP · Port-security</t>
        </is>
      </c>
    </row>
    <row r="5">
      <c r="A5" t="inlineStr">
        <is>
          <t>UT4</t>
        </is>
      </c>
      <c r="B5" t="inlineStr">
        <is>
          <t>Configuración y administración de routers</t>
        </is>
      </c>
      <c r="C5" t="n">
        <v>28</v>
      </c>
      <c r="D5" t="n">
        <v>2</v>
      </c>
      <c r="E5" t="n">
        <v>18.06</v>
      </c>
      <c r="F5" t="inlineStr">
        <is>
          <t>OSPF · RIP · NAT · ACLs</t>
        </is>
      </c>
    </row>
    <row r="6">
      <c r="A6" t="inlineStr">
        <is>
          <t>UT5</t>
        </is>
      </c>
      <c r="B6" t="inlineStr">
        <is>
          <t>Configuración de redes inalámbricas</t>
        </is>
      </c>
      <c r="C6" t="n">
        <v>20</v>
      </c>
      <c r="D6" t="n">
        <v>2</v>
      </c>
      <c r="E6" t="n">
        <v>12.9</v>
      </c>
      <c r="F6" t="inlineStr">
        <is>
          <t>WiFi 6 · WPA3 · RADIUS</t>
        </is>
      </c>
    </row>
    <row r="7">
      <c r="A7" t="inlineStr">
        <is>
          <t>UT6</t>
        </is>
      </c>
      <c r="B7" t="inlineStr">
        <is>
          <t>Introducción a las redes WAN y servicios de red</t>
        </is>
      </c>
      <c r="C7" t="n">
        <v>22</v>
      </c>
      <c r="D7" t="n">
        <v>3</v>
      </c>
      <c r="E7" t="n">
        <v>14.19</v>
      </c>
      <c r="F7" t="inlineStr">
        <is>
          <t>DHCP · DNS · VPN · MPLS</t>
        </is>
      </c>
    </row>
    <row r="8">
      <c r="A8" t="inlineStr">
        <is>
          <t>UT7</t>
        </is>
      </c>
      <c r="B8" t="inlineStr">
        <is>
          <t>Resolución de incidencias de red</t>
        </is>
      </c>
      <c r="C8" t="n">
        <v>21</v>
      </c>
      <c r="D8" t="n">
        <v>3</v>
      </c>
      <c r="E8" t="n">
        <v>13.55</v>
      </c>
      <c r="F8" t="inlineStr">
        <is>
          <t>Wireshark · ping · traceroute · SNMP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</t>
        </is>
      </c>
      <c r="B1" s="351" t="inlineStr">
        <is>
          <t>nombre</t>
        </is>
      </c>
      <c r="C1" s="351" t="inlineStr">
        <is>
          <t>pond_pct</t>
        </is>
      </c>
      <c r="D1" s="351" t="inlineStr">
        <is>
          <t>total_ces</t>
        </is>
      </c>
      <c r="E1" s="351" t="inlineStr">
        <is>
          <t>horas_equiv</t>
        </is>
      </c>
    </row>
    <row r="2">
      <c r="A2" t="inlineStr">
        <is>
          <t>RA1</t>
        </is>
      </c>
      <c r="B2" t="inlineStr">
        <is>
          <t>Reconoce la estructura de las redes de datos describiendo sus elementos y funcionamiento.</t>
        </is>
      </c>
      <c r="C2" t="n">
        <v>15</v>
      </c>
      <c r="D2" t="n">
        <v>8</v>
      </c>
      <c r="E2" t="n">
        <v>24.89</v>
      </c>
    </row>
    <row r="3">
      <c r="A3" t="inlineStr">
        <is>
          <t>RA2</t>
        </is>
      </c>
      <c r="B3" t="inlineStr">
        <is>
          <t>Integra ordenadores y periféricos en redes cableadas e inalámbricas, evaluando su funcionamiento y prestaciones.</t>
        </is>
      </c>
      <c r="C3" t="n">
        <v>20</v>
      </c>
      <c r="D3" t="n">
        <v>7</v>
      </c>
      <c r="E3" t="n">
        <v>17.11</v>
      </c>
    </row>
    <row r="4">
      <c r="A4" t="inlineStr">
        <is>
          <t>RA3</t>
        </is>
      </c>
      <c r="B4" t="inlineStr">
        <is>
          <t>Administra conmutadores estableciendo opciones de configuración para su integración en la red.</t>
        </is>
      </c>
      <c r="C4" t="n">
        <v>20</v>
      </c>
      <c r="D4" t="n">
        <v>8</v>
      </c>
      <c r="E4" t="n">
        <v>22</v>
      </c>
    </row>
    <row r="5">
      <c r="A5" t="inlineStr">
        <is>
          <t>RA4</t>
        </is>
      </c>
      <c r="B5" t="inlineStr">
        <is>
          <t>Administra las funciones de un router estableciendo opciones de configuración para su integración en la red.</t>
        </is>
      </c>
      <c r="C5" t="n">
        <v>25</v>
      </c>
      <c r="D5" t="n">
        <v>12</v>
      </c>
      <c r="E5" t="n">
        <v>52.86</v>
      </c>
    </row>
    <row r="6">
      <c r="A6" t="inlineStr">
        <is>
          <t>RA5</t>
        </is>
      </c>
      <c r="B6" t="inlineStr">
        <is>
          <t>Configura redes inalámbricas en modo infraestructura describiendo sus características y relacionándolas con su área de aplicación.</t>
        </is>
      </c>
      <c r="C6" t="n">
        <v>10</v>
      </c>
      <c r="D6" t="n">
        <v>6</v>
      </c>
      <c r="E6" t="n">
        <v>17.14</v>
      </c>
    </row>
    <row r="7">
      <c r="A7" t="inlineStr">
        <is>
          <t>RA6</t>
        </is>
      </c>
      <c r="B7" t="inlineStr">
        <is>
          <t>Soluciona problemas de conectividad en redes locales y en redes con salida a Internet identificando las causas y describiendo las soluciones.</t>
        </is>
      </c>
      <c r="C7" t="n">
        <v>10</v>
      </c>
      <c r="D7" t="n">
        <v>7</v>
      </c>
      <c r="E7" t="n">
        <v>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id_ra</t>
        </is>
      </c>
      <c r="B1" s="351" t="inlineStr">
        <is>
          <t>id_ce</t>
        </is>
      </c>
      <c r="C1" s="351" t="inlineStr">
        <is>
          <t>ce_numero</t>
        </is>
      </c>
    </row>
    <row r="2">
      <c r="A2" t="inlineStr">
        <is>
          <t>RA1</t>
        </is>
      </c>
      <c r="B2" t="inlineStr">
        <is>
          <t>CR1</t>
        </is>
      </c>
      <c r="C2" t="n">
        <v>1</v>
      </c>
    </row>
    <row r="3">
      <c r="A3" t="inlineStr">
        <is>
          <t>RA1</t>
        </is>
      </c>
      <c r="B3" t="inlineStr">
        <is>
          <t>CR2</t>
        </is>
      </c>
      <c r="C3" t="n">
        <v>2</v>
      </c>
    </row>
    <row r="4">
      <c r="A4" t="inlineStr">
        <is>
          <t>RA1</t>
        </is>
      </c>
      <c r="B4" t="inlineStr">
        <is>
          <t>CR3</t>
        </is>
      </c>
      <c r="C4" t="n">
        <v>3</v>
      </c>
    </row>
    <row r="5">
      <c r="A5" t="inlineStr">
        <is>
          <t>RA1</t>
        </is>
      </c>
      <c r="B5" t="inlineStr">
        <is>
          <t>CR4</t>
        </is>
      </c>
      <c r="C5" t="n">
        <v>4</v>
      </c>
    </row>
    <row r="6">
      <c r="A6" t="inlineStr">
        <is>
          <t>RA1</t>
        </is>
      </c>
      <c r="B6" t="inlineStr">
        <is>
          <t>CR5</t>
        </is>
      </c>
      <c r="C6" t="n">
        <v>5</v>
      </c>
    </row>
    <row r="7">
      <c r="A7" t="inlineStr">
        <is>
          <t>RA1</t>
        </is>
      </c>
      <c r="B7" t="inlineStr">
        <is>
          <t>CR6</t>
        </is>
      </c>
      <c r="C7" t="n">
        <v>6</v>
      </c>
    </row>
    <row r="8">
      <c r="A8" t="inlineStr">
        <is>
          <t>RA1</t>
        </is>
      </c>
      <c r="B8" t="inlineStr">
        <is>
          <t>CR7</t>
        </is>
      </c>
      <c r="C8" t="n">
        <v>7</v>
      </c>
    </row>
    <row r="9">
      <c r="A9" t="inlineStr">
        <is>
          <t>RA1</t>
        </is>
      </c>
      <c r="B9" t="inlineStr">
        <is>
          <t>CR8</t>
        </is>
      </c>
      <c r="C9" t="n">
        <v>8</v>
      </c>
    </row>
    <row r="10">
      <c r="A10" t="inlineStr">
        <is>
          <t>RA2</t>
        </is>
      </c>
      <c r="B10" t="inlineStr">
        <is>
          <t>CR1</t>
        </is>
      </c>
      <c r="C10" t="n">
        <v>1</v>
      </c>
    </row>
    <row r="11">
      <c r="A11" t="inlineStr">
        <is>
          <t>RA2</t>
        </is>
      </c>
      <c r="B11" t="inlineStr">
        <is>
          <t>CR2</t>
        </is>
      </c>
      <c r="C11" t="n">
        <v>2</v>
      </c>
    </row>
    <row r="12">
      <c r="A12" t="inlineStr">
        <is>
          <t>RA2</t>
        </is>
      </c>
      <c r="B12" t="inlineStr">
        <is>
          <t>CR3</t>
        </is>
      </c>
      <c r="C12" t="n">
        <v>3</v>
      </c>
    </row>
    <row r="13">
      <c r="A13" t="inlineStr">
        <is>
          <t>RA2</t>
        </is>
      </c>
      <c r="B13" t="inlineStr">
        <is>
          <t>CR4</t>
        </is>
      </c>
      <c r="C13" t="n">
        <v>4</v>
      </c>
    </row>
    <row r="14">
      <c r="A14" t="inlineStr">
        <is>
          <t>RA2</t>
        </is>
      </c>
      <c r="B14" t="inlineStr">
        <is>
          <t>CR5</t>
        </is>
      </c>
      <c r="C14" t="n">
        <v>5</v>
      </c>
    </row>
    <row r="15">
      <c r="A15" t="inlineStr">
        <is>
          <t>RA2</t>
        </is>
      </c>
      <c r="B15" t="inlineStr">
        <is>
          <t>CR6</t>
        </is>
      </c>
      <c r="C15" t="n">
        <v>6</v>
      </c>
    </row>
    <row r="16">
      <c r="A16" t="inlineStr">
        <is>
          <t>RA2</t>
        </is>
      </c>
      <c r="B16" t="inlineStr">
        <is>
          <t>CR7</t>
        </is>
      </c>
      <c r="C16" t="n">
        <v>7</v>
      </c>
    </row>
    <row r="17">
      <c r="A17" t="inlineStr">
        <is>
          <t>RA3</t>
        </is>
      </c>
      <c r="B17" t="inlineStr">
        <is>
          <t>CR1</t>
        </is>
      </c>
      <c r="C17" t="n">
        <v>1</v>
      </c>
    </row>
    <row r="18">
      <c r="A18" t="inlineStr">
        <is>
          <t>RA3</t>
        </is>
      </c>
      <c r="B18" t="inlineStr">
        <is>
          <t>CR2</t>
        </is>
      </c>
      <c r="C18" t="n">
        <v>2</v>
      </c>
    </row>
    <row r="19">
      <c r="A19" t="inlineStr">
        <is>
          <t>RA3</t>
        </is>
      </c>
      <c r="B19" t="inlineStr">
        <is>
          <t>CR3</t>
        </is>
      </c>
      <c r="C19" t="n">
        <v>3</v>
      </c>
    </row>
    <row r="20">
      <c r="A20" t="inlineStr">
        <is>
          <t>RA3</t>
        </is>
      </c>
      <c r="B20" t="inlineStr">
        <is>
          <t>CR4</t>
        </is>
      </c>
      <c r="C20" t="n">
        <v>4</v>
      </c>
    </row>
    <row r="21">
      <c r="A21" t="inlineStr">
        <is>
          <t>RA3</t>
        </is>
      </c>
      <c r="B21" t="inlineStr">
        <is>
          <t>CR5</t>
        </is>
      </c>
      <c r="C21" t="n">
        <v>5</v>
      </c>
    </row>
    <row r="22">
      <c r="A22" t="inlineStr">
        <is>
          <t>RA3</t>
        </is>
      </c>
      <c r="B22" t="inlineStr">
        <is>
          <t>CR6</t>
        </is>
      </c>
      <c r="C22" t="n">
        <v>6</v>
      </c>
    </row>
    <row r="23">
      <c r="A23" t="inlineStr">
        <is>
          <t>RA3</t>
        </is>
      </c>
      <c r="B23" t="inlineStr">
        <is>
          <t>CR7</t>
        </is>
      </c>
      <c r="C23" t="n">
        <v>7</v>
      </c>
    </row>
    <row r="24">
      <c r="A24" t="inlineStr">
        <is>
          <t>RA3</t>
        </is>
      </c>
      <c r="B24" t="inlineStr">
        <is>
          <t>CR8</t>
        </is>
      </c>
      <c r="C24" t="n">
        <v>8</v>
      </c>
    </row>
    <row r="25">
      <c r="A25" t="inlineStr">
        <is>
          <t>RA4</t>
        </is>
      </c>
      <c r="B25" t="inlineStr">
        <is>
          <t>CR1</t>
        </is>
      </c>
      <c r="C25" t="n">
        <v>1</v>
      </c>
    </row>
    <row r="26">
      <c r="A26" t="inlineStr">
        <is>
          <t>RA4</t>
        </is>
      </c>
      <c r="B26" t="inlineStr">
        <is>
          <t>CR2</t>
        </is>
      </c>
      <c r="C26" t="n">
        <v>2</v>
      </c>
    </row>
    <row r="27">
      <c r="A27" t="inlineStr">
        <is>
          <t>RA4</t>
        </is>
      </c>
      <c r="B27" t="inlineStr">
        <is>
          <t>CR3</t>
        </is>
      </c>
      <c r="C27" t="n">
        <v>3</v>
      </c>
    </row>
    <row r="28">
      <c r="A28" t="inlineStr">
        <is>
          <t>RA4</t>
        </is>
      </c>
      <c r="B28" t="inlineStr">
        <is>
          <t>CR4</t>
        </is>
      </c>
      <c r="C28" t="n">
        <v>4</v>
      </c>
    </row>
    <row r="29">
      <c r="A29" t="inlineStr">
        <is>
          <t>RA4</t>
        </is>
      </c>
      <c r="B29" t="inlineStr">
        <is>
          <t>CR5</t>
        </is>
      </c>
      <c r="C29" t="n">
        <v>5</v>
      </c>
    </row>
    <row r="30">
      <c r="A30" t="inlineStr">
        <is>
          <t>RA4</t>
        </is>
      </c>
      <c r="B30" t="inlineStr">
        <is>
          <t>CR6</t>
        </is>
      </c>
      <c r="C30" t="n">
        <v>6</v>
      </c>
    </row>
    <row r="31">
      <c r="A31" t="inlineStr">
        <is>
          <t>RA4</t>
        </is>
      </c>
      <c r="B31" t="inlineStr">
        <is>
          <t>CR7</t>
        </is>
      </c>
      <c r="C31" t="n">
        <v>7</v>
      </c>
    </row>
    <row r="32">
      <c r="A32" t="inlineStr">
        <is>
          <t>RA4</t>
        </is>
      </c>
      <c r="B32" t="inlineStr">
        <is>
          <t>CR8</t>
        </is>
      </c>
      <c r="C32" t="n">
        <v>8</v>
      </c>
    </row>
    <row r="33">
      <c r="A33" t="inlineStr">
        <is>
          <t>RA4</t>
        </is>
      </c>
      <c r="B33" t="inlineStr">
        <is>
          <t>CR9</t>
        </is>
      </c>
      <c r="C33" t="n">
        <v>9</v>
      </c>
    </row>
    <row r="34">
      <c r="A34" t="inlineStr">
        <is>
          <t>RA4</t>
        </is>
      </c>
      <c r="B34" t="inlineStr">
        <is>
          <t>CR10</t>
        </is>
      </c>
      <c r="C34" t="n">
        <v>10</v>
      </c>
    </row>
    <row r="35">
      <c r="A35" t="inlineStr">
        <is>
          <t>RA4</t>
        </is>
      </c>
      <c r="B35" t="inlineStr">
        <is>
          <t>CR11</t>
        </is>
      </c>
      <c r="C35" t="n">
        <v>11</v>
      </c>
    </row>
    <row r="36">
      <c r="A36" t="inlineStr">
        <is>
          <t>RA4</t>
        </is>
      </c>
      <c r="B36" t="inlineStr">
        <is>
          <t>CR12</t>
        </is>
      </c>
      <c r="C36" t="n">
        <v>12</v>
      </c>
    </row>
    <row r="37">
      <c r="A37" t="inlineStr">
        <is>
          <t>RA5</t>
        </is>
      </c>
      <c r="B37" t="inlineStr">
        <is>
          <t>CR1</t>
        </is>
      </c>
      <c r="C37" t="n">
        <v>1</v>
      </c>
    </row>
    <row r="38">
      <c r="A38" t="inlineStr">
        <is>
          <t>RA5</t>
        </is>
      </c>
      <c r="B38" t="inlineStr">
        <is>
          <t>CR2</t>
        </is>
      </c>
      <c r="C38" t="n">
        <v>2</v>
      </c>
    </row>
    <row r="39">
      <c r="A39" t="inlineStr">
        <is>
          <t>RA5</t>
        </is>
      </c>
      <c r="B39" t="inlineStr">
        <is>
          <t>CR3</t>
        </is>
      </c>
      <c r="C39" t="n">
        <v>3</v>
      </c>
    </row>
    <row r="40">
      <c r="A40" t="inlineStr">
        <is>
          <t>RA5</t>
        </is>
      </c>
      <c r="B40" t="inlineStr">
        <is>
          <t>CR4</t>
        </is>
      </c>
      <c r="C40" t="n">
        <v>4</v>
      </c>
    </row>
    <row r="41">
      <c r="A41" t="inlineStr">
        <is>
          <t>RA5</t>
        </is>
      </c>
      <c r="B41" t="inlineStr">
        <is>
          <t>CR5</t>
        </is>
      </c>
      <c r="C41" t="n">
        <v>5</v>
      </c>
    </row>
    <row r="42">
      <c r="A42" t="inlineStr">
        <is>
          <t>RA5</t>
        </is>
      </c>
      <c r="B42" t="inlineStr">
        <is>
          <t>CR6</t>
        </is>
      </c>
      <c r="C42" t="n">
        <v>6</v>
      </c>
    </row>
    <row r="43">
      <c r="A43" t="inlineStr">
        <is>
          <t>RA6</t>
        </is>
      </c>
      <c r="B43" t="inlineStr">
        <is>
          <t>CR1</t>
        </is>
      </c>
      <c r="C43" t="n">
        <v>1</v>
      </c>
    </row>
    <row r="44">
      <c r="A44" t="inlineStr">
        <is>
          <t>RA6</t>
        </is>
      </c>
      <c r="B44" t="inlineStr">
        <is>
          <t>CR2</t>
        </is>
      </c>
      <c r="C44" t="n">
        <v>2</v>
      </c>
    </row>
    <row r="45">
      <c r="A45" t="inlineStr">
        <is>
          <t>RA6</t>
        </is>
      </c>
      <c r="B45" t="inlineStr">
        <is>
          <t>CR3</t>
        </is>
      </c>
      <c r="C45" t="n">
        <v>3</v>
      </c>
    </row>
    <row r="46">
      <c r="A46" t="inlineStr">
        <is>
          <t>RA6</t>
        </is>
      </c>
      <c r="B46" t="inlineStr">
        <is>
          <t>CR4</t>
        </is>
      </c>
      <c r="C46" t="n">
        <v>4</v>
      </c>
    </row>
    <row r="47">
      <c r="A47" t="inlineStr">
        <is>
          <t>RA6</t>
        </is>
      </c>
      <c r="B47" t="inlineStr">
        <is>
          <t>CR5</t>
        </is>
      </c>
      <c r="C47" t="n">
        <v>5</v>
      </c>
    </row>
    <row r="48">
      <c r="A48" t="inlineStr">
        <is>
          <t>RA6</t>
        </is>
      </c>
      <c r="B48" t="inlineStr">
        <is>
          <t>CR6</t>
        </is>
      </c>
      <c r="C48" t="n">
        <v>6</v>
      </c>
    </row>
    <row r="49">
      <c r="A49" t="inlineStr">
        <is>
          <t>RA6</t>
        </is>
      </c>
      <c r="B49" t="inlineStr">
        <is>
          <t>CR7</t>
        </is>
      </c>
      <c r="C49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id_ut</t>
        </is>
      </c>
      <c r="B1" s="351" t="inlineStr">
        <is>
          <t>id_ra</t>
        </is>
      </c>
      <c r="C1" s="351" t="inlineStr">
        <is>
          <t>ces</t>
        </is>
      </c>
      <c r="D1" s="351" t="inlineStr">
        <is>
          <t>n_ces</t>
        </is>
      </c>
      <c r="E1" s="351" t="inlineStr">
        <is>
          <t>horas_ut</t>
        </is>
      </c>
      <c r="F1" s="351" t="inlineStr">
        <is>
          <t>pond_ut_pct</t>
        </is>
      </c>
      <c r="G1" s="351" t="inlineStr">
        <is>
          <t>h_ra_en_ut</t>
        </is>
      </c>
    </row>
    <row r="2">
      <c r="A2" t="inlineStr">
        <is>
          <t>UT1</t>
        </is>
      </c>
      <c r="B2" t="inlineStr">
        <is>
          <t>RA1</t>
        </is>
      </c>
      <c r="C2" t="inlineStr">
        <is>
          <t>CR1, CR2, CR3, CR4, CR5, CR6</t>
        </is>
      </c>
      <c r="D2" t="n">
        <v>6</v>
      </c>
      <c r="E2" t="n">
        <v>20</v>
      </c>
      <c r="F2" t="n">
        <v>12.9</v>
      </c>
      <c r="G2" t="n">
        <v>20</v>
      </c>
    </row>
    <row r="3">
      <c r="A3" t="inlineStr">
        <is>
          <t>UT2</t>
        </is>
      </c>
      <c r="B3" t="inlineStr">
        <is>
          <t>RA2</t>
        </is>
      </c>
      <c r="C3" t="inlineStr">
        <is>
          <t>CR1, CR2, CR3, CR4, CR5, CR6, CR7</t>
        </is>
      </c>
      <c r="D3" t="n">
        <v>7</v>
      </c>
      <c r="E3" t="n">
        <v>22</v>
      </c>
      <c r="F3" t="n">
        <v>14.19</v>
      </c>
      <c r="G3" t="n">
        <v>17.11</v>
      </c>
    </row>
    <row r="4">
      <c r="A4" t="inlineStr">
        <is>
          <t>UT2</t>
        </is>
      </c>
      <c r="B4" t="inlineStr">
        <is>
          <t>RA1</t>
        </is>
      </c>
      <c r="C4" t="inlineStr">
        <is>
          <t>CR7, CR8</t>
        </is>
      </c>
      <c r="D4" t="n">
        <v>2</v>
      </c>
      <c r="E4" t="n">
        <v>22</v>
      </c>
      <c r="F4" t="n">
        <v>14.19</v>
      </c>
      <c r="G4" t="n">
        <v>4.89</v>
      </c>
    </row>
    <row r="5">
      <c r="A5" t="inlineStr">
        <is>
          <t>UT3</t>
        </is>
      </c>
      <c r="B5" t="inlineStr">
        <is>
          <t>RA3</t>
        </is>
      </c>
      <c r="C5" t="inlineStr">
        <is>
          <t>CR1, CR2, CR3, CR4, CR5, CR6, CR7, CR8</t>
        </is>
      </c>
      <c r="D5" t="n">
        <v>8</v>
      </c>
      <c r="E5" t="n">
        <v>22</v>
      </c>
      <c r="F5" t="n">
        <v>14.19</v>
      </c>
      <c r="G5" t="n">
        <v>22</v>
      </c>
    </row>
    <row r="6">
      <c r="A6" t="inlineStr">
        <is>
          <t>UT4</t>
        </is>
      </c>
      <c r="B6" t="inlineStr">
        <is>
          <t>RA4</t>
        </is>
      </c>
      <c r="C6" t="inlineStr">
        <is>
          <t>CR1, CR2, CR3, CR4, CR5, CR6, CR7, CR8, CR9</t>
        </is>
      </c>
      <c r="D6" t="n">
        <v>9</v>
      </c>
      <c r="E6" t="n">
        <v>28</v>
      </c>
      <c r="F6" t="n">
        <v>18.06</v>
      </c>
      <c r="G6" t="n">
        <v>28</v>
      </c>
    </row>
    <row r="7">
      <c r="A7" t="inlineStr">
        <is>
          <t>UT5</t>
        </is>
      </c>
      <c r="B7" t="inlineStr">
        <is>
          <t>RA5</t>
        </is>
      </c>
      <c r="C7" t="inlineStr">
        <is>
          <t>CR1, CR2, CR3, CR4, CR5, CR6</t>
        </is>
      </c>
      <c r="D7" t="n">
        <v>6</v>
      </c>
      <c r="E7" t="n">
        <v>20</v>
      </c>
      <c r="F7" t="n">
        <v>12.9</v>
      </c>
      <c r="G7" t="n">
        <v>17.14</v>
      </c>
    </row>
    <row r="8">
      <c r="A8" t="inlineStr">
        <is>
          <t>UT5</t>
        </is>
      </c>
      <c r="B8" t="inlineStr">
        <is>
          <t>RA4</t>
        </is>
      </c>
      <c r="C8" t="inlineStr">
        <is>
          <t>CR10</t>
        </is>
      </c>
      <c r="D8" t="n">
        <v>1</v>
      </c>
      <c r="E8" t="n">
        <v>20</v>
      </c>
      <c r="F8" t="n">
        <v>12.9</v>
      </c>
      <c r="G8" t="n">
        <v>2.86</v>
      </c>
    </row>
    <row r="9">
      <c r="A9" t="inlineStr">
        <is>
          <t>UT6</t>
        </is>
      </c>
      <c r="B9" t="inlineStr">
        <is>
          <t>RA4</t>
        </is>
      </c>
      <c r="C9" t="inlineStr">
        <is>
          <t>CR11, CR12</t>
        </is>
      </c>
      <c r="D9" t="n">
        <v>2</v>
      </c>
      <c r="E9" t="n">
        <v>22</v>
      </c>
      <c r="F9" t="n">
        <v>14.19</v>
      </c>
      <c r="G9" t="n">
        <v>22</v>
      </c>
    </row>
    <row r="10">
      <c r="A10" t="inlineStr">
        <is>
          <t>UT7</t>
        </is>
      </c>
      <c r="B10" t="inlineStr">
        <is>
          <t>RA6</t>
        </is>
      </c>
      <c r="C10" t="inlineStr">
        <is>
          <t>CR1, CR2, CR3, CR4, CR5, CR6, CR7</t>
        </is>
      </c>
      <c r="D10" t="n">
        <v>7</v>
      </c>
      <c r="E10" t="n">
        <v>21</v>
      </c>
      <c r="F10" t="n">
        <v>13.55</v>
      </c>
      <c r="G10" t="n">
        <v>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id_actividad</t>
        </is>
      </c>
      <c r="B1" s="351" t="inlineStr">
        <is>
          <t>id_ut</t>
        </is>
      </c>
      <c r="C1" s="351" t="inlineStr">
        <is>
          <t>id_ra</t>
        </is>
      </c>
      <c r="D1" s="351" t="inlineStr">
        <is>
          <t>evaluacion</t>
        </is>
      </c>
      <c r="E1" s="351" t="inlineStr">
        <is>
          <t>n_ces</t>
        </is>
      </c>
      <c r="F1" s="351" t="inlineStr">
        <is>
          <t>ces</t>
        </is>
      </c>
      <c r="G1" s="351" t="inlineStr">
        <is>
          <t>descripcion</t>
        </is>
      </c>
      <c r="H1" s="351" t="inlineStr">
        <is>
          <t>tipo</t>
        </is>
      </c>
    </row>
    <row r="2">
      <c r="A2" t="inlineStr">
        <is>
          <t>A001</t>
        </is>
      </c>
      <c r="B2" t="inlineStr">
        <is>
          <t>UT1</t>
        </is>
      </c>
      <c r="C2" t="inlineStr">
        <is>
          <t>RA1</t>
        </is>
      </c>
      <c r="D2" t="n">
        <v>1</v>
      </c>
      <c r="E2" t="n">
        <v>6</v>
      </c>
      <c r="F2" t="inlineStr">
        <is>
          <t>CR1, CR2, CR3, CR4, CR5, CR6</t>
        </is>
      </c>
      <c r="G2" t="inlineStr">
        <is>
          <t>Introducción a las redes locales — práctica RA1</t>
        </is>
      </c>
      <c r="H2" t="inlineStr">
        <is>
          <t>Práctica</t>
        </is>
      </c>
    </row>
    <row r="3">
      <c r="A3" t="inlineStr">
        <is>
          <t>A002</t>
        </is>
      </c>
      <c r="B3" t="inlineStr">
        <is>
          <t>UT2</t>
        </is>
      </c>
      <c r="C3" t="inlineStr">
        <is>
          <t>RA2</t>
        </is>
      </c>
      <c r="D3" t="n">
        <v>1</v>
      </c>
      <c r="E3" t="n">
        <v>7</v>
      </c>
      <c r="F3" t="inlineStr">
        <is>
          <t>CR1, CR2, CR3, CR4, CR5, CR6, CR7</t>
        </is>
      </c>
      <c r="G3" t="inlineStr">
        <is>
          <t>Dispositivos de red y medios de transmisión — práctica RA2</t>
        </is>
      </c>
      <c r="H3" t="inlineStr">
        <is>
          <t>Práctica</t>
        </is>
      </c>
    </row>
    <row r="4">
      <c r="A4" t="inlineStr">
        <is>
          <t>A003</t>
        </is>
      </c>
      <c r="B4" t="inlineStr">
        <is>
          <t>UT2</t>
        </is>
      </c>
      <c r="C4" t="inlineStr">
        <is>
          <t>RA1</t>
        </is>
      </c>
      <c r="D4" t="n">
        <v>1</v>
      </c>
      <c r="E4" t="n">
        <v>2</v>
      </c>
      <c r="F4" t="inlineStr">
        <is>
          <t>CR7, CR8</t>
        </is>
      </c>
      <c r="G4" t="inlineStr">
        <is>
          <t>Dispositivos de red y medios de transmisión — práctica RA1</t>
        </is>
      </c>
      <c r="H4" t="inlineStr">
        <is>
          <t>Práctica</t>
        </is>
      </c>
    </row>
    <row r="5">
      <c r="A5" t="inlineStr">
        <is>
          <t>A004</t>
        </is>
      </c>
      <c r="B5" t="inlineStr">
        <is>
          <t>UT3</t>
        </is>
      </c>
      <c r="C5" t="inlineStr">
        <is>
          <t>RA3</t>
        </is>
      </c>
      <c r="D5" t="n">
        <v>2</v>
      </c>
      <c r="E5" t="n">
        <v>8</v>
      </c>
      <c r="F5" t="inlineStr">
        <is>
          <t>CR1, CR2, CR3, CR4, CR5, CR6, CR7, CR8</t>
        </is>
      </c>
      <c r="G5" t="inlineStr">
        <is>
          <t>Configuración y administración de conmutadores — práctica RA3</t>
        </is>
      </c>
      <c r="H5" t="inlineStr">
        <is>
          <t>Práctica</t>
        </is>
      </c>
    </row>
    <row r="6">
      <c r="A6" t="inlineStr">
        <is>
          <t>A005</t>
        </is>
      </c>
      <c r="B6" t="inlineStr">
        <is>
          <t>UT4</t>
        </is>
      </c>
      <c r="C6" t="inlineStr">
        <is>
          <t>RA4</t>
        </is>
      </c>
      <c r="D6" t="n">
        <v>2</v>
      </c>
      <c r="E6" t="n">
        <v>9</v>
      </c>
      <c r="F6" t="inlineStr">
        <is>
          <t>CR1, CR2, CR3, CR4, CR5, CR6, CR7, CR8, CR9</t>
        </is>
      </c>
      <c r="G6" t="inlineStr">
        <is>
          <t>Configuración y administración de routers — práctica RA4</t>
        </is>
      </c>
      <c r="H6" t="inlineStr">
        <is>
          <t>Práctica</t>
        </is>
      </c>
    </row>
    <row r="7">
      <c r="A7" t="inlineStr">
        <is>
          <t>A006</t>
        </is>
      </c>
      <c r="B7" t="inlineStr">
        <is>
          <t>UT5</t>
        </is>
      </c>
      <c r="C7" t="inlineStr">
        <is>
          <t>RA5</t>
        </is>
      </c>
      <c r="D7" t="n">
        <v>2</v>
      </c>
      <c r="E7" t="n">
        <v>6</v>
      </c>
      <c r="F7" t="inlineStr">
        <is>
          <t>CR1, CR2, CR3, CR4, CR5, CR6</t>
        </is>
      </c>
      <c r="G7" t="inlineStr">
        <is>
          <t>Configuración de redes inalámbricas — práctica RA5</t>
        </is>
      </c>
      <c r="H7" t="inlineStr">
        <is>
          <t>Práctica</t>
        </is>
      </c>
    </row>
    <row r="8">
      <c r="A8" t="inlineStr">
        <is>
          <t>A007</t>
        </is>
      </c>
      <c r="B8" t="inlineStr">
        <is>
          <t>UT5</t>
        </is>
      </c>
      <c r="C8" t="inlineStr">
        <is>
          <t>RA4</t>
        </is>
      </c>
      <c r="D8" t="n">
        <v>2</v>
      </c>
      <c r="E8" t="n">
        <v>1</v>
      </c>
      <c r="F8" t="inlineStr">
        <is>
          <t>CR10</t>
        </is>
      </c>
      <c r="G8" t="inlineStr">
        <is>
          <t>Configuración de redes inalámbricas — práctica RA4</t>
        </is>
      </c>
      <c r="H8" t="inlineStr">
        <is>
          <t>Práctica</t>
        </is>
      </c>
    </row>
    <row r="9">
      <c r="A9" t="inlineStr">
        <is>
          <t>A008</t>
        </is>
      </c>
      <c r="B9" t="inlineStr">
        <is>
          <t>UT7</t>
        </is>
      </c>
      <c r="C9" t="inlineStr">
        <is>
          <t>RA6</t>
        </is>
      </c>
      <c r="D9" t="n">
        <v>3</v>
      </c>
      <c r="E9" t="n">
        <v>7</v>
      </c>
      <c r="F9" t="inlineStr">
        <is>
          <t>CR1, CR2, CR3, CR4, CR5, CR6, CR7</t>
        </is>
      </c>
      <c r="G9" t="inlineStr">
        <is>
          <t>Resolución de incidencias de red — práctica RA6</t>
        </is>
      </c>
      <c r="H9" t="inlineStr">
        <is>
          <t>Práctica</t>
        </is>
      </c>
    </row>
    <row r="10">
      <c r="A10" t="inlineStr">
        <is>
          <t>EX1</t>
        </is>
      </c>
      <c r="D10" t="n">
        <v>1</v>
      </c>
      <c r="E10" t="n">
        <v>0</v>
      </c>
      <c r="G10" t="inlineStr">
        <is>
          <t>Examen Evaluación 1</t>
        </is>
      </c>
      <c r="H10" t="inlineStr">
        <is>
          <t>Examen</t>
        </is>
      </c>
    </row>
    <row r="11">
      <c r="A11" t="inlineStr">
        <is>
          <t>EX2</t>
        </is>
      </c>
      <c r="D11" t="n">
        <v>2</v>
      </c>
      <c r="E11" t="n">
        <v>0</v>
      </c>
      <c r="G11" t="inlineStr">
        <is>
          <t>Examen Evaluación 2</t>
        </is>
      </c>
      <c r="H11" t="inlineStr">
        <is>
          <t>Examen</t>
        </is>
      </c>
    </row>
    <row r="12">
      <c r="A12" t="inlineStr">
        <is>
          <t>EX3</t>
        </is>
      </c>
      <c r="D12" t="n">
        <v>3</v>
      </c>
      <c r="E12" t="n">
        <v>0</v>
      </c>
      <c r="G12" t="inlineStr">
        <is>
          <t>Examen Evaluación 3</t>
        </is>
      </c>
      <c r="H12" t="inlineStr">
        <is>
          <t>Examen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id_alumno</t>
        </is>
      </c>
      <c r="B1" s="351" t="inlineStr">
        <is>
          <t>apellidos</t>
        </is>
      </c>
      <c r="C1" s="351" t="inlineStr">
        <is>
          <t>nombre</t>
        </is>
      </c>
      <c r="D1" s="351" t="inlineStr">
        <is>
          <t>nia_expediente</t>
        </is>
      </c>
      <c r="E1" s="351" t="inlineStr">
        <is>
          <t>fecha_nacimiento</t>
        </is>
      </c>
      <c r="F1" s="351" t="inlineStr">
        <is>
          <t>email</t>
        </is>
      </c>
      <c r="G1" s="351" t="inlineStr">
        <is>
          <t>telefono</t>
        </is>
      </c>
      <c r="H1" s="351" t="inlineStr">
        <is>
          <t>observaciones</t>
        </is>
      </c>
      <c r="I1" s="351" t="inlineStr">
        <is>
          <t>estado</t>
        </is>
      </c>
    </row>
    <row r="2">
      <c r="A2" t="n">
        <v>1</v>
      </c>
      <c r="B2">
        <f>IFERROR('PAR · Alumnos'!C10,"")</f>
        <v/>
      </c>
      <c r="C2">
        <f>IFERROR('PAR · Alumnos'!D10,"")</f>
        <v/>
      </c>
      <c r="D2">
        <f>IFERROR('PAR · Alumnos'!E10,"")</f>
        <v/>
      </c>
      <c r="E2">
        <f>IFERROR('PAR · Alumnos'!F10,"")</f>
        <v/>
      </c>
      <c r="F2">
        <f>IFERROR('PAR · Alumnos'!G10,"")</f>
        <v/>
      </c>
      <c r="G2">
        <f>IFERROR('PAR · Alumnos'!H10,"")</f>
        <v/>
      </c>
      <c r="H2">
        <f>IFERROR('PAR · Alumnos'!I10,"")</f>
        <v/>
      </c>
      <c r="I2">
        <f>IFERROR('PAR · Alumnos'!J10,"")</f>
        <v/>
      </c>
    </row>
    <row r="3">
      <c r="A3" t="n">
        <v>2</v>
      </c>
      <c r="B3">
        <f>IFERROR('PAR · Alumnos'!C11,"")</f>
        <v/>
      </c>
      <c r="C3">
        <f>IFERROR('PAR · Alumnos'!D11,"")</f>
        <v/>
      </c>
      <c r="D3">
        <f>IFERROR('PAR · Alumnos'!E11,"")</f>
        <v/>
      </c>
      <c r="E3">
        <f>IFERROR('PAR · Alumnos'!F11,"")</f>
        <v/>
      </c>
      <c r="F3">
        <f>IFERROR('PAR · Alumnos'!G11,"")</f>
        <v/>
      </c>
      <c r="G3">
        <f>IFERROR('PAR · Alumnos'!H11,"")</f>
        <v/>
      </c>
      <c r="H3">
        <f>IFERROR('PAR · Alumnos'!I11,"")</f>
        <v/>
      </c>
      <c r="I3">
        <f>IFERROR('PAR · Alumnos'!J11,"")</f>
        <v/>
      </c>
    </row>
    <row r="4">
      <c r="A4" t="n">
        <v>3</v>
      </c>
      <c r="B4">
        <f>IFERROR('PAR · Alumnos'!C12,"")</f>
        <v/>
      </c>
      <c r="C4">
        <f>IFERROR('PAR · Alumnos'!D12,"")</f>
        <v/>
      </c>
      <c r="D4">
        <f>IFERROR('PAR · Alumnos'!E12,"")</f>
        <v/>
      </c>
      <c r="E4">
        <f>IFERROR('PAR · Alumnos'!F12,"")</f>
        <v/>
      </c>
      <c r="F4">
        <f>IFERROR('PAR · Alumnos'!G12,"")</f>
        <v/>
      </c>
      <c r="G4">
        <f>IFERROR('PAR · Alumnos'!H12,"")</f>
        <v/>
      </c>
      <c r="H4">
        <f>IFERROR('PAR · Alumnos'!I12,"")</f>
        <v/>
      </c>
      <c r="I4">
        <f>IFERROR('PAR · Alumnos'!J12,"")</f>
        <v/>
      </c>
    </row>
    <row r="5">
      <c r="A5" t="n">
        <v>4</v>
      </c>
      <c r="B5">
        <f>IFERROR('PAR · Alumnos'!C13,"")</f>
        <v/>
      </c>
      <c r="C5">
        <f>IFERROR('PAR · Alumnos'!D13,"")</f>
        <v/>
      </c>
      <c r="D5">
        <f>IFERROR('PAR · Alumnos'!E13,"")</f>
        <v/>
      </c>
      <c r="E5">
        <f>IFERROR('PAR · Alumnos'!F13,"")</f>
        <v/>
      </c>
      <c r="F5">
        <f>IFERROR('PAR · Alumnos'!G13,"")</f>
        <v/>
      </c>
      <c r="G5">
        <f>IFERROR('PAR · Alumnos'!H13,"")</f>
        <v/>
      </c>
      <c r="H5">
        <f>IFERROR('PAR · Alumnos'!I13,"")</f>
        <v/>
      </c>
      <c r="I5">
        <f>IFERROR('PAR · Alumnos'!J13,"")</f>
        <v/>
      </c>
    </row>
    <row r="6">
      <c r="A6" t="n">
        <v>5</v>
      </c>
      <c r="B6">
        <f>IFERROR('PAR · Alumnos'!C14,"")</f>
        <v/>
      </c>
      <c r="C6">
        <f>IFERROR('PAR · Alumnos'!D14,"")</f>
        <v/>
      </c>
      <c r="D6">
        <f>IFERROR('PAR · Alumnos'!E14,"")</f>
        <v/>
      </c>
      <c r="E6">
        <f>IFERROR('PAR · Alumnos'!F14,"")</f>
        <v/>
      </c>
      <c r="F6">
        <f>IFERROR('PAR · Alumnos'!G14,"")</f>
        <v/>
      </c>
      <c r="G6">
        <f>IFERROR('PAR · Alumnos'!H14,"")</f>
        <v/>
      </c>
      <c r="H6">
        <f>IFERROR('PAR · Alumnos'!I14,"")</f>
        <v/>
      </c>
      <c r="I6">
        <f>IFERROR('PAR · Alumnos'!J14,"")</f>
        <v/>
      </c>
    </row>
    <row r="7">
      <c r="A7" t="n">
        <v>6</v>
      </c>
      <c r="B7">
        <f>IFERROR('PAR · Alumnos'!C15,"")</f>
        <v/>
      </c>
      <c r="C7">
        <f>IFERROR('PAR · Alumnos'!D15,"")</f>
        <v/>
      </c>
      <c r="D7">
        <f>IFERROR('PAR · Alumnos'!E15,"")</f>
        <v/>
      </c>
      <c r="E7">
        <f>IFERROR('PAR · Alumnos'!F15,"")</f>
        <v/>
      </c>
      <c r="F7">
        <f>IFERROR('PAR · Alumnos'!G15,"")</f>
        <v/>
      </c>
      <c r="G7">
        <f>IFERROR('PAR · Alumnos'!H15,"")</f>
        <v/>
      </c>
      <c r="H7">
        <f>IFERROR('PAR · Alumnos'!I15,"")</f>
        <v/>
      </c>
      <c r="I7">
        <f>IFERROR('PAR · Alumnos'!J15,"")</f>
        <v/>
      </c>
    </row>
    <row r="8">
      <c r="A8" t="n">
        <v>7</v>
      </c>
      <c r="B8">
        <f>IFERROR('PAR · Alumnos'!C16,"")</f>
        <v/>
      </c>
      <c r="C8">
        <f>IFERROR('PAR · Alumnos'!D16,"")</f>
        <v/>
      </c>
      <c r="D8">
        <f>IFERROR('PAR · Alumnos'!E16,"")</f>
        <v/>
      </c>
      <c r="E8">
        <f>IFERROR('PAR · Alumnos'!F16,"")</f>
        <v/>
      </c>
      <c r="F8">
        <f>IFERROR('PAR · Alumnos'!G16,"")</f>
        <v/>
      </c>
      <c r="G8">
        <f>IFERROR('PAR · Alumnos'!H16,"")</f>
        <v/>
      </c>
      <c r="H8">
        <f>IFERROR('PAR · Alumnos'!I16,"")</f>
        <v/>
      </c>
      <c r="I8">
        <f>IFERROR('PAR · Alumnos'!J16,"")</f>
        <v/>
      </c>
    </row>
    <row r="9">
      <c r="A9" t="n">
        <v>8</v>
      </c>
      <c r="B9">
        <f>IFERROR('PAR · Alumnos'!C17,"")</f>
        <v/>
      </c>
      <c r="C9">
        <f>IFERROR('PAR · Alumnos'!D17,"")</f>
        <v/>
      </c>
      <c r="D9">
        <f>IFERROR('PAR · Alumnos'!E17,"")</f>
        <v/>
      </c>
      <c r="E9">
        <f>IFERROR('PAR · Alumnos'!F17,"")</f>
        <v/>
      </c>
      <c r="F9">
        <f>IFERROR('PAR · Alumnos'!G17,"")</f>
        <v/>
      </c>
      <c r="G9">
        <f>IFERROR('PAR · Alumnos'!H17,"")</f>
        <v/>
      </c>
      <c r="H9">
        <f>IFERROR('PAR · Alumnos'!I17,"")</f>
        <v/>
      </c>
      <c r="I9">
        <f>IFERROR('PAR · Alumnos'!J17,"")</f>
        <v/>
      </c>
    </row>
    <row r="10">
      <c r="A10" t="n">
        <v>9</v>
      </c>
      <c r="B10">
        <f>IFERROR('PAR · Alumnos'!C18,"")</f>
        <v/>
      </c>
      <c r="C10">
        <f>IFERROR('PAR · Alumnos'!D18,"")</f>
        <v/>
      </c>
      <c r="D10">
        <f>IFERROR('PAR · Alumnos'!E18,"")</f>
        <v/>
      </c>
      <c r="E10">
        <f>IFERROR('PAR · Alumnos'!F18,"")</f>
        <v/>
      </c>
      <c r="F10">
        <f>IFERROR('PAR · Alumnos'!G18,"")</f>
        <v/>
      </c>
      <c r="G10">
        <f>IFERROR('PAR · Alumnos'!H18,"")</f>
        <v/>
      </c>
      <c r="H10">
        <f>IFERROR('PAR · Alumnos'!I18,"")</f>
        <v/>
      </c>
      <c r="I10">
        <f>IFERROR('PAR · Alumnos'!J18,"")</f>
        <v/>
      </c>
    </row>
    <row r="11">
      <c r="A11" t="n">
        <v>10</v>
      </c>
      <c r="B11">
        <f>IFERROR('PAR · Alumnos'!C19,"")</f>
        <v/>
      </c>
      <c r="C11">
        <f>IFERROR('PAR · Alumnos'!D19,"")</f>
        <v/>
      </c>
      <c r="D11">
        <f>IFERROR('PAR · Alumnos'!E19,"")</f>
        <v/>
      </c>
      <c r="E11">
        <f>IFERROR('PAR · Alumnos'!F19,"")</f>
        <v/>
      </c>
      <c r="F11">
        <f>IFERROR('PAR · Alumnos'!G19,"")</f>
        <v/>
      </c>
      <c r="G11">
        <f>IFERROR('PAR · Alumnos'!H19,"")</f>
        <v/>
      </c>
      <c r="H11">
        <f>IFERROR('PAR · Alumnos'!I19,"")</f>
        <v/>
      </c>
      <c r="I11">
        <f>IFERROR('PAR · Alumnos'!J19,"")</f>
        <v/>
      </c>
    </row>
    <row r="12">
      <c r="A12" t="n">
        <v>11</v>
      </c>
      <c r="B12">
        <f>IFERROR('PAR · Alumnos'!C20,"")</f>
        <v/>
      </c>
      <c r="C12">
        <f>IFERROR('PAR · Alumnos'!D20,"")</f>
        <v/>
      </c>
      <c r="D12">
        <f>IFERROR('PAR · Alumnos'!E20,"")</f>
        <v/>
      </c>
      <c r="E12">
        <f>IFERROR('PAR · Alumnos'!F20,"")</f>
        <v/>
      </c>
      <c r="F12">
        <f>IFERROR('PAR · Alumnos'!G20,"")</f>
        <v/>
      </c>
      <c r="G12">
        <f>IFERROR('PAR · Alumnos'!H20,"")</f>
        <v/>
      </c>
      <c r="H12">
        <f>IFERROR('PAR · Alumnos'!I20,"")</f>
        <v/>
      </c>
      <c r="I12">
        <f>IFERROR('PAR · Alumnos'!J20,"")</f>
        <v/>
      </c>
    </row>
    <row r="13">
      <c r="A13" t="n">
        <v>12</v>
      </c>
      <c r="B13">
        <f>IFERROR('PAR · Alumnos'!C21,"")</f>
        <v/>
      </c>
      <c r="C13">
        <f>IFERROR('PAR · Alumnos'!D21,"")</f>
        <v/>
      </c>
      <c r="D13">
        <f>IFERROR('PAR · Alumnos'!E21,"")</f>
        <v/>
      </c>
      <c r="E13">
        <f>IFERROR('PAR · Alumnos'!F21,"")</f>
        <v/>
      </c>
      <c r="F13">
        <f>IFERROR('PAR · Alumnos'!G21,"")</f>
        <v/>
      </c>
      <c r="G13">
        <f>IFERROR('PAR · Alumnos'!H21,"")</f>
        <v/>
      </c>
      <c r="H13">
        <f>IFERROR('PAR · Alumnos'!I21,"")</f>
        <v/>
      </c>
      <c r="I13">
        <f>IFERROR('PAR · Alumnos'!J21,"")</f>
        <v/>
      </c>
    </row>
    <row r="14">
      <c r="A14" t="n">
        <v>13</v>
      </c>
      <c r="B14">
        <f>IFERROR('PAR · Alumnos'!C22,"")</f>
        <v/>
      </c>
      <c r="C14">
        <f>IFERROR('PAR · Alumnos'!D22,"")</f>
        <v/>
      </c>
      <c r="D14">
        <f>IFERROR('PAR · Alumnos'!E22,"")</f>
        <v/>
      </c>
      <c r="E14">
        <f>IFERROR('PAR · Alumnos'!F22,"")</f>
        <v/>
      </c>
      <c r="F14">
        <f>IFERROR('PAR · Alumnos'!G22,"")</f>
        <v/>
      </c>
      <c r="G14">
        <f>IFERROR('PAR · Alumnos'!H22,"")</f>
        <v/>
      </c>
      <c r="H14">
        <f>IFERROR('PAR · Alumnos'!I22,"")</f>
        <v/>
      </c>
      <c r="I14">
        <f>IFERROR('PAR · Alumnos'!J22,"")</f>
        <v/>
      </c>
    </row>
    <row r="15">
      <c r="A15" t="n">
        <v>14</v>
      </c>
      <c r="B15">
        <f>IFERROR('PAR · Alumnos'!C23,"")</f>
        <v/>
      </c>
      <c r="C15">
        <f>IFERROR('PAR · Alumnos'!D23,"")</f>
        <v/>
      </c>
      <c r="D15">
        <f>IFERROR('PAR · Alumnos'!E23,"")</f>
        <v/>
      </c>
      <c r="E15">
        <f>IFERROR('PAR · Alumnos'!F23,"")</f>
        <v/>
      </c>
      <c r="F15">
        <f>IFERROR('PAR · Alumnos'!G23,"")</f>
        <v/>
      </c>
      <c r="G15">
        <f>IFERROR('PAR · Alumnos'!H23,"")</f>
        <v/>
      </c>
      <c r="H15">
        <f>IFERROR('PAR · Alumnos'!I23,"")</f>
        <v/>
      </c>
      <c r="I15">
        <f>IFERROR('PAR · Alumnos'!J23,"")</f>
        <v/>
      </c>
    </row>
    <row r="16">
      <c r="A16" t="n">
        <v>15</v>
      </c>
      <c r="B16">
        <f>IFERROR('PAR · Alumnos'!C24,"")</f>
        <v/>
      </c>
      <c r="C16">
        <f>IFERROR('PAR · Alumnos'!D24,"")</f>
        <v/>
      </c>
      <c r="D16">
        <f>IFERROR('PAR · Alumnos'!E24,"")</f>
        <v/>
      </c>
      <c r="E16">
        <f>IFERROR('PAR · Alumnos'!F24,"")</f>
        <v/>
      </c>
      <c r="F16">
        <f>IFERROR('PAR · Alumnos'!G24,"")</f>
        <v/>
      </c>
      <c r="G16">
        <f>IFERROR('PAR · Alumnos'!H24,"")</f>
        <v/>
      </c>
      <c r="H16">
        <f>IFERROR('PAR · Alumnos'!I24,"")</f>
        <v/>
      </c>
      <c r="I16">
        <f>IFERROR('PAR · Alumnos'!J24,"")</f>
        <v/>
      </c>
    </row>
    <row r="17">
      <c r="A17" t="n">
        <v>16</v>
      </c>
      <c r="B17">
        <f>IFERROR('PAR · Alumnos'!C25,"")</f>
        <v/>
      </c>
      <c r="C17">
        <f>IFERROR('PAR · Alumnos'!D25,"")</f>
        <v/>
      </c>
      <c r="D17">
        <f>IFERROR('PAR · Alumnos'!E25,"")</f>
        <v/>
      </c>
      <c r="E17">
        <f>IFERROR('PAR · Alumnos'!F25,"")</f>
        <v/>
      </c>
      <c r="F17">
        <f>IFERROR('PAR · Alumnos'!G25,"")</f>
        <v/>
      </c>
      <c r="G17">
        <f>IFERROR('PAR · Alumnos'!H25,"")</f>
        <v/>
      </c>
      <c r="H17">
        <f>IFERROR('PAR · Alumnos'!I25,"")</f>
        <v/>
      </c>
      <c r="I17">
        <f>IFERROR('PAR · Alumnos'!J25,"")</f>
        <v/>
      </c>
    </row>
    <row r="18">
      <c r="A18" t="n">
        <v>17</v>
      </c>
      <c r="B18">
        <f>IFERROR('PAR · Alumnos'!C26,"")</f>
        <v/>
      </c>
      <c r="C18">
        <f>IFERROR('PAR · Alumnos'!D26,"")</f>
        <v/>
      </c>
      <c r="D18">
        <f>IFERROR('PAR · Alumnos'!E26,"")</f>
        <v/>
      </c>
      <c r="E18">
        <f>IFERROR('PAR · Alumnos'!F26,"")</f>
        <v/>
      </c>
      <c r="F18">
        <f>IFERROR('PAR · Alumnos'!G26,"")</f>
        <v/>
      </c>
      <c r="G18">
        <f>IFERROR('PAR · Alumnos'!H26,"")</f>
        <v/>
      </c>
      <c r="H18">
        <f>IFERROR('PAR · Alumnos'!I26,"")</f>
        <v/>
      </c>
      <c r="I18">
        <f>IFERROR('PAR · Alumnos'!J26,"")</f>
        <v/>
      </c>
    </row>
    <row r="19">
      <c r="A19" t="n">
        <v>18</v>
      </c>
      <c r="B19">
        <f>IFERROR('PAR · Alumnos'!C27,"")</f>
        <v/>
      </c>
      <c r="C19">
        <f>IFERROR('PAR · Alumnos'!D27,"")</f>
        <v/>
      </c>
      <c r="D19">
        <f>IFERROR('PAR · Alumnos'!E27,"")</f>
        <v/>
      </c>
      <c r="E19">
        <f>IFERROR('PAR · Alumnos'!F27,"")</f>
        <v/>
      </c>
      <c r="F19">
        <f>IFERROR('PAR · Alumnos'!G27,"")</f>
        <v/>
      </c>
      <c r="G19">
        <f>IFERROR('PAR · Alumnos'!H27,"")</f>
        <v/>
      </c>
      <c r="H19">
        <f>IFERROR('PAR · Alumnos'!I27,"")</f>
        <v/>
      </c>
      <c r="I19">
        <f>IFERROR('PAR · Alumnos'!J27,"")</f>
        <v/>
      </c>
    </row>
    <row r="20">
      <c r="A20" t="n">
        <v>19</v>
      </c>
      <c r="B20">
        <f>IFERROR('PAR · Alumnos'!C28,"")</f>
        <v/>
      </c>
      <c r="C20">
        <f>IFERROR('PAR · Alumnos'!D28,"")</f>
        <v/>
      </c>
      <c r="D20">
        <f>IFERROR('PAR · Alumnos'!E28,"")</f>
        <v/>
      </c>
      <c r="E20">
        <f>IFERROR('PAR · Alumnos'!F28,"")</f>
        <v/>
      </c>
      <c r="F20">
        <f>IFERROR('PAR · Alumnos'!G28,"")</f>
        <v/>
      </c>
      <c r="G20">
        <f>IFERROR('PAR · Alumnos'!H28,"")</f>
        <v/>
      </c>
      <c r="H20">
        <f>IFERROR('PAR · Alumnos'!I28,"")</f>
        <v/>
      </c>
      <c r="I20">
        <f>IFERROR('PAR · Alumnos'!J28,"")</f>
        <v/>
      </c>
    </row>
    <row r="21">
      <c r="A21" t="n">
        <v>20</v>
      </c>
      <c r="B21">
        <f>IFERROR('PAR · Alumnos'!C29,"")</f>
        <v/>
      </c>
      <c r="C21">
        <f>IFERROR('PAR · Alumnos'!D29,"")</f>
        <v/>
      </c>
      <c r="D21">
        <f>IFERROR('PAR · Alumnos'!E29,"")</f>
        <v/>
      </c>
      <c r="E21">
        <f>IFERROR('PAR · Alumnos'!F29,"")</f>
        <v/>
      </c>
      <c r="F21">
        <f>IFERROR('PAR · Alumnos'!G29,"")</f>
        <v/>
      </c>
      <c r="G21">
        <f>IFERROR('PAR · Alumnos'!H29,"")</f>
        <v/>
      </c>
      <c r="H21">
        <f>IFERROR('PAR · Alumnos'!I29,"")</f>
        <v/>
      </c>
      <c r="I21">
        <f>IFERROR('PAR · Alumnos'!J29,"")</f>
        <v/>
      </c>
    </row>
    <row r="22">
      <c r="A22" t="n">
        <v>21</v>
      </c>
      <c r="B22">
        <f>IFERROR('PAR · Alumnos'!C30,"")</f>
        <v/>
      </c>
      <c r="C22">
        <f>IFERROR('PAR · Alumnos'!D30,"")</f>
        <v/>
      </c>
      <c r="D22">
        <f>IFERROR('PAR · Alumnos'!E30,"")</f>
        <v/>
      </c>
      <c r="E22">
        <f>IFERROR('PAR · Alumnos'!F30,"")</f>
        <v/>
      </c>
      <c r="F22">
        <f>IFERROR('PAR · Alumnos'!G30,"")</f>
        <v/>
      </c>
      <c r="G22">
        <f>IFERROR('PAR · Alumnos'!H30,"")</f>
        <v/>
      </c>
      <c r="H22">
        <f>IFERROR('PAR · Alumnos'!I30,"")</f>
        <v/>
      </c>
      <c r="I22">
        <f>IFERROR('PAR · Alumnos'!J30,"")</f>
        <v/>
      </c>
    </row>
    <row r="23">
      <c r="A23" t="n">
        <v>22</v>
      </c>
      <c r="B23">
        <f>IFERROR('PAR · Alumnos'!C31,"")</f>
        <v/>
      </c>
      <c r="C23">
        <f>IFERROR('PAR · Alumnos'!D31,"")</f>
        <v/>
      </c>
      <c r="D23">
        <f>IFERROR('PAR · Alumnos'!E31,"")</f>
        <v/>
      </c>
      <c r="E23">
        <f>IFERROR('PAR · Alumnos'!F31,"")</f>
        <v/>
      </c>
      <c r="F23">
        <f>IFERROR('PAR · Alumnos'!G31,"")</f>
        <v/>
      </c>
      <c r="G23">
        <f>IFERROR('PAR · Alumnos'!H31,"")</f>
        <v/>
      </c>
      <c r="H23">
        <f>IFERROR('PAR · Alumnos'!I31,"")</f>
        <v/>
      </c>
      <c r="I23">
        <f>IFERROR('PAR · Alumnos'!J31,"")</f>
        <v/>
      </c>
    </row>
    <row r="24">
      <c r="A24" t="n">
        <v>23</v>
      </c>
      <c r="B24">
        <f>IFERROR('PAR · Alumnos'!C32,"")</f>
        <v/>
      </c>
      <c r="C24">
        <f>IFERROR('PAR · Alumnos'!D32,"")</f>
        <v/>
      </c>
      <c r="D24">
        <f>IFERROR('PAR · Alumnos'!E32,"")</f>
        <v/>
      </c>
      <c r="E24">
        <f>IFERROR('PAR · Alumnos'!F32,"")</f>
        <v/>
      </c>
      <c r="F24">
        <f>IFERROR('PAR · Alumnos'!G32,"")</f>
        <v/>
      </c>
      <c r="G24">
        <f>IFERROR('PAR · Alumnos'!H32,"")</f>
        <v/>
      </c>
      <c r="H24">
        <f>IFERROR('PAR · Alumnos'!I32,"")</f>
        <v/>
      </c>
      <c r="I24">
        <f>IFERROR('PAR · Alumnos'!J32,"")</f>
        <v/>
      </c>
    </row>
    <row r="25">
      <c r="A25" t="n">
        <v>24</v>
      </c>
      <c r="B25">
        <f>IFERROR('PAR · Alumnos'!C33,"")</f>
        <v/>
      </c>
      <c r="C25">
        <f>IFERROR('PAR · Alumnos'!D33,"")</f>
        <v/>
      </c>
      <c r="D25">
        <f>IFERROR('PAR · Alumnos'!E33,"")</f>
        <v/>
      </c>
      <c r="E25">
        <f>IFERROR('PAR · Alumnos'!F33,"")</f>
        <v/>
      </c>
      <c r="F25">
        <f>IFERROR('PAR · Alumnos'!G33,"")</f>
        <v/>
      </c>
      <c r="G25">
        <f>IFERROR('PAR · Alumnos'!H33,"")</f>
        <v/>
      </c>
      <c r="H25">
        <f>IFERROR('PAR · Alumnos'!I33,"")</f>
        <v/>
      </c>
      <c r="I25">
        <f>IFERROR('PAR · Alumnos'!J33,"")</f>
        <v/>
      </c>
    </row>
    <row r="26">
      <c r="A26" t="n">
        <v>25</v>
      </c>
      <c r="B26">
        <f>IFERROR('PAR · Alumnos'!C34,"")</f>
        <v/>
      </c>
      <c r="C26">
        <f>IFERROR('PAR · Alumnos'!D34,"")</f>
        <v/>
      </c>
      <c r="D26">
        <f>IFERROR('PAR · Alumnos'!E34,"")</f>
        <v/>
      </c>
      <c r="E26">
        <f>IFERROR('PAR · Alumnos'!F34,"")</f>
        <v/>
      </c>
      <c r="F26">
        <f>IFERROR('PAR · Alumnos'!G34,"")</f>
        <v/>
      </c>
      <c r="G26">
        <f>IFERROR('PAR · Alumnos'!H34,"")</f>
        <v/>
      </c>
      <c r="H26">
        <f>IFERROR('PAR · Alumnos'!I34,"")</f>
        <v/>
      </c>
      <c r="I26">
        <f>IFERROR('PAR · Alumnos'!J34,"")</f>
        <v/>
      </c>
    </row>
    <row r="27">
      <c r="A27" t="n">
        <v>26</v>
      </c>
      <c r="B27">
        <f>IFERROR('PAR · Alumnos'!C35,"")</f>
        <v/>
      </c>
      <c r="C27">
        <f>IFERROR('PAR · Alumnos'!D35,"")</f>
        <v/>
      </c>
      <c r="D27">
        <f>IFERROR('PAR · Alumnos'!E35,"")</f>
        <v/>
      </c>
      <c r="E27">
        <f>IFERROR('PAR · Alumnos'!F35,"")</f>
        <v/>
      </c>
      <c r="F27">
        <f>IFERROR('PAR · Alumnos'!G35,"")</f>
        <v/>
      </c>
      <c r="G27">
        <f>IFERROR('PAR · Alumnos'!H35,"")</f>
        <v/>
      </c>
      <c r="H27">
        <f>IFERROR('PAR · Alumnos'!I35,"")</f>
        <v/>
      </c>
      <c r="I27">
        <f>IFERROR('PAR · Alumnos'!J35,"")</f>
        <v/>
      </c>
    </row>
    <row r="28">
      <c r="A28" t="n">
        <v>27</v>
      </c>
      <c r="B28">
        <f>IFERROR('PAR · Alumnos'!C36,"")</f>
        <v/>
      </c>
      <c r="C28">
        <f>IFERROR('PAR · Alumnos'!D36,"")</f>
        <v/>
      </c>
      <c r="D28">
        <f>IFERROR('PAR · Alumnos'!E36,"")</f>
        <v/>
      </c>
      <c r="E28">
        <f>IFERROR('PAR · Alumnos'!F36,"")</f>
        <v/>
      </c>
      <c r="F28">
        <f>IFERROR('PAR · Alumnos'!G36,"")</f>
        <v/>
      </c>
      <c r="G28">
        <f>IFERROR('PAR · Alumnos'!H36,"")</f>
        <v/>
      </c>
      <c r="H28">
        <f>IFERROR('PAR · Alumnos'!I36,"")</f>
        <v/>
      </c>
      <c r="I28">
        <f>IFERROR('PAR · Alumnos'!J36,"")</f>
        <v/>
      </c>
    </row>
    <row r="29">
      <c r="A29" t="n">
        <v>28</v>
      </c>
      <c r="B29">
        <f>IFERROR('PAR · Alumnos'!C37,"")</f>
        <v/>
      </c>
      <c r="C29">
        <f>IFERROR('PAR · Alumnos'!D37,"")</f>
        <v/>
      </c>
      <c r="D29">
        <f>IFERROR('PAR · Alumnos'!E37,"")</f>
        <v/>
      </c>
      <c r="E29">
        <f>IFERROR('PAR · Alumnos'!F37,"")</f>
        <v/>
      </c>
      <c r="F29">
        <f>IFERROR('PAR · Alumnos'!G37,"")</f>
        <v/>
      </c>
      <c r="G29">
        <f>IFERROR('PAR · Alumnos'!H37,"")</f>
        <v/>
      </c>
      <c r="H29">
        <f>IFERROR('PAR · Alumnos'!I37,"")</f>
        <v/>
      </c>
      <c r="I29">
        <f>IFERROR('PAR · Alumnos'!J37,"")</f>
        <v/>
      </c>
    </row>
    <row r="30">
      <c r="A30" t="n">
        <v>29</v>
      </c>
      <c r="B30">
        <f>IFERROR('PAR · Alumnos'!C38,"")</f>
        <v/>
      </c>
      <c r="C30">
        <f>IFERROR('PAR · Alumnos'!D38,"")</f>
        <v/>
      </c>
      <c r="D30">
        <f>IFERROR('PAR · Alumnos'!E38,"")</f>
        <v/>
      </c>
      <c r="E30">
        <f>IFERROR('PAR · Alumnos'!F38,"")</f>
        <v/>
      </c>
      <c r="F30">
        <f>IFERROR('PAR · Alumnos'!G38,"")</f>
        <v/>
      </c>
      <c r="G30">
        <f>IFERROR('PAR · Alumnos'!H38,"")</f>
        <v/>
      </c>
      <c r="H30">
        <f>IFERROR('PAR · Alumnos'!I38,"")</f>
        <v/>
      </c>
      <c r="I30">
        <f>IFERROR('PAR · Alumnos'!J38,"")</f>
        <v/>
      </c>
    </row>
    <row r="31">
      <c r="A31" t="n">
        <v>30</v>
      </c>
      <c r="B31">
        <f>IFERROR('PAR · Alumnos'!C39,"")</f>
        <v/>
      </c>
      <c r="C31">
        <f>IFERROR('PAR · Alumnos'!D39,"")</f>
        <v/>
      </c>
      <c r="D31">
        <f>IFERROR('PAR · Alumnos'!E39,"")</f>
        <v/>
      </c>
      <c r="E31">
        <f>IFERROR('PAR · Alumnos'!F39,"")</f>
        <v/>
      </c>
      <c r="F31">
        <f>IFERROR('PAR · Alumnos'!G39,"")</f>
        <v/>
      </c>
      <c r="G31">
        <f>IFERROR('PAR · Alumnos'!H39,"")</f>
        <v/>
      </c>
      <c r="H31">
        <f>IFERROR('PAR · Alumnos'!I39,"")</f>
        <v/>
      </c>
      <c r="I31">
        <f>IFERROR('PAR · Alumnos'!J39,"")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id_grupo</t>
        </is>
      </c>
      <c r="B1" s="351" t="inlineStr">
        <is>
          <t>nombre_grupo</t>
        </is>
      </c>
      <c r="C1" s="351" t="inlineStr">
        <is>
          <t>modulo_codigo</t>
        </is>
      </c>
      <c r="D1" s="351" t="inlineStr">
        <is>
          <t>modulo_nombre</t>
        </is>
      </c>
      <c r="E1" s="351" t="inlineStr">
        <is>
          <t>curso_academico</t>
        </is>
      </c>
      <c r="F1" s="351" t="inlineStr">
        <is>
          <t>horas_semanales</t>
        </is>
      </c>
      <c r="G1" s="351" t="inlineStr">
        <is>
          <t>horas_totales</t>
        </is>
      </c>
      <c r="H1" s="351" t="inlineStr">
        <is>
          <t>profesor</t>
        </is>
      </c>
      <c r="I1" s="351" t="inlineStr">
        <is>
          <t>aula</t>
        </is>
      </c>
    </row>
    <row r="2">
      <c r="A2" t="inlineStr">
        <is>
          <t>GR01</t>
        </is>
      </c>
      <c r="B2" t="inlineStr">
        <is>
          <t>1º ASIR — PAR</t>
        </is>
      </c>
      <c r="C2" t="inlineStr">
        <is>
          <t>0370</t>
        </is>
      </c>
      <c r="D2" t="inlineStr">
        <is>
          <t>Planificación y Administración de Redes</t>
        </is>
      </c>
      <c r="E2" t="inlineStr">
        <is>
          <t>2026-2027</t>
        </is>
      </c>
      <c r="F2" t="n">
        <v>5</v>
      </c>
      <c r="G2" t="n">
        <v>155</v>
      </c>
      <c r="H2">
        <f>IFERROR(Configuración!C11,"")</f>
        <v/>
      </c>
      <c r="I2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id_alumno</t>
        </is>
      </c>
      <c r="B1" s="351" t="inlineStr">
        <is>
          <t>id_actividad</t>
        </is>
      </c>
      <c r="C1" s="351" t="inlineStr">
        <is>
          <t>id_ut</t>
        </is>
      </c>
      <c r="D1" s="351" t="inlineStr">
        <is>
          <t>id_ra</t>
        </is>
      </c>
      <c r="E1" s="351" t="inlineStr">
        <is>
          <t>nota</t>
        </is>
      </c>
      <c r="F1" s="351" t="inlineStr">
        <is>
          <t>fecha_calificacion</t>
        </is>
      </c>
      <c r="G1" s="351" t="inlineStr">
        <is>
          <t>convocatoria</t>
        </is>
      </c>
      <c r="H1" s="351" t="inlineStr">
        <is>
          <t>observaciones</t>
        </is>
      </c>
    </row>
    <row r="2">
      <c r="A2" t="inlineStr">
        <is>
          <t>← Esta tabla se poblará automáticamente en Sprint 9 (Dashboard)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351" t="inlineStr">
        <is>
          <t>id_alumno</t>
        </is>
      </c>
      <c r="B1" s="351" t="inlineStr">
        <is>
          <t>evaluacion</t>
        </is>
      </c>
      <c r="C1" s="351" t="inlineStr">
        <is>
          <t>nota_eval</t>
        </is>
      </c>
      <c r="D1" s="351" t="inlineStr">
        <is>
          <t>resultado</t>
        </is>
      </c>
      <c r="E1" s="351" t="inlineStr">
        <is>
          <t>fecha_cierre</t>
        </is>
      </c>
      <c r="F1" s="351" t="inlineStr">
        <is>
          <t>observaciones</t>
        </is>
      </c>
    </row>
    <row r="2">
      <c r="A2" t="n">
        <v>1</v>
      </c>
      <c r="B2" t="n">
        <v>1</v>
      </c>
      <c r="C2">
        <f>IFERROR('PAR · Evaluación 1'!H11,"")</f>
        <v/>
      </c>
      <c r="D2">
        <f>IFERROR('PAR · Evaluación 1'!I11,"")</f>
        <v/>
      </c>
      <c r="E2"/>
      <c r="F2"/>
    </row>
    <row r="3">
      <c r="A3" t="n">
        <v>1</v>
      </c>
      <c r="B3" t="n">
        <v>2</v>
      </c>
      <c r="C3">
        <f>IFERROR('PAR · Evaluación 2'!J11,"")</f>
        <v/>
      </c>
      <c r="D3">
        <f>IFERROR('PAR · Evaluación 2'!K11,"")</f>
        <v/>
      </c>
      <c r="E3"/>
      <c r="F3"/>
    </row>
    <row r="4">
      <c r="A4" t="n">
        <v>1</v>
      </c>
      <c r="B4" t="n">
        <v>3</v>
      </c>
      <c r="C4">
        <f>IFERROR('PAR · Evaluación 3'!G11,"")</f>
        <v/>
      </c>
      <c r="D4">
        <f>IFERROR('PAR · Evaluación 3'!H11,"")</f>
        <v/>
      </c>
      <c r="E4"/>
      <c r="F4"/>
    </row>
    <row r="5">
      <c r="A5" t="n">
        <v>2</v>
      </c>
      <c r="B5" t="n">
        <v>1</v>
      </c>
      <c r="C5">
        <f>IFERROR('PAR · Evaluación 1'!H12,"")</f>
        <v/>
      </c>
      <c r="D5">
        <f>IFERROR('PAR · Evaluación 1'!I12,"")</f>
        <v/>
      </c>
      <c r="E5"/>
      <c r="F5"/>
    </row>
    <row r="6">
      <c r="A6" t="n">
        <v>2</v>
      </c>
      <c r="B6" t="n">
        <v>2</v>
      </c>
      <c r="C6">
        <f>IFERROR('PAR · Evaluación 2'!J12,"")</f>
        <v/>
      </c>
      <c r="D6">
        <f>IFERROR('PAR · Evaluación 2'!K12,"")</f>
        <v/>
      </c>
      <c r="E6"/>
      <c r="F6"/>
    </row>
    <row r="7">
      <c r="A7" t="n">
        <v>2</v>
      </c>
      <c r="B7" t="n">
        <v>3</v>
      </c>
      <c r="C7">
        <f>IFERROR('PAR · Evaluación 3'!G12,"")</f>
        <v/>
      </c>
      <c r="D7">
        <f>IFERROR('PAR · Evaluación 3'!H12,"")</f>
        <v/>
      </c>
      <c r="E7"/>
      <c r="F7"/>
    </row>
    <row r="8">
      <c r="A8" t="n">
        <v>3</v>
      </c>
      <c r="B8" t="n">
        <v>1</v>
      </c>
      <c r="C8">
        <f>IFERROR('PAR · Evaluación 1'!H13,"")</f>
        <v/>
      </c>
      <c r="D8">
        <f>IFERROR('PAR · Evaluación 1'!I13,"")</f>
        <v/>
      </c>
      <c r="E8"/>
      <c r="F8"/>
    </row>
    <row r="9">
      <c r="A9" t="n">
        <v>3</v>
      </c>
      <c r="B9" t="n">
        <v>2</v>
      </c>
      <c r="C9">
        <f>IFERROR('PAR · Evaluación 2'!J13,"")</f>
        <v/>
      </c>
      <c r="D9">
        <f>IFERROR('PAR · Evaluación 2'!K13,"")</f>
        <v/>
      </c>
      <c r="E9"/>
      <c r="F9"/>
    </row>
    <row r="10">
      <c r="A10" t="n">
        <v>3</v>
      </c>
      <c r="B10" t="n">
        <v>3</v>
      </c>
      <c r="C10">
        <f>IFERROR('PAR · Evaluación 3'!G13,"")</f>
        <v/>
      </c>
      <c r="D10">
        <f>IFERROR('PAR · Evaluación 3'!H13,"")</f>
        <v/>
      </c>
      <c r="E10"/>
      <c r="F10"/>
    </row>
    <row r="11">
      <c r="A11" t="n">
        <v>4</v>
      </c>
      <c r="B11" t="n">
        <v>1</v>
      </c>
      <c r="C11">
        <f>IFERROR('PAR · Evaluación 1'!H14,"")</f>
        <v/>
      </c>
      <c r="D11">
        <f>IFERROR('PAR · Evaluación 1'!I14,"")</f>
        <v/>
      </c>
      <c r="E11"/>
      <c r="F11"/>
    </row>
    <row r="12">
      <c r="A12" t="n">
        <v>4</v>
      </c>
      <c r="B12" t="n">
        <v>2</v>
      </c>
      <c r="C12">
        <f>IFERROR('PAR · Evaluación 2'!J14,"")</f>
        <v/>
      </c>
      <c r="D12">
        <f>IFERROR('PAR · Evaluación 2'!K14,"")</f>
        <v/>
      </c>
      <c r="E12"/>
      <c r="F12"/>
    </row>
    <row r="13">
      <c r="A13" t="n">
        <v>4</v>
      </c>
      <c r="B13" t="n">
        <v>3</v>
      </c>
      <c r="C13">
        <f>IFERROR('PAR · Evaluación 3'!G14,"")</f>
        <v/>
      </c>
      <c r="D13">
        <f>IFERROR('PAR · Evaluación 3'!H14,"")</f>
        <v/>
      </c>
      <c r="E13"/>
      <c r="F13"/>
    </row>
    <row r="14">
      <c r="A14" t="n">
        <v>5</v>
      </c>
      <c r="B14" t="n">
        <v>1</v>
      </c>
      <c r="C14">
        <f>IFERROR('PAR · Evaluación 1'!H15,"")</f>
        <v/>
      </c>
      <c r="D14">
        <f>IFERROR('PAR · Evaluación 1'!I15,"")</f>
        <v/>
      </c>
      <c r="E14"/>
      <c r="F14"/>
    </row>
    <row r="15">
      <c r="A15" t="n">
        <v>5</v>
      </c>
      <c r="B15" t="n">
        <v>2</v>
      </c>
      <c r="C15">
        <f>IFERROR('PAR · Evaluación 2'!J15,"")</f>
        <v/>
      </c>
      <c r="D15">
        <f>IFERROR('PAR · Evaluación 2'!K15,"")</f>
        <v/>
      </c>
      <c r="E15"/>
      <c r="F15"/>
    </row>
    <row r="16">
      <c r="A16" t="n">
        <v>5</v>
      </c>
      <c r="B16" t="n">
        <v>3</v>
      </c>
      <c r="C16">
        <f>IFERROR('PAR · Evaluación 3'!G15,"")</f>
        <v/>
      </c>
      <c r="D16">
        <f>IFERROR('PAR · Evaluación 3'!H15,"")</f>
        <v/>
      </c>
      <c r="E16"/>
      <c r="F16"/>
    </row>
    <row r="17">
      <c r="A17" t="n">
        <v>6</v>
      </c>
      <c r="B17" t="n">
        <v>1</v>
      </c>
      <c r="C17">
        <f>IFERROR('PAR · Evaluación 1'!H16,"")</f>
        <v/>
      </c>
      <c r="D17">
        <f>IFERROR('PAR · Evaluación 1'!I16,"")</f>
        <v/>
      </c>
      <c r="E17"/>
      <c r="F17"/>
    </row>
    <row r="18">
      <c r="A18" t="n">
        <v>6</v>
      </c>
      <c r="B18" t="n">
        <v>2</v>
      </c>
      <c r="C18">
        <f>IFERROR('PAR · Evaluación 2'!J16,"")</f>
        <v/>
      </c>
      <c r="D18">
        <f>IFERROR('PAR · Evaluación 2'!K16,"")</f>
        <v/>
      </c>
      <c r="E18"/>
      <c r="F18"/>
    </row>
    <row r="19">
      <c r="A19" t="n">
        <v>6</v>
      </c>
      <c r="B19" t="n">
        <v>3</v>
      </c>
      <c r="C19">
        <f>IFERROR('PAR · Evaluación 3'!G16,"")</f>
        <v/>
      </c>
      <c r="D19">
        <f>IFERROR('PAR · Evaluación 3'!H16,"")</f>
        <v/>
      </c>
      <c r="E19"/>
      <c r="F19"/>
    </row>
    <row r="20">
      <c r="A20" t="n">
        <v>7</v>
      </c>
      <c r="B20" t="n">
        <v>1</v>
      </c>
      <c r="C20">
        <f>IFERROR('PAR · Evaluación 1'!H17,"")</f>
        <v/>
      </c>
      <c r="D20">
        <f>IFERROR('PAR · Evaluación 1'!I17,"")</f>
        <v/>
      </c>
      <c r="E20"/>
      <c r="F20"/>
    </row>
    <row r="21">
      <c r="A21" t="n">
        <v>7</v>
      </c>
      <c r="B21" t="n">
        <v>2</v>
      </c>
      <c r="C21">
        <f>IFERROR('PAR · Evaluación 2'!J17,"")</f>
        <v/>
      </c>
      <c r="D21">
        <f>IFERROR('PAR · Evaluación 2'!K17,"")</f>
        <v/>
      </c>
      <c r="E21"/>
      <c r="F21"/>
    </row>
    <row r="22">
      <c r="A22" t="n">
        <v>7</v>
      </c>
      <c r="B22" t="n">
        <v>3</v>
      </c>
      <c r="C22">
        <f>IFERROR('PAR · Evaluación 3'!G17,"")</f>
        <v/>
      </c>
      <c r="D22">
        <f>IFERROR('PAR · Evaluación 3'!H17,"")</f>
        <v/>
      </c>
      <c r="E22"/>
      <c r="F22"/>
    </row>
    <row r="23">
      <c r="A23" t="n">
        <v>8</v>
      </c>
      <c r="B23" t="n">
        <v>1</v>
      </c>
      <c r="C23">
        <f>IFERROR('PAR · Evaluación 1'!H18,"")</f>
        <v/>
      </c>
      <c r="D23">
        <f>IFERROR('PAR · Evaluación 1'!I18,"")</f>
        <v/>
      </c>
      <c r="E23"/>
      <c r="F23"/>
    </row>
    <row r="24">
      <c r="A24" t="n">
        <v>8</v>
      </c>
      <c r="B24" t="n">
        <v>2</v>
      </c>
      <c r="C24">
        <f>IFERROR('PAR · Evaluación 2'!J18,"")</f>
        <v/>
      </c>
      <c r="D24">
        <f>IFERROR('PAR · Evaluación 2'!K18,"")</f>
        <v/>
      </c>
      <c r="E24"/>
      <c r="F24"/>
    </row>
    <row r="25">
      <c r="A25" t="n">
        <v>8</v>
      </c>
      <c r="B25" t="n">
        <v>3</v>
      </c>
      <c r="C25">
        <f>IFERROR('PAR · Evaluación 3'!G18,"")</f>
        <v/>
      </c>
      <c r="D25">
        <f>IFERROR('PAR · Evaluación 3'!H18,"")</f>
        <v/>
      </c>
      <c r="E25"/>
      <c r="F25"/>
    </row>
    <row r="26">
      <c r="A26" t="n">
        <v>9</v>
      </c>
      <c r="B26" t="n">
        <v>1</v>
      </c>
      <c r="C26">
        <f>IFERROR('PAR · Evaluación 1'!H19,"")</f>
        <v/>
      </c>
      <c r="D26">
        <f>IFERROR('PAR · Evaluación 1'!I19,"")</f>
        <v/>
      </c>
      <c r="E26"/>
      <c r="F26"/>
    </row>
    <row r="27">
      <c r="A27" t="n">
        <v>9</v>
      </c>
      <c r="B27" t="n">
        <v>2</v>
      </c>
      <c r="C27">
        <f>IFERROR('PAR · Evaluación 2'!J19,"")</f>
        <v/>
      </c>
      <c r="D27">
        <f>IFERROR('PAR · Evaluación 2'!K19,"")</f>
        <v/>
      </c>
      <c r="E27"/>
      <c r="F27"/>
    </row>
    <row r="28">
      <c r="A28" t="n">
        <v>9</v>
      </c>
      <c r="B28" t="n">
        <v>3</v>
      </c>
      <c r="C28">
        <f>IFERROR('PAR · Evaluación 3'!G19,"")</f>
        <v/>
      </c>
      <c r="D28">
        <f>IFERROR('PAR · Evaluación 3'!H19,"")</f>
        <v/>
      </c>
      <c r="E28"/>
      <c r="F28"/>
    </row>
    <row r="29">
      <c r="A29" t="n">
        <v>10</v>
      </c>
      <c r="B29" t="n">
        <v>1</v>
      </c>
      <c r="C29">
        <f>IFERROR('PAR · Evaluación 1'!H20,"")</f>
        <v/>
      </c>
      <c r="D29">
        <f>IFERROR('PAR · Evaluación 1'!I20,"")</f>
        <v/>
      </c>
      <c r="E29"/>
      <c r="F29"/>
    </row>
    <row r="30">
      <c r="A30" t="n">
        <v>10</v>
      </c>
      <c r="B30" t="n">
        <v>2</v>
      </c>
      <c r="C30">
        <f>IFERROR('PAR · Evaluación 2'!J20,"")</f>
        <v/>
      </c>
      <c r="D30">
        <f>IFERROR('PAR · Evaluación 2'!K20,"")</f>
        <v/>
      </c>
      <c r="E30"/>
      <c r="F30"/>
    </row>
    <row r="31">
      <c r="A31" t="n">
        <v>10</v>
      </c>
      <c r="B31" t="n">
        <v>3</v>
      </c>
      <c r="C31">
        <f>IFERROR('PAR · Evaluación 3'!G20,"")</f>
        <v/>
      </c>
      <c r="D31">
        <f>IFERROR('PAR · Evaluación 3'!H20,"")</f>
        <v/>
      </c>
      <c r="E31"/>
      <c r="F31"/>
    </row>
    <row r="32">
      <c r="A32" t="n">
        <v>11</v>
      </c>
      <c r="B32" t="n">
        <v>1</v>
      </c>
      <c r="C32">
        <f>IFERROR('PAR · Evaluación 1'!H21,"")</f>
        <v/>
      </c>
      <c r="D32">
        <f>IFERROR('PAR · Evaluación 1'!I21,"")</f>
        <v/>
      </c>
      <c r="E32"/>
      <c r="F32"/>
    </row>
    <row r="33">
      <c r="A33" t="n">
        <v>11</v>
      </c>
      <c r="B33" t="n">
        <v>2</v>
      </c>
      <c r="C33">
        <f>IFERROR('PAR · Evaluación 2'!J21,"")</f>
        <v/>
      </c>
      <c r="D33">
        <f>IFERROR('PAR · Evaluación 2'!K21,"")</f>
        <v/>
      </c>
      <c r="E33"/>
      <c r="F33"/>
    </row>
    <row r="34">
      <c r="A34" t="n">
        <v>11</v>
      </c>
      <c r="B34" t="n">
        <v>3</v>
      </c>
      <c r="C34">
        <f>IFERROR('PAR · Evaluación 3'!G21,"")</f>
        <v/>
      </c>
      <c r="D34">
        <f>IFERROR('PAR · Evaluación 3'!H21,"")</f>
        <v/>
      </c>
      <c r="E34"/>
      <c r="F34"/>
    </row>
    <row r="35">
      <c r="A35" t="n">
        <v>12</v>
      </c>
      <c r="B35" t="n">
        <v>1</v>
      </c>
      <c r="C35">
        <f>IFERROR('PAR · Evaluación 1'!H22,"")</f>
        <v/>
      </c>
      <c r="D35">
        <f>IFERROR('PAR · Evaluación 1'!I22,"")</f>
        <v/>
      </c>
      <c r="E35"/>
      <c r="F35"/>
    </row>
    <row r="36">
      <c r="A36" t="n">
        <v>12</v>
      </c>
      <c r="B36" t="n">
        <v>2</v>
      </c>
      <c r="C36">
        <f>IFERROR('PAR · Evaluación 2'!J22,"")</f>
        <v/>
      </c>
      <c r="D36">
        <f>IFERROR('PAR · Evaluación 2'!K22,"")</f>
        <v/>
      </c>
      <c r="E36"/>
      <c r="F36"/>
    </row>
    <row r="37">
      <c r="A37" t="n">
        <v>12</v>
      </c>
      <c r="B37" t="n">
        <v>3</v>
      </c>
      <c r="C37">
        <f>IFERROR('PAR · Evaluación 3'!G22,"")</f>
        <v/>
      </c>
      <c r="D37">
        <f>IFERROR('PAR · Evaluación 3'!H22,"")</f>
        <v/>
      </c>
      <c r="E37"/>
      <c r="F37"/>
    </row>
    <row r="38">
      <c r="A38" t="n">
        <v>13</v>
      </c>
      <c r="B38" t="n">
        <v>1</v>
      </c>
      <c r="C38">
        <f>IFERROR('PAR · Evaluación 1'!H23,"")</f>
        <v/>
      </c>
      <c r="D38">
        <f>IFERROR('PAR · Evaluación 1'!I23,"")</f>
        <v/>
      </c>
      <c r="E38"/>
      <c r="F38"/>
    </row>
    <row r="39">
      <c r="A39" t="n">
        <v>13</v>
      </c>
      <c r="B39" t="n">
        <v>2</v>
      </c>
      <c r="C39">
        <f>IFERROR('PAR · Evaluación 2'!J23,"")</f>
        <v/>
      </c>
      <c r="D39">
        <f>IFERROR('PAR · Evaluación 2'!K23,"")</f>
        <v/>
      </c>
      <c r="E39"/>
      <c r="F39"/>
    </row>
    <row r="40">
      <c r="A40" t="n">
        <v>13</v>
      </c>
      <c r="B40" t="n">
        <v>3</v>
      </c>
      <c r="C40">
        <f>IFERROR('PAR · Evaluación 3'!G23,"")</f>
        <v/>
      </c>
      <c r="D40">
        <f>IFERROR('PAR · Evaluación 3'!H23,"")</f>
        <v/>
      </c>
      <c r="E40"/>
      <c r="F40"/>
    </row>
    <row r="41">
      <c r="A41" t="n">
        <v>14</v>
      </c>
      <c r="B41" t="n">
        <v>1</v>
      </c>
      <c r="C41">
        <f>IFERROR('PAR · Evaluación 1'!H24,"")</f>
        <v/>
      </c>
      <c r="D41">
        <f>IFERROR('PAR · Evaluación 1'!I24,"")</f>
        <v/>
      </c>
      <c r="E41"/>
      <c r="F41"/>
    </row>
    <row r="42">
      <c r="A42" t="n">
        <v>14</v>
      </c>
      <c r="B42" t="n">
        <v>2</v>
      </c>
      <c r="C42">
        <f>IFERROR('PAR · Evaluación 2'!J24,"")</f>
        <v/>
      </c>
      <c r="D42">
        <f>IFERROR('PAR · Evaluación 2'!K24,"")</f>
        <v/>
      </c>
      <c r="E42"/>
      <c r="F42"/>
    </row>
    <row r="43">
      <c r="A43" t="n">
        <v>14</v>
      </c>
      <c r="B43" t="n">
        <v>3</v>
      </c>
      <c r="C43">
        <f>IFERROR('PAR · Evaluación 3'!G24,"")</f>
        <v/>
      </c>
      <c r="D43">
        <f>IFERROR('PAR · Evaluación 3'!H24,"")</f>
        <v/>
      </c>
      <c r="E43"/>
      <c r="F43"/>
    </row>
    <row r="44">
      <c r="A44" t="n">
        <v>15</v>
      </c>
      <c r="B44" t="n">
        <v>1</v>
      </c>
      <c r="C44">
        <f>IFERROR('PAR · Evaluación 1'!H25,"")</f>
        <v/>
      </c>
      <c r="D44">
        <f>IFERROR('PAR · Evaluación 1'!I25,"")</f>
        <v/>
      </c>
      <c r="E44"/>
      <c r="F44"/>
    </row>
    <row r="45">
      <c r="A45" t="n">
        <v>15</v>
      </c>
      <c r="B45" t="n">
        <v>2</v>
      </c>
      <c r="C45">
        <f>IFERROR('PAR · Evaluación 2'!J25,"")</f>
        <v/>
      </c>
      <c r="D45">
        <f>IFERROR('PAR · Evaluación 2'!K25,"")</f>
        <v/>
      </c>
      <c r="E45"/>
      <c r="F45"/>
    </row>
    <row r="46">
      <c r="A46" t="n">
        <v>15</v>
      </c>
      <c r="B46" t="n">
        <v>3</v>
      </c>
      <c r="C46">
        <f>IFERROR('PAR · Evaluación 3'!G25,"")</f>
        <v/>
      </c>
      <c r="D46">
        <f>IFERROR('PAR · Evaluación 3'!H25,"")</f>
        <v/>
      </c>
      <c r="E46"/>
      <c r="F46"/>
    </row>
    <row r="47">
      <c r="A47" t="n">
        <v>16</v>
      </c>
      <c r="B47" t="n">
        <v>1</v>
      </c>
      <c r="C47">
        <f>IFERROR('PAR · Evaluación 1'!H26,"")</f>
        <v/>
      </c>
      <c r="D47">
        <f>IFERROR('PAR · Evaluación 1'!I26,"")</f>
        <v/>
      </c>
      <c r="E47"/>
      <c r="F47"/>
    </row>
    <row r="48">
      <c r="A48" t="n">
        <v>16</v>
      </c>
      <c r="B48" t="n">
        <v>2</v>
      </c>
      <c r="C48">
        <f>IFERROR('PAR · Evaluación 2'!J26,"")</f>
        <v/>
      </c>
      <c r="D48">
        <f>IFERROR('PAR · Evaluación 2'!K26,"")</f>
        <v/>
      </c>
      <c r="E48"/>
      <c r="F48"/>
    </row>
    <row r="49">
      <c r="A49" t="n">
        <v>16</v>
      </c>
      <c r="B49" t="n">
        <v>3</v>
      </c>
      <c r="C49">
        <f>IFERROR('PAR · Evaluación 3'!G26,"")</f>
        <v/>
      </c>
      <c r="D49">
        <f>IFERROR('PAR · Evaluación 3'!H26,"")</f>
        <v/>
      </c>
      <c r="E49"/>
      <c r="F49"/>
    </row>
    <row r="50">
      <c r="A50" t="n">
        <v>17</v>
      </c>
      <c r="B50" t="n">
        <v>1</v>
      </c>
      <c r="C50">
        <f>IFERROR('PAR · Evaluación 1'!H27,"")</f>
        <v/>
      </c>
      <c r="D50">
        <f>IFERROR('PAR · Evaluación 1'!I27,"")</f>
        <v/>
      </c>
      <c r="E50"/>
      <c r="F50"/>
    </row>
    <row r="51">
      <c r="A51" t="n">
        <v>17</v>
      </c>
      <c r="B51" t="n">
        <v>2</v>
      </c>
      <c r="C51">
        <f>IFERROR('PAR · Evaluación 2'!J27,"")</f>
        <v/>
      </c>
      <c r="D51">
        <f>IFERROR('PAR · Evaluación 2'!K27,"")</f>
        <v/>
      </c>
      <c r="E51"/>
      <c r="F51"/>
    </row>
    <row r="52">
      <c r="A52" t="n">
        <v>17</v>
      </c>
      <c r="B52" t="n">
        <v>3</v>
      </c>
      <c r="C52">
        <f>IFERROR('PAR · Evaluación 3'!G27,"")</f>
        <v/>
      </c>
      <c r="D52">
        <f>IFERROR('PAR · Evaluación 3'!H27,"")</f>
        <v/>
      </c>
      <c r="E52"/>
      <c r="F52"/>
    </row>
    <row r="53">
      <c r="A53" t="n">
        <v>18</v>
      </c>
      <c r="B53" t="n">
        <v>1</v>
      </c>
      <c r="C53">
        <f>IFERROR('PAR · Evaluación 1'!H28,"")</f>
        <v/>
      </c>
      <c r="D53">
        <f>IFERROR('PAR · Evaluación 1'!I28,"")</f>
        <v/>
      </c>
      <c r="E53"/>
      <c r="F53"/>
    </row>
    <row r="54">
      <c r="A54" t="n">
        <v>18</v>
      </c>
      <c r="B54" t="n">
        <v>2</v>
      </c>
      <c r="C54">
        <f>IFERROR('PAR · Evaluación 2'!J28,"")</f>
        <v/>
      </c>
      <c r="D54">
        <f>IFERROR('PAR · Evaluación 2'!K28,"")</f>
        <v/>
      </c>
      <c r="E54"/>
      <c r="F54"/>
    </row>
    <row r="55">
      <c r="A55" t="n">
        <v>18</v>
      </c>
      <c r="B55" t="n">
        <v>3</v>
      </c>
      <c r="C55">
        <f>IFERROR('PAR · Evaluación 3'!G28,"")</f>
        <v/>
      </c>
      <c r="D55">
        <f>IFERROR('PAR · Evaluación 3'!H28,"")</f>
        <v/>
      </c>
      <c r="E55"/>
      <c r="F55"/>
    </row>
    <row r="56">
      <c r="A56" t="n">
        <v>19</v>
      </c>
      <c r="B56" t="n">
        <v>1</v>
      </c>
      <c r="C56">
        <f>IFERROR('PAR · Evaluación 1'!H29,"")</f>
        <v/>
      </c>
      <c r="D56">
        <f>IFERROR('PAR · Evaluación 1'!I29,"")</f>
        <v/>
      </c>
      <c r="E56"/>
      <c r="F56"/>
    </row>
    <row r="57">
      <c r="A57" t="n">
        <v>19</v>
      </c>
      <c r="B57" t="n">
        <v>2</v>
      </c>
      <c r="C57">
        <f>IFERROR('PAR · Evaluación 2'!J29,"")</f>
        <v/>
      </c>
      <c r="D57">
        <f>IFERROR('PAR · Evaluación 2'!K29,"")</f>
        <v/>
      </c>
      <c r="E57"/>
      <c r="F57"/>
    </row>
    <row r="58">
      <c r="A58" t="n">
        <v>19</v>
      </c>
      <c r="B58" t="n">
        <v>3</v>
      </c>
      <c r="C58">
        <f>IFERROR('PAR · Evaluación 3'!G29,"")</f>
        <v/>
      </c>
      <c r="D58">
        <f>IFERROR('PAR · Evaluación 3'!H29,"")</f>
        <v/>
      </c>
      <c r="E58"/>
      <c r="F58"/>
    </row>
    <row r="59">
      <c r="A59" t="n">
        <v>20</v>
      </c>
      <c r="B59" t="n">
        <v>1</v>
      </c>
      <c r="C59">
        <f>IFERROR('PAR · Evaluación 1'!H30,"")</f>
        <v/>
      </c>
      <c r="D59">
        <f>IFERROR('PAR · Evaluación 1'!I30,"")</f>
        <v/>
      </c>
      <c r="E59"/>
      <c r="F59"/>
    </row>
    <row r="60">
      <c r="A60" t="n">
        <v>20</v>
      </c>
      <c r="B60" t="n">
        <v>2</v>
      </c>
      <c r="C60">
        <f>IFERROR('PAR · Evaluación 2'!J30,"")</f>
        <v/>
      </c>
      <c r="D60">
        <f>IFERROR('PAR · Evaluación 2'!K30,"")</f>
        <v/>
      </c>
      <c r="E60"/>
      <c r="F60"/>
    </row>
    <row r="61">
      <c r="A61" t="n">
        <v>20</v>
      </c>
      <c r="B61" t="n">
        <v>3</v>
      </c>
      <c r="C61">
        <f>IFERROR('PAR · Evaluación 3'!G30,"")</f>
        <v/>
      </c>
      <c r="D61">
        <f>IFERROR('PAR · Evaluación 3'!H30,"")</f>
        <v/>
      </c>
      <c r="E61"/>
      <c r="F61"/>
    </row>
    <row r="62">
      <c r="A62" t="n">
        <v>21</v>
      </c>
      <c r="B62" t="n">
        <v>1</v>
      </c>
      <c r="C62">
        <f>IFERROR('PAR · Evaluación 1'!H31,"")</f>
        <v/>
      </c>
      <c r="D62">
        <f>IFERROR('PAR · Evaluación 1'!I31,"")</f>
        <v/>
      </c>
      <c r="E62"/>
      <c r="F62"/>
    </row>
    <row r="63">
      <c r="A63" t="n">
        <v>21</v>
      </c>
      <c r="B63" t="n">
        <v>2</v>
      </c>
      <c r="C63">
        <f>IFERROR('PAR · Evaluación 2'!J31,"")</f>
        <v/>
      </c>
      <c r="D63">
        <f>IFERROR('PAR · Evaluación 2'!K31,"")</f>
        <v/>
      </c>
      <c r="E63"/>
      <c r="F63"/>
    </row>
    <row r="64">
      <c r="A64" t="n">
        <v>21</v>
      </c>
      <c r="B64" t="n">
        <v>3</v>
      </c>
      <c r="C64">
        <f>IFERROR('PAR · Evaluación 3'!G31,"")</f>
        <v/>
      </c>
      <c r="D64">
        <f>IFERROR('PAR · Evaluación 3'!H31,"")</f>
        <v/>
      </c>
      <c r="E64"/>
      <c r="F64"/>
    </row>
    <row r="65">
      <c r="A65" t="n">
        <v>22</v>
      </c>
      <c r="B65" t="n">
        <v>1</v>
      </c>
      <c r="C65">
        <f>IFERROR('PAR · Evaluación 1'!H32,"")</f>
        <v/>
      </c>
      <c r="D65">
        <f>IFERROR('PAR · Evaluación 1'!I32,"")</f>
        <v/>
      </c>
      <c r="E65"/>
      <c r="F65"/>
    </row>
    <row r="66">
      <c r="A66" t="n">
        <v>22</v>
      </c>
      <c r="B66" t="n">
        <v>2</v>
      </c>
      <c r="C66">
        <f>IFERROR('PAR · Evaluación 2'!J32,"")</f>
        <v/>
      </c>
      <c r="D66">
        <f>IFERROR('PAR · Evaluación 2'!K32,"")</f>
        <v/>
      </c>
      <c r="E66"/>
      <c r="F66"/>
    </row>
    <row r="67">
      <c r="A67" t="n">
        <v>22</v>
      </c>
      <c r="B67" t="n">
        <v>3</v>
      </c>
      <c r="C67">
        <f>IFERROR('PAR · Evaluación 3'!G32,"")</f>
        <v/>
      </c>
      <c r="D67">
        <f>IFERROR('PAR · Evaluación 3'!H32,"")</f>
        <v/>
      </c>
      <c r="E67"/>
      <c r="F67"/>
    </row>
    <row r="68">
      <c r="A68" t="n">
        <v>23</v>
      </c>
      <c r="B68" t="n">
        <v>1</v>
      </c>
      <c r="C68">
        <f>IFERROR('PAR · Evaluación 1'!H33,"")</f>
        <v/>
      </c>
      <c r="D68">
        <f>IFERROR('PAR · Evaluación 1'!I33,"")</f>
        <v/>
      </c>
      <c r="E68"/>
      <c r="F68"/>
    </row>
    <row r="69">
      <c r="A69" t="n">
        <v>23</v>
      </c>
      <c r="B69" t="n">
        <v>2</v>
      </c>
      <c r="C69">
        <f>IFERROR('PAR · Evaluación 2'!J33,"")</f>
        <v/>
      </c>
      <c r="D69">
        <f>IFERROR('PAR · Evaluación 2'!K33,"")</f>
        <v/>
      </c>
      <c r="E69"/>
      <c r="F69"/>
    </row>
    <row r="70">
      <c r="A70" t="n">
        <v>23</v>
      </c>
      <c r="B70" t="n">
        <v>3</v>
      </c>
      <c r="C70">
        <f>IFERROR('PAR · Evaluación 3'!G33,"")</f>
        <v/>
      </c>
      <c r="D70">
        <f>IFERROR('PAR · Evaluación 3'!H33,"")</f>
        <v/>
      </c>
      <c r="E70"/>
      <c r="F70"/>
    </row>
    <row r="71">
      <c r="A71" t="n">
        <v>24</v>
      </c>
      <c r="B71" t="n">
        <v>1</v>
      </c>
      <c r="C71">
        <f>IFERROR('PAR · Evaluación 1'!H34,"")</f>
        <v/>
      </c>
      <c r="D71">
        <f>IFERROR('PAR · Evaluación 1'!I34,"")</f>
        <v/>
      </c>
      <c r="E71"/>
      <c r="F71"/>
    </row>
    <row r="72">
      <c r="A72" t="n">
        <v>24</v>
      </c>
      <c r="B72" t="n">
        <v>2</v>
      </c>
      <c r="C72">
        <f>IFERROR('PAR · Evaluación 2'!J34,"")</f>
        <v/>
      </c>
      <c r="D72">
        <f>IFERROR('PAR · Evaluación 2'!K34,"")</f>
        <v/>
      </c>
      <c r="E72"/>
      <c r="F72"/>
    </row>
    <row r="73">
      <c r="A73" t="n">
        <v>24</v>
      </c>
      <c r="B73" t="n">
        <v>3</v>
      </c>
      <c r="C73">
        <f>IFERROR('PAR · Evaluación 3'!G34,"")</f>
        <v/>
      </c>
      <c r="D73">
        <f>IFERROR('PAR · Evaluación 3'!H34,"")</f>
        <v/>
      </c>
      <c r="E73"/>
      <c r="F73"/>
    </row>
    <row r="74">
      <c r="A74" t="n">
        <v>25</v>
      </c>
      <c r="B74" t="n">
        <v>1</v>
      </c>
      <c r="C74">
        <f>IFERROR('PAR · Evaluación 1'!H35,"")</f>
        <v/>
      </c>
      <c r="D74">
        <f>IFERROR('PAR · Evaluación 1'!I35,"")</f>
        <v/>
      </c>
      <c r="E74"/>
      <c r="F74"/>
    </row>
    <row r="75">
      <c r="A75" t="n">
        <v>25</v>
      </c>
      <c r="B75" t="n">
        <v>2</v>
      </c>
      <c r="C75">
        <f>IFERROR('PAR · Evaluación 2'!J35,"")</f>
        <v/>
      </c>
      <c r="D75">
        <f>IFERROR('PAR · Evaluación 2'!K35,"")</f>
        <v/>
      </c>
      <c r="E75"/>
      <c r="F75"/>
    </row>
    <row r="76">
      <c r="A76" t="n">
        <v>25</v>
      </c>
      <c r="B76" t="n">
        <v>3</v>
      </c>
      <c r="C76">
        <f>IFERROR('PAR · Evaluación 3'!G35,"")</f>
        <v/>
      </c>
      <c r="D76">
        <f>IFERROR('PAR · Evaluación 3'!H35,"")</f>
        <v/>
      </c>
      <c r="E76"/>
      <c r="F76"/>
    </row>
    <row r="77">
      <c r="A77" t="n">
        <v>26</v>
      </c>
      <c r="B77" t="n">
        <v>1</v>
      </c>
      <c r="C77">
        <f>IFERROR('PAR · Evaluación 1'!H36,"")</f>
        <v/>
      </c>
      <c r="D77">
        <f>IFERROR('PAR · Evaluación 1'!I36,"")</f>
        <v/>
      </c>
      <c r="E77"/>
      <c r="F77"/>
    </row>
    <row r="78">
      <c r="A78" t="n">
        <v>26</v>
      </c>
      <c r="B78" t="n">
        <v>2</v>
      </c>
      <c r="C78">
        <f>IFERROR('PAR · Evaluación 2'!J36,"")</f>
        <v/>
      </c>
      <c r="D78">
        <f>IFERROR('PAR · Evaluación 2'!K36,"")</f>
        <v/>
      </c>
      <c r="E78"/>
      <c r="F78"/>
    </row>
    <row r="79">
      <c r="A79" t="n">
        <v>26</v>
      </c>
      <c r="B79" t="n">
        <v>3</v>
      </c>
      <c r="C79">
        <f>IFERROR('PAR · Evaluación 3'!G36,"")</f>
        <v/>
      </c>
      <c r="D79">
        <f>IFERROR('PAR · Evaluación 3'!H36,"")</f>
        <v/>
      </c>
      <c r="E79"/>
      <c r="F79"/>
    </row>
    <row r="80">
      <c r="A80" t="n">
        <v>27</v>
      </c>
      <c r="B80" t="n">
        <v>1</v>
      </c>
      <c r="C80">
        <f>IFERROR('PAR · Evaluación 1'!H37,"")</f>
        <v/>
      </c>
      <c r="D80">
        <f>IFERROR('PAR · Evaluación 1'!I37,"")</f>
        <v/>
      </c>
      <c r="E80"/>
      <c r="F80"/>
    </row>
    <row r="81">
      <c r="A81" t="n">
        <v>27</v>
      </c>
      <c r="B81" t="n">
        <v>2</v>
      </c>
      <c r="C81">
        <f>IFERROR('PAR · Evaluación 2'!J37,"")</f>
        <v/>
      </c>
      <c r="D81">
        <f>IFERROR('PAR · Evaluación 2'!K37,"")</f>
        <v/>
      </c>
      <c r="E81"/>
      <c r="F81"/>
    </row>
    <row r="82">
      <c r="A82" t="n">
        <v>27</v>
      </c>
      <c r="B82" t="n">
        <v>3</v>
      </c>
      <c r="C82">
        <f>IFERROR('PAR · Evaluación 3'!G37,"")</f>
        <v/>
      </c>
      <c r="D82">
        <f>IFERROR('PAR · Evaluación 3'!H37,"")</f>
        <v/>
      </c>
      <c r="E82"/>
      <c r="F82"/>
    </row>
    <row r="83">
      <c r="A83" t="n">
        <v>28</v>
      </c>
      <c r="B83" t="n">
        <v>1</v>
      </c>
      <c r="C83">
        <f>IFERROR('PAR · Evaluación 1'!H38,"")</f>
        <v/>
      </c>
      <c r="D83">
        <f>IFERROR('PAR · Evaluación 1'!I38,"")</f>
        <v/>
      </c>
      <c r="E83"/>
      <c r="F83"/>
    </row>
    <row r="84">
      <c r="A84" t="n">
        <v>28</v>
      </c>
      <c r="B84" t="n">
        <v>2</v>
      </c>
      <c r="C84">
        <f>IFERROR('PAR · Evaluación 2'!J38,"")</f>
        <v/>
      </c>
      <c r="D84">
        <f>IFERROR('PAR · Evaluación 2'!K38,"")</f>
        <v/>
      </c>
      <c r="E84"/>
      <c r="F84"/>
    </row>
    <row r="85">
      <c r="A85" t="n">
        <v>28</v>
      </c>
      <c r="B85" t="n">
        <v>3</v>
      </c>
      <c r="C85">
        <f>IFERROR('PAR · Evaluación 3'!G38,"")</f>
        <v/>
      </c>
      <c r="D85">
        <f>IFERROR('PAR · Evaluación 3'!H38,"")</f>
        <v/>
      </c>
      <c r="E85"/>
      <c r="F85"/>
    </row>
    <row r="86">
      <c r="A86" t="n">
        <v>29</v>
      </c>
      <c r="B86" t="n">
        <v>1</v>
      </c>
      <c r="C86">
        <f>IFERROR('PAR · Evaluación 1'!H39,"")</f>
        <v/>
      </c>
      <c r="D86">
        <f>IFERROR('PAR · Evaluación 1'!I39,"")</f>
        <v/>
      </c>
      <c r="E86"/>
      <c r="F86"/>
    </row>
    <row r="87">
      <c r="A87" t="n">
        <v>29</v>
      </c>
      <c r="B87" t="n">
        <v>2</v>
      </c>
      <c r="C87">
        <f>IFERROR('PAR · Evaluación 2'!J39,"")</f>
        <v/>
      </c>
      <c r="D87">
        <f>IFERROR('PAR · Evaluación 2'!K39,"")</f>
        <v/>
      </c>
      <c r="E87"/>
      <c r="F87"/>
    </row>
    <row r="88">
      <c r="A88" t="n">
        <v>29</v>
      </c>
      <c r="B88" t="n">
        <v>3</v>
      </c>
      <c r="C88">
        <f>IFERROR('PAR · Evaluación 3'!G39,"")</f>
        <v/>
      </c>
      <c r="D88">
        <f>IFERROR('PAR · Evaluación 3'!H39,"")</f>
        <v/>
      </c>
      <c r="E88"/>
      <c r="F88"/>
    </row>
    <row r="89">
      <c r="A89" t="n">
        <v>30</v>
      </c>
      <c r="B89" t="n">
        <v>1</v>
      </c>
      <c r="C89">
        <f>IFERROR('PAR · Evaluación 1'!H40,"")</f>
        <v/>
      </c>
      <c r="D89">
        <f>IFERROR('PAR · Evaluación 1'!I40,"")</f>
        <v/>
      </c>
      <c r="E89"/>
      <c r="F89"/>
    </row>
    <row r="90">
      <c r="A90" t="n">
        <v>30</v>
      </c>
      <c r="B90" t="n">
        <v>2</v>
      </c>
      <c r="C90">
        <f>IFERROR('PAR · Evaluación 2'!J40,"")</f>
        <v/>
      </c>
      <c r="D90">
        <f>IFERROR('PAR · Evaluación 2'!K40,"")</f>
        <v/>
      </c>
      <c r="E90"/>
      <c r="F90"/>
    </row>
    <row r="91">
      <c r="A91" t="n">
        <v>30</v>
      </c>
      <c r="B91" t="n">
        <v>3</v>
      </c>
      <c r="C91">
        <f>IFERROR('PAR · Evaluación 3'!G40,"")</f>
        <v/>
      </c>
      <c r="D91">
        <f>IFERROR('PAR · Evaluación 3'!H40,"")</f>
        <v/>
      </c>
      <c r="E91"/>
      <c r="F9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2026-06-29T17:43:10Z</dcterms:created>
  <dcterms:modified xmlns:dcterms="http://purl.org/dc/terms/" xmlns:xsi="http://www.w3.org/2001/XMLSchema-instance" xsi:type="dcterms:W3CDTF">2026-06-29T17:43:11Z</dcterms:modified>
</cp:coreProperties>
</file>